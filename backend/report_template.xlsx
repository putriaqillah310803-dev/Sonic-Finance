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cer\Documents\SC MARABAHAN\bulan juli 2026 sc marabahan\"/>
    </mc:Choice>
  </mc:AlternateContent>
  <xr:revisionPtr revIDLastSave="0" documentId="13_ncr:1_{CAA8CE79-056E-4F74-8BB1-6F9791BC19C6}" xr6:coauthVersionLast="47" xr6:coauthVersionMax="47" xr10:uidLastSave="{00000000-0000-0000-0000-000000000000}"/>
  <bookViews>
    <workbookView xWindow="-120" yWindow="-120" windowWidth="20730" windowHeight="11160" tabRatio="918" firstSheet="3" activeTab="5" xr2:uid="{64E87380-3BB3-42B8-8623-0E0FD43D39CE}"/>
  </bookViews>
  <sheets>
    <sheet name="PEMBELIAN KREDIT" sheetId="1" r:id="rId1"/>
    <sheet name="TO-TI" sheetId="2" r:id="rId2"/>
    <sheet name="LPKK" sheetId="3" r:id="rId3"/>
    <sheet name="VENDOR" sheetId="4" r:id="rId4"/>
    <sheet name="WEEKLY" sheetId="5" r:id="rId5"/>
    <sheet name="LAP. CF" sheetId="7" r:id="rId6"/>
    <sheet name="IKHTISAR FOOD COST" sheetId="6" r:id="rId7"/>
    <sheet name="LAPORAN KAS PERIODE" sheetId="8" r:id="rId8"/>
    <sheet name="LAP. PENJUALAN REGULER" sheetId="9" r:id="rId9"/>
    <sheet name="LAP. PENJUALAN GRABFOOD" sheetId="23" r:id="rId10"/>
    <sheet name="LAP. PENJUALAN GOFOOD" sheetId="19" r:id="rId11"/>
    <sheet name="LAP. PENJUALAN SHOPEFOOD" sheetId="24" r:id="rId12"/>
    <sheet name="COST ANALYSIS" sheetId="11" r:id="rId13"/>
    <sheet name="FOOD COST PRODUCT" sheetId="13" r:id="rId14"/>
    <sheet name="LEFT OVER" sheetId="12" r:id="rId15"/>
    <sheet name="HPP PRODUCT" sheetId="14" r:id="rId16"/>
  </sheets>
  <externalReferences>
    <externalReference r:id="rId17"/>
  </externalReferenc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3" i="11" l="1"/>
  <c r="E16" i="5"/>
  <c r="G43" i="11"/>
  <c r="G25" i="11"/>
  <c r="S26" i="11"/>
  <c r="N15" i="11"/>
  <c r="G16" i="11"/>
  <c r="G12" i="11"/>
  <c r="L17" i="12"/>
  <c r="J21" i="11"/>
  <c r="G18" i="11"/>
  <c r="G19" i="11"/>
  <c r="D19" i="11"/>
  <c r="C19" i="11"/>
  <c r="N11" i="11"/>
  <c r="AE75" i="9"/>
  <c r="AE74" i="9"/>
  <c r="AE73" i="9"/>
  <c r="AE72" i="9"/>
  <c r="N75" i="9"/>
  <c r="N74" i="9"/>
  <c r="N69" i="9"/>
  <c r="N64" i="9"/>
  <c r="N59" i="9"/>
  <c r="AG131" i="4"/>
  <c r="AG25" i="4"/>
  <c r="AG9" i="4"/>
  <c r="AH14" i="4"/>
  <c r="AG14" i="4"/>
  <c r="AH13" i="4"/>
  <c r="AG13" i="4"/>
  <c r="AH20" i="4"/>
  <c r="AG20" i="4"/>
  <c r="AH18" i="4"/>
  <c r="AG18" i="4"/>
  <c r="H42" i="1"/>
  <c r="H37" i="1"/>
  <c r="J37" i="1" s="1"/>
  <c r="H38" i="1"/>
  <c r="J38" i="1" s="1"/>
  <c r="H39" i="1"/>
  <c r="J39" i="1" s="1"/>
  <c r="H40" i="1"/>
  <c r="J40" i="1" s="1"/>
  <c r="R102" i="3"/>
  <c r="L27" i="12" l="1"/>
  <c r="J19" i="11" s="1"/>
  <c r="R72" i="3"/>
  <c r="G71" i="13"/>
  <c r="G72" i="13"/>
  <c r="G73" i="13"/>
  <c r="C86" i="9"/>
  <c r="R200" i="3" l="1"/>
  <c r="R155" i="3" l="1"/>
  <c r="R156" i="3"/>
  <c r="R98" i="3" l="1"/>
  <c r="R99" i="3"/>
  <c r="R100" i="3"/>
  <c r="R101" i="3"/>
  <c r="R103" i="3"/>
  <c r="R104" i="3"/>
  <c r="R105" i="3"/>
  <c r="R106" i="3"/>
  <c r="H36" i="11" l="1"/>
  <c r="H27" i="11"/>
  <c r="S62" i="11"/>
  <c r="R62" i="11"/>
  <c r="Q62" i="11"/>
  <c r="R61" i="11"/>
  <c r="E12" i="14"/>
  <c r="H12" i="14" s="1"/>
  <c r="E11" i="14"/>
  <c r="H11" i="14" s="1"/>
  <c r="R63" i="11" l="1"/>
  <c r="B41" i="6" l="1"/>
  <c r="B40" i="6"/>
  <c r="I64" i="11" l="1"/>
  <c r="AH16" i="4" l="1"/>
  <c r="AH11" i="4"/>
  <c r="AH12" i="4"/>
  <c r="AH10" i="4"/>
  <c r="G25" i="1"/>
  <c r="G26" i="1"/>
  <c r="R218" i="3"/>
  <c r="AE26" i="11" l="1"/>
  <c r="Z25" i="11"/>
  <c r="R180" i="3"/>
  <c r="R181" i="3"/>
  <c r="R182" i="3"/>
  <c r="N113" i="24" l="1"/>
  <c r="C113" i="24"/>
  <c r="N112" i="24"/>
  <c r="C112" i="24"/>
  <c r="C111" i="24"/>
  <c r="AD110" i="24"/>
  <c r="AC110" i="24"/>
  <c r="AB110" i="24"/>
  <c r="AA110" i="24"/>
  <c r="Z110" i="24"/>
  <c r="Y110" i="24"/>
  <c r="X110" i="24"/>
  <c r="W110" i="24"/>
  <c r="V110" i="24"/>
  <c r="U110" i="24"/>
  <c r="O110" i="24"/>
  <c r="N110" i="24"/>
  <c r="AD109" i="24"/>
  <c r="AC109" i="24"/>
  <c r="AB109" i="24"/>
  <c r="AA109" i="24"/>
  <c r="Z109" i="24"/>
  <c r="Y109" i="24"/>
  <c r="X109" i="24"/>
  <c r="W109" i="24"/>
  <c r="V109" i="24"/>
  <c r="U109" i="24"/>
  <c r="O109" i="24"/>
  <c r="N109" i="24"/>
  <c r="AD108" i="24"/>
  <c r="AC108" i="24"/>
  <c r="AB108" i="24"/>
  <c r="AA108" i="24"/>
  <c r="Z108" i="24"/>
  <c r="Y108" i="24"/>
  <c r="X108" i="24"/>
  <c r="W108" i="24"/>
  <c r="V108" i="24"/>
  <c r="U108" i="24"/>
  <c r="N108" i="24"/>
  <c r="O108" i="24" s="1"/>
  <c r="AD107" i="24"/>
  <c r="AC107" i="24"/>
  <c r="AB107" i="24"/>
  <c r="AA107" i="24"/>
  <c r="Z107" i="24"/>
  <c r="Y107" i="24"/>
  <c r="X107" i="24"/>
  <c r="W107" i="24"/>
  <c r="V107" i="24"/>
  <c r="U107" i="24"/>
  <c r="O107" i="24"/>
  <c r="N107" i="24"/>
  <c r="AD106" i="24"/>
  <c r="AC106" i="24"/>
  <c r="AB106" i="24"/>
  <c r="AA106" i="24"/>
  <c r="Z106" i="24"/>
  <c r="Y106" i="24"/>
  <c r="X106" i="24"/>
  <c r="W106" i="24"/>
  <c r="V106" i="24"/>
  <c r="U106" i="24"/>
  <c r="N106" i="24"/>
  <c r="O106" i="24" s="1"/>
  <c r="AD105" i="24"/>
  <c r="AC105" i="24"/>
  <c r="AB105" i="24"/>
  <c r="AA105" i="24"/>
  <c r="Z105" i="24"/>
  <c r="Y105" i="24"/>
  <c r="X105" i="24"/>
  <c r="W105" i="24"/>
  <c r="V105" i="24"/>
  <c r="U105" i="24"/>
  <c r="O105" i="24"/>
  <c r="N105" i="24"/>
  <c r="AD104" i="24"/>
  <c r="AC104" i="24"/>
  <c r="AB104" i="24"/>
  <c r="AA104" i="24"/>
  <c r="Z104" i="24"/>
  <c r="Y104" i="24"/>
  <c r="X104" i="24"/>
  <c r="W104" i="24"/>
  <c r="V104" i="24"/>
  <c r="U104" i="24"/>
  <c r="N104" i="24"/>
  <c r="O104" i="24" s="1"/>
  <c r="AD103" i="24"/>
  <c r="AC103" i="24"/>
  <c r="AB103" i="24"/>
  <c r="AA103" i="24"/>
  <c r="Z103" i="24"/>
  <c r="Y103" i="24"/>
  <c r="X103" i="24"/>
  <c r="W103" i="24"/>
  <c r="V103" i="24"/>
  <c r="U103" i="24"/>
  <c r="O103" i="24"/>
  <c r="N103" i="24"/>
  <c r="AD102" i="24"/>
  <c r="AC102" i="24"/>
  <c r="AB102" i="24"/>
  <c r="AA102" i="24"/>
  <c r="Z102" i="24"/>
  <c r="Y102" i="24"/>
  <c r="X102" i="24"/>
  <c r="W102" i="24"/>
  <c r="V102" i="24"/>
  <c r="U102" i="24"/>
  <c r="N102" i="24"/>
  <c r="O102" i="24" s="1"/>
  <c r="AD101" i="24"/>
  <c r="AC101" i="24"/>
  <c r="AB101" i="24"/>
  <c r="AA101" i="24"/>
  <c r="Z101" i="24"/>
  <c r="Y101" i="24"/>
  <c r="X101" i="24"/>
  <c r="W101" i="24"/>
  <c r="V101" i="24"/>
  <c r="U101" i="24"/>
  <c r="O101" i="24"/>
  <c r="N101" i="24"/>
  <c r="AD100" i="24"/>
  <c r="AC100" i="24"/>
  <c r="AB100" i="24"/>
  <c r="AA100" i="24"/>
  <c r="Z100" i="24"/>
  <c r="Y100" i="24"/>
  <c r="X100" i="24"/>
  <c r="W100" i="24"/>
  <c r="V100" i="24"/>
  <c r="U100" i="24"/>
  <c r="N100" i="24"/>
  <c r="O100" i="24" s="1"/>
  <c r="AD99" i="24"/>
  <c r="AC99" i="24"/>
  <c r="AB99" i="24"/>
  <c r="AA99" i="24"/>
  <c r="Z99" i="24"/>
  <c r="Y99" i="24"/>
  <c r="X99" i="24"/>
  <c r="W99" i="24"/>
  <c r="V99" i="24"/>
  <c r="U99" i="24"/>
  <c r="O99" i="24"/>
  <c r="N99" i="24"/>
  <c r="AD98" i="24"/>
  <c r="AC98" i="24"/>
  <c r="AB98" i="24"/>
  <c r="AA98" i="24"/>
  <c r="Z98" i="24"/>
  <c r="Y98" i="24"/>
  <c r="X98" i="24"/>
  <c r="W98" i="24"/>
  <c r="V98" i="24"/>
  <c r="U98" i="24"/>
  <c r="N98" i="24"/>
  <c r="O98" i="24" s="1"/>
  <c r="AD97" i="24"/>
  <c r="AC97" i="24"/>
  <c r="AB97" i="24"/>
  <c r="AA97" i="24"/>
  <c r="Z97" i="24"/>
  <c r="Y97" i="24"/>
  <c r="X97" i="24"/>
  <c r="W97" i="24"/>
  <c r="V97" i="24"/>
  <c r="U97" i="24"/>
  <c r="N97" i="24"/>
  <c r="O97" i="24" s="1"/>
  <c r="AD96" i="24"/>
  <c r="AC96" i="24"/>
  <c r="AB96" i="24"/>
  <c r="AA96" i="24"/>
  <c r="Z96" i="24"/>
  <c r="Y96" i="24"/>
  <c r="X96" i="24"/>
  <c r="W96" i="24"/>
  <c r="V96" i="24"/>
  <c r="U96" i="24"/>
  <c r="N96" i="24"/>
  <c r="O96" i="24" s="1"/>
  <c r="AD95" i="24"/>
  <c r="AC95" i="24"/>
  <c r="AB95" i="24"/>
  <c r="AA95" i="24"/>
  <c r="Z95" i="24"/>
  <c r="Y95" i="24"/>
  <c r="X95" i="24"/>
  <c r="W95" i="24"/>
  <c r="V95" i="24"/>
  <c r="U95" i="24"/>
  <c r="O95" i="24"/>
  <c r="N95" i="24"/>
  <c r="AD94" i="24"/>
  <c r="AC94" i="24"/>
  <c r="AB94" i="24"/>
  <c r="AA94" i="24"/>
  <c r="Z94" i="24"/>
  <c r="Y94" i="24"/>
  <c r="X94" i="24"/>
  <c r="W94" i="24"/>
  <c r="V94" i="24"/>
  <c r="U94" i="24"/>
  <c r="N94" i="24"/>
  <c r="O94" i="24" s="1"/>
  <c r="AD93" i="24"/>
  <c r="AC93" i="24"/>
  <c r="AB93" i="24"/>
  <c r="AA93" i="24"/>
  <c r="Z93" i="24"/>
  <c r="Y93" i="24"/>
  <c r="X93" i="24"/>
  <c r="W93" i="24"/>
  <c r="V93" i="24"/>
  <c r="U93" i="24"/>
  <c r="O93" i="24"/>
  <c r="N93" i="24"/>
  <c r="AD92" i="24"/>
  <c r="AC92" i="24"/>
  <c r="AB92" i="24"/>
  <c r="AA92" i="24"/>
  <c r="Z92" i="24"/>
  <c r="Y92" i="24"/>
  <c r="X92" i="24"/>
  <c r="W92" i="24"/>
  <c r="V92" i="24"/>
  <c r="U92" i="24"/>
  <c r="O92" i="24"/>
  <c r="AD91" i="24"/>
  <c r="AC91" i="24"/>
  <c r="AB91" i="24"/>
  <c r="AA91" i="24"/>
  <c r="Z91" i="24"/>
  <c r="Y91" i="24"/>
  <c r="X91" i="24"/>
  <c r="W91" i="24"/>
  <c r="V91" i="24"/>
  <c r="U91" i="24"/>
  <c r="N91" i="24"/>
  <c r="O91" i="24" s="1"/>
  <c r="AD90" i="24"/>
  <c r="AC90" i="24"/>
  <c r="AB90" i="24"/>
  <c r="AA90" i="24"/>
  <c r="Z90" i="24"/>
  <c r="Y90" i="24"/>
  <c r="X90" i="24"/>
  <c r="W90" i="24"/>
  <c r="V90" i="24"/>
  <c r="U90" i="24"/>
  <c r="O90" i="24"/>
  <c r="N90" i="24"/>
  <c r="AD89" i="24"/>
  <c r="AC89" i="24"/>
  <c r="AB89" i="24"/>
  <c r="AA89" i="24"/>
  <c r="Z89" i="24"/>
  <c r="Y89" i="24"/>
  <c r="X89" i="24"/>
  <c r="W89" i="24"/>
  <c r="V89" i="24"/>
  <c r="U89" i="24"/>
  <c r="N89" i="24"/>
  <c r="O89" i="24" s="1"/>
  <c r="C89" i="24"/>
  <c r="AD88" i="24"/>
  <c r="AC88" i="24"/>
  <c r="AB88" i="24"/>
  <c r="AA88" i="24"/>
  <c r="Z88" i="24"/>
  <c r="Y88" i="24"/>
  <c r="X88" i="24"/>
  <c r="W88" i="24"/>
  <c r="V88" i="24"/>
  <c r="U88" i="24"/>
  <c r="N88" i="24"/>
  <c r="O88" i="24" s="1"/>
  <c r="C88" i="24"/>
  <c r="AD87" i="24"/>
  <c r="AC87" i="24"/>
  <c r="AB87" i="24"/>
  <c r="AA87" i="24"/>
  <c r="Z87" i="24"/>
  <c r="Y87" i="24"/>
  <c r="X87" i="24"/>
  <c r="W87" i="24"/>
  <c r="V87" i="24"/>
  <c r="U87" i="24"/>
  <c r="O87" i="24"/>
  <c r="N87" i="24"/>
  <c r="C87" i="24"/>
  <c r="AD86" i="24"/>
  <c r="AD111" i="24" s="1"/>
  <c r="M111" i="24" s="1"/>
  <c r="AC86" i="24"/>
  <c r="AC111" i="24" s="1"/>
  <c r="L111" i="24" s="1"/>
  <c r="AB86" i="24"/>
  <c r="AA86" i="24"/>
  <c r="Z86" i="24"/>
  <c r="Z111" i="24" s="1"/>
  <c r="I111" i="24" s="1"/>
  <c r="Y86" i="24"/>
  <c r="X86" i="24"/>
  <c r="W86" i="24"/>
  <c r="W111" i="24" s="1"/>
  <c r="F111" i="24" s="1"/>
  <c r="V86" i="24"/>
  <c r="V111" i="24" s="1"/>
  <c r="E111" i="24" s="1"/>
  <c r="U86" i="24"/>
  <c r="O86" i="24"/>
  <c r="N86" i="24"/>
  <c r="C86" i="24"/>
  <c r="C85" i="24"/>
  <c r="C83" i="24"/>
  <c r="AD82" i="24"/>
  <c r="AC82" i="24"/>
  <c r="AB82" i="24"/>
  <c r="AA82" i="24"/>
  <c r="Z82" i="24"/>
  <c r="Y82" i="24"/>
  <c r="X82" i="24"/>
  <c r="W82" i="24"/>
  <c r="V82" i="24"/>
  <c r="U82" i="24"/>
  <c r="O82" i="24"/>
  <c r="N82" i="24"/>
  <c r="AD81" i="24"/>
  <c r="AC81" i="24"/>
  <c r="AB81" i="24"/>
  <c r="AA81" i="24"/>
  <c r="Z81" i="24"/>
  <c r="Y81" i="24"/>
  <c r="X81" i="24"/>
  <c r="W81" i="24"/>
  <c r="V81" i="24"/>
  <c r="U81" i="24"/>
  <c r="N81" i="24"/>
  <c r="O81" i="24" s="1"/>
  <c r="AD80" i="24"/>
  <c r="AC80" i="24"/>
  <c r="AB80" i="24"/>
  <c r="AA80" i="24"/>
  <c r="Z80" i="24"/>
  <c r="Y80" i="24"/>
  <c r="X80" i="24"/>
  <c r="W80" i="24"/>
  <c r="V80" i="24"/>
  <c r="U80" i="24"/>
  <c r="O80" i="24"/>
  <c r="N80" i="24"/>
  <c r="AD79" i="24"/>
  <c r="AC79" i="24"/>
  <c r="AB79" i="24"/>
  <c r="AA79" i="24"/>
  <c r="Z79" i="24"/>
  <c r="Y79" i="24"/>
  <c r="X79" i="24"/>
  <c r="W79" i="24"/>
  <c r="V79" i="24"/>
  <c r="U79" i="24"/>
  <c r="N79" i="24"/>
  <c r="O79" i="24" s="1"/>
  <c r="AD78" i="24"/>
  <c r="AC78" i="24"/>
  <c r="AB78" i="24"/>
  <c r="AA78" i="24"/>
  <c r="Z78" i="24"/>
  <c r="Y78" i="24"/>
  <c r="X78" i="24"/>
  <c r="W78" i="24"/>
  <c r="V78" i="24"/>
  <c r="U78" i="24"/>
  <c r="O78" i="24"/>
  <c r="N78" i="24"/>
  <c r="AD77" i="24"/>
  <c r="AC77" i="24"/>
  <c r="AB77" i="24"/>
  <c r="AA77" i="24"/>
  <c r="Z77" i="24"/>
  <c r="Y77" i="24"/>
  <c r="X77" i="24"/>
  <c r="W77" i="24"/>
  <c r="V77" i="24"/>
  <c r="U77" i="24"/>
  <c r="N77" i="24"/>
  <c r="O77" i="24" s="1"/>
  <c r="AD76" i="24"/>
  <c r="AC76" i="24"/>
  <c r="AB76" i="24"/>
  <c r="AA76" i="24"/>
  <c r="Z76" i="24"/>
  <c r="Y76" i="24"/>
  <c r="X76" i="24"/>
  <c r="W76" i="24"/>
  <c r="V76" i="24"/>
  <c r="U76" i="24"/>
  <c r="O76" i="24"/>
  <c r="N76" i="24"/>
  <c r="AD75" i="24"/>
  <c r="AC75" i="24"/>
  <c r="AB75" i="24"/>
  <c r="AA75" i="24"/>
  <c r="Z75" i="24"/>
  <c r="Y75" i="24"/>
  <c r="X75" i="24"/>
  <c r="W75" i="24"/>
  <c r="V75" i="24"/>
  <c r="U75" i="24"/>
  <c r="N75" i="24"/>
  <c r="O75" i="24" s="1"/>
  <c r="AD74" i="24"/>
  <c r="AC74" i="24"/>
  <c r="AB74" i="24"/>
  <c r="AA74" i="24"/>
  <c r="Z74" i="24"/>
  <c r="Y74" i="24"/>
  <c r="X74" i="24"/>
  <c r="W74" i="24"/>
  <c r="V74" i="24"/>
  <c r="U74" i="24"/>
  <c r="O74" i="24"/>
  <c r="N74" i="24"/>
  <c r="AD73" i="24"/>
  <c r="AC73" i="24"/>
  <c r="AB73" i="24"/>
  <c r="AA73" i="24"/>
  <c r="Z73" i="24"/>
  <c r="Y73" i="24"/>
  <c r="X73" i="24"/>
  <c r="W73" i="24"/>
  <c r="V73" i="24"/>
  <c r="U73" i="24"/>
  <c r="N73" i="24"/>
  <c r="O73" i="24" s="1"/>
  <c r="AD72" i="24"/>
  <c r="AC72" i="24"/>
  <c r="AB72" i="24"/>
  <c r="AA72" i="24"/>
  <c r="Z72" i="24"/>
  <c r="Y72" i="24"/>
  <c r="X72" i="24"/>
  <c r="W72" i="24"/>
  <c r="V72" i="24"/>
  <c r="U72" i="24"/>
  <c r="O72" i="24"/>
  <c r="N72" i="24"/>
  <c r="AD71" i="24"/>
  <c r="AC71" i="24"/>
  <c r="AB71" i="24"/>
  <c r="AA71" i="24"/>
  <c r="Z71" i="24"/>
  <c r="Y71" i="24"/>
  <c r="X71" i="24"/>
  <c r="W71" i="24"/>
  <c r="V71" i="24"/>
  <c r="U71" i="24"/>
  <c r="N71" i="24"/>
  <c r="O71" i="24" s="1"/>
  <c r="AD70" i="24"/>
  <c r="AC70" i="24"/>
  <c r="AB70" i="24"/>
  <c r="AA70" i="24"/>
  <c r="Z70" i="24"/>
  <c r="Y70" i="24"/>
  <c r="X70" i="24"/>
  <c r="W70" i="24"/>
  <c r="V70" i="24"/>
  <c r="U70" i="24"/>
  <c r="O70" i="24"/>
  <c r="N70" i="24"/>
  <c r="AD69" i="24"/>
  <c r="AC69" i="24"/>
  <c r="AB69" i="24"/>
  <c r="AA69" i="24"/>
  <c r="Z69" i="24"/>
  <c r="Y69" i="24"/>
  <c r="X69" i="24"/>
  <c r="W69" i="24"/>
  <c r="V69" i="24"/>
  <c r="U69" i="24"/>
  <c r="O69" i="24"/>
  <c r="AD68" i="24"/>
  <c r="AC68" i="24"/>
  <c r="AB68" i="24"/>
  <c r="AA68" i="24"/>
  <c r="Z68" i="24"/>
  <c r="Y68" i="24"/>
  <c r="X68" i="24"/>
  <c r="W68" i="24"/>
  <c r="V68" i="24"/>
  <c r="U68" i="24"/>
  <c r="N68" i="24"/>
  <c r="O68" i="24" s="1"/>
  <c r="AD67" i="24"/>
  <c r="AC67" i="24"/>
  <c r="AB67" i="24"/>
  <c r="AA67" i="24"/>
  <c r="Z67" i="24"/>
  <c r="Y67" i="24"/>
  <c r="X67" i="24"/>
  <c r="W67" i="24"/>
  <c r="V67" i="24"/>
  <c r="U67" i="24"/>
  <c r="O67" i="24"/>
  <c r="N67" i="24"/>
  <c r="AD66" i="24"/>
  <c r="AC66" i="24"/>
  <c r="AB66" i="24"/>
  <c r="AA66" i="24"/>
  <c r="Z66" i="24"/>
  <c r="Y66" i="24"/>
  <c r="X66" i="24"/>
  <c r="W66" i="24"/>
  <c r="V66" i="24"/>
  <c r="U66" i="24"/>
  <c r="N66" i="24"/>
  <c r="O66" i="24" s="1"/>
  <c r="AD65" i="24"/>
  <c r="AC65" i="24"/>
  <c r="AB65" i="24"/>
  <c r="AA65" i="24"/>
  <c r="Z65" i="24"/>
  <c r="Y65" i="24"/>
  <c r="X65" i="24"/>
  <c r="W65" i="24"/>
  <c r="V65" i="24"/>
  <c r="U65" i="24"/>
  <c r="O65" i="24"/>
  <c r="N65" i="24"/>
  <c r="AD64" i="24"/>
  <c r="AC64" i="24"/>
  <c r="AB64" i="24"/>
  <c r="AA64" i="24"/>
  <c r="Z64" i="24"/>
  <c r="Y64" i="24"/>
  <c r="X64" i="24"/>
  <c r="W64" i="24"/>
  <c r="V64" i="24"/>
  <c r="U64" i="24"/>
  <c r="O64" i="24"/>
  <c r="AD63" i="24"/>
  <c r="AC63" i="24"/>
  <c r="AB63" i="24"/>
  <c r="AA63" i="24"/>
  <c r="Z63" i="24"/>
  <c r="Y63" i="24"/>
  <c r="X63" i="24"/>
  <c r="W63" i="24"/>
  <c r="V63" i="24"/>
  <c r="U63" i="24"/>
  <c r="O63" i="24"/>
  <c r="N63" i="24"/>
  <c r="AD62" i="24"/>
  <c r="AC62" i="24"/>
  <c r="AB62" i="24"/>
  <c r="AA62" i="24"/>
  <c r="Z62" i="24"/>
  <c r="Y62" i="24"/>
  <c r="X62" i="24"/>
  <c r="W62" i="24"/>
  <c r="V62" i="24"/>
  <c r="U62" i="24"/>
  <c r="N62" i="24"/>
  <c r="O62" i="24" s="1"/>
  <c r="AD61" i="24"/>
  <c r="AC61" i="24"/>
  <c r="AB61" i="24"/>
  <c r="AA61" i="24"/>
  <c r="Z61" i="24"/>
  <c r="Y61" i="24"/>
  <c r="X61" i="24"/>
  <c r="W61" i="24"/>
  <c r="V61" i="24"/>
  <c r="U61" i="24"/>
  <c r="N61" i="24"/>
  <c r="O61" i="24" s="1"/>
  <c r="AD60" i="24"/>
  <c r="AC60" i="24"/>
  <c r="AB60" i="24"/>
  <c r="AA60" i="24"/>
  <c r="Z60" i="24"/>
  <c r="Y60" i="24"/>
  <c r="X60" i="24"/>
  <c r="W60" i="24"/>
  <c r="V60" i="24"/>
  <c r="U60" i="24"/>
  <c r="N60" i="24"/>
  <c r="O60" i="24" s="1"/>
  <c r="AD59" i="24"/>
  <c r="AC59" i="24"/>
  <c r="AB59" i="24"/>
  <c r="AA59" i="24"/>
  <c r="Z59" i="24"/>
  <c r="Y59" i="24"/>
  <c r="X59" i="24"/>
  <c r="W59" i="24"/>
  <c r="V59" i="24"/>
  <c r="U59" i="24"/>
  <c r="O59" i="24"/>
  <c r="AD58" i="24"/>
  <c r="AC58" i="24"/>
  <c r="AB58" i="24"/>
  <c r="AA58" i="24"/>
  <c r="Z58" i="24"/>
  <c r="Y58" i="24"/>
  <c r="X58" i="24"/>
  <c r="W58" i="24"/>
  <c r="V58" i="24"/>
  <c r="U58" i="24"/>
  <c r="N58" i="24"/>
  <c r="O58" i="24" s="1"/>
  <c r="AD57" i="24"/>
  <c r="AC57" i="24"/>
  <c r="AB57" i="24"/>
  <c r="AA57" i="24"/>
  <c r="Z57" i="24"/>
  <c r="Y57" i="24"/>
  <c r="X57" i="24"/>
  <c r="W57" i="24"/>
  <c r="V57" i="24"/>
  <c r="U57" i="24"/>
  <c r="N57" i="24"/>
  <c r="O57" i="24" s="1"/>
  <c r="AD56" i="24"/>
  <c r="AC56" i="24"/>
  <c r="AB56" i="24"/>
  <c r="AA56" i="24"/>
  <c r="Z56" i="24"/>
  <c r="Y56" i="24"/>
  <c r="X56" i="24"/>
  <c r="W56" i="24"/>
  <c r="V56" i="24"/>
  <c r="U56" i="24"/>
  <c r="N56" i="24"/>
  <c r="O56" i="24" s="1"/>
  <c r="AD55" i="24"/>
  <c r="AC55" i="24"/>
  <c r="AB55" i="24"/>
  <c r="AA55" i="24"/>
  <c r="Z55" i="24"/>
  <c r="Y55" i="24"/>
  <c r="X55" i="24"/>
  <c r="W55" i="24"/>
  <c r="V55" i="24"/>
  <c r="U55" i="24"/>
  <c r="O55" i="24"/>
  <c r="AD54" i="24"/>
  <c r="AC54" i="24"/>
  <c r="AB54" i="24"/>
  <c r="AA54" i="24"/>
  <c r="Z54" i="24"/>
  <c r="Y54" i="24"/>
  <c r="X54" i="24"/>
  <c r="W54" i="24"/>
  <c r="V54" i="24"/>
  <c r="U54" i="24"/>
  <c r="N54" i="24"/>
  <c r="O54" i="24" s="1"/>
  <c r="AD53" i="24"/>
  <c r="AC53" i="24"/>
  <c r="AB53" i="24"/>
  <c r="AA53" i="24"/>
  <c r="Z53" i="24"/>
  <c r="Y53" i="24"/>
  <c r="X53" i="24"/>
  <c r="W53" i="24"/>
  <c r="V53" i="24"/>
  <c r="U53" i="24"/>
  <c r="N53" i="24"/>
  <c r="O53" i="24" s="1"/>
  <c r="AD52" i="24"/>
  <c r="AC52" i="24"/>
  <c r="AB52" i="24"/>
  <c r="AA52" i="24"/>
  <c r="Z52" i="24"/>
  <c r="Y52" i="24"/>
  <c r="X52" i="24"/>
  <c r="W52" i="24"/>
  <c r="V52" i="24"/>
  <c r="U52" i="24"/>
  <c r="O52" i="24"/>
  <c r="N52" i="24"/>
  <c r="AD51" i="24"/>
  <c r="AC51" i="24"/>
  <c r="AB51" i="24"/>
  <c r="AA51" i="24"/>
  <c r="Z51" i="24"/>
  <c r="Y51" i="24"/>
  <c r="X51" i="24"/>
  <c r="W51" i="24"/>
  <c r="V51" i="24"/>
  <c r="U51" i="24"/>
  <c r="N51" i="24"/>
  <c r="O51" i="24" s="1"/>
  <c r="AD50" i="24"/>
  <c r="AC50" i="24"/>
  <c r="AB50" i="24"/>
  <c r="AA50" i="24"/>
  <c r="Z50" i="24"/>
  <c r="Y50" i="24"/>
  <c r="X50" i="24"/>
  <c r="W50" i="24"/>
  <c r="V50" i="24"/>
  <c r="U50" i="24"/>
  <c r="O50" i="24"/>
  <c r="AD49" i="24"/>
  <c r="AC49" i="24"/>
  <c r="AB49" i="24"/>
  <c r="AA49" i="24"/>
  <c r="Z49" i="24"/>
  <c r="Y49" i="24"/>
  <c r="X49" i="24"/>
  <c r="W49" i="24"/>
  <c r="V49" i="24"/>
  <c r="U49" i="24"/>
  <c r="N49" i="24"/>
  <c r="O49" i="24" s="1"/>
  <c r="AD48" i="24"/>
  <c r="AC48" i="24"/>
  <c r="AB48" i="24"/>
  <c r="AA48" i="24"/>
  <c r="Z48" i="24"/>
  <c r="Y48" i="24"/>
  <c r="X48" i="24"/>
  <c r="W48" i="24"/>
  <c r="V48" i="24"/>
  <c r="U48" i="24"/>
  <c r="N48" i="24"/>
  <c r="O48" i="24" s="1"/>
  <c r="AD47" i="24"/>
  <c r="AC47" i="24"/>
  <c r="AB47" i="24"/>
  <c r="AA47" i="24"/>
  <c r="Z47" i="24"/>
  <c r="Y47" i="24"/>
  <c r="X47" i="24"/>
  <c r="W47" i="24"/>
  <c r="V47" i="24"/>
  <c r="U47" i="24"/>
  <c r="O47" i="24"/>
  <c r="N47" i="24"/>
  <c r="AD46" i="24"/>
  <c r="AC46" i="24"/>
  <c r="AB46" i="24"/>
  <c r="AA46" i="24"/>
  <c r="Z46" i="24"/>
  <c r="Y46" i="24"/>
  <c r="X46" i="24"/>
  <c r="W46" i="24"/>
  <c r="V46" i="24"/>
  <c r="U46" i="24"/>
  <c r="N46" i="24"/>
  <c r="O46" i="24" s="1"/>
  <c r="AD45" i="24"/>
  <c r="AC45" i="24"/>
  <c r="AB45" i="24"/>
  <c r="AA45" i="24"/>
  <c r="Z45" i="24"/>
  <c r="Y45" i="24"/>
  <c r="X45" i="24"/>
  <c r="W45" i="24"/>
  <c r="V45" i="24"/>
  <c r="U45" i="24"/>
  <c r="O45" i="24"/>
  <c r="AD44" i="24"/>
  <c r="AC44" i="24"/>
  <c r="AB44" i="24"/>
  <c r="AA44" i="24"/>
  <c r="Z44" i="24"/>
  <c r="Y44" i="24"/>
  <c r="X44" i="24"/>
  <c r="W44" i="24"/>
  <c r="V44" i="24"/>
  <c r="U44" i="24"/>
  <c r="N44" i="24"/>
  <c r="O44" i="24" s="1"/>
  <c r="AD43" i="24"/>
  <c r="AC43" i="24"/>
  <c r="AB43" i="24"/>
  <c r="AA43" i="24"/>
  <c r="Z43" i="24"/>
  <c r="Y43" i="24"/>
  <c r="X43" i="24"/>
  <c r="W43" i="24"/>
  <c r="V43" i="24"/>
  <c r="U43" i="24"/>
  <c r="N43" i="24"/>
  <c r="O43" i="24" s="1"/>
  <c r="AD42" i="24"/>
  <c r="AC42" i="24"/>
  <c r="AB42" i="24"/>
  <c r="AA42" i="24"/>
  <c r="Z42" i="24"/>
  <c r="Y42" i="24"/>
  <c r="X42" i="24"/>
  <c r="W42" i="24"/>
  <c r="V42" i="24"/>
  <c r="U42" i="24"/>
  <c r="N42" i="24"/>
  <c r="O42" i="24" s="1"/>
  <c r="AD41" i="24"/>
  <c r="AC41" i="24"/>
  <c r="AB41" i="24"/>
  <c r="AA41" i="24"/>
  <c r="Z41" i="24"/>
  <c r="Y41" i="24"/>
  <c r="X41" i="24"/>
  <c r="W41" i="24"/>
  <c r="V41" i="24"/>
  <c r="U41" i="24"/>
  <c r="N41" i="24"/>
  <c r="O41" i="24" s="1"/>
  <c r="AD40" i="24"/>
  <c r="AC40" i="24"/>
  <c r="AB40" i="24"/>
  <c r="AA40" i="24"/>
  <c r="Z40" i="24"/>
  <c r="Y40" i="24"/>
  <c r="X40" i="24"/>
  <c r="W40" i="24"/>
  <c r="V40" i="24"/>
  <c r="U40" i="24"/>
  <c r="O40" i="24"/>
  <c r="AD39" i="24"/>
  <c r="AC39" i="24"/>
  <c r="AB39" i="24"/>
  <c r="AA39" i="24"/>
  <c r="Z39" i="24"/>
  <c r="Y39" i="24"/>
  <c r="X39" i="24"/>
  <c r="W39" i="24"/>
  <c r="V39" i="24"/>
  <c r="U39" i="24"/>
  <c r="N39" i="24"/>
  <c r="O39" i="24" s="1"/>
  <c r="AD38" i="24"/>
  <c r="AC38" i="24"/>
  <c r="AB38" i="24"/>
  <c r="AA38" i="24"/>
  <c r="Z38" i="24"/>
  <c r="Y38" i="24"/>
  <c r="X38" i="24"/>
  <c r="W38" i="24"/>
  <c r="V38" i="24"/>
  <c r="U38" i="24"/>
  <c r="N38" i="24"/>
  <c r="O38" i="24" s="1"/>
  <c r="AD37" i="24"/>
  <c r="AC37" i="24"/>
  <c r="AB37" i="24"/>
  <c r="AA37" i="24"/>
  <c r="Z37" i="24"/>
  <c r="Y37" i="24"/>
  <c r="X37" i="24"/>
  <c r="W37" i="24"/>
  <c r="V37" i="24"/>
  <c r="U37" i="24"/>
  <c r="N37" i="24"/>
  <c r="O37" i="24" s="1"/>
  <c r="AD36" i="24"/>
  <c r="AC36" i="24"/>
  <c r="AB36" i="24"/>
  <c r="AA36" i="24"/>
  <c r="Z36" i="24"/>
  <c r="Y36" i="24"/>
  <c r="X36" i="24"/>
  <c r="W36" i="24"/>
  <c r="V36" i="24"/>
  <c r="U36" i="24"/>
  <c r="N36" i="24"/>
  <c r="O36" i="24" s="1"/>
  <c r="AD35" i="24"/>
  <c r="AC35" i="24"/>
  <c r="AB35" i="24"/>
  <c r="AA35" i="24"/>
  <c r="Z35" i="24"/>
  <c r="Y35" i="24"/>
  <c r="X35" i="24"/>
  <c r="W35" i="24"/>
  <c r="V35" i="24"/>
  <c r="U35" i="24"/>
  <c r="O35" i="24"/>
  <c r="AD34" i="24"/>
  <c r="AC34" i="24"/>
  <c r="AB34" i="24"/>
  <c r="AA34" i="24"/>
  <c r="Z34" i="24"/>
  <c r="Y34" i="24"/>
  <c r="X34" i="24"/>
  <c r="W34" i="24"/>
  <c r="V34" i="24"/>
  <c r="U34" i="24"/>
  <c r="N34" i="24"/>
  <c r="O34" i="24" s="1"/>
  <c r="AD33" i="24"/>
  <c r="AC33" i="24"/>
  <c r="AB33" i="24"/>
  <c r="AA33" i="24"/>
  <c r="Z33" i="24"/>
  <c r="Y33" i="24"/>
  <c r="X33" i="24"/>
  <c r="W33" i="24"/>
  <c r="V33" i="24"/>
  <c r="U33" i="24"/>
  <c r="N33" i="24"/>
  <c r="O33" i="24" s="1"/>
  <c r="AD32" i="24"/>
  <c r="AC32" i="24"/>
  <c r="AB32" i="24"/>
  <c r="AA32" i="24"/>
  <c r="Z32" i="24"/>
  <c r="Y32" i="24"/>
  <c r="X32" i="24"/>
  <c r="W32" i="24"/>
  <c r="V32" i="24"/>
  <c r="U32" i="24"/>
  <c r="O32" i="24"/>
  <c r="N32" i="24"/>
  <c r="AD31" i="24"/>
  <c r="AC31" i="24"/>
  <c r="AB31" i="24"/>
  <c r="AA31" i="24"/>
  <c r="Z31" i="24"/>
  <c r="Y31" i="24"/>
  <c r="X31" i="24"/>
  <c r="W31" i="24"/>
  <c r="V31" i="24"/>
  <c r="U31" i="24"/>
  <c r="N31" i="24"/>
  <c r="O31" i="24" s="1"/>
  <c r="AD30" i="24"/>
  <c r="AC30" i="24"/>
  <c r="AB30" i="24"/>
  <c r="AA30" i="24"/>
  <c r="Z30" i="24"/>
  <c r="Y30" i="24"/>
  <c r="X30" i="24"/>
  <c r="W30" i="24"/>
  <c r="V30" i="24"/>
  <c r="U30" i="24"/>
  <c r="N30" i="24"/>
  <c r="O30" i="24" s="1"/>
  <c r="AD29" i="24"/>
  <c r="AC29" i="24"/>
  <c r="AB29" i="24"/>
  <c r="AA29" i="24"/>
  <c r="Z29" i="24"/>
  <c r="Y29" i="24"/>
  <c r="X29" i="24"/>
  <c r="W29" i="24"/>
  <c r="V29" i="24"/>
  <c r="U29" i="24"/>
  <c r="N29" i="24"/>
  <c r="O29" i="24" s="1"/>
  <c r="AD28" i="24"/>
  <c r="AC28" i="24"/>
  <c r="AB28" i="24"/>
  <c r="AA28" i="24"/>
  <c r="Z28" i="24"/>
  <c r="Y28" i="24"/>
  <c r="X28" i="24"/>
  <c r="W28" i="24"/>
  <c r="V28" i="24"/>
  <c r="U28" i="24"/>
  <c r="N28" i="24"/>
  <c r="O28" i="24" s="1"/>
  <c r="AD27" i="24"/>
  <c r="AC27" i="24"/>
  <c r="AB27" i="24"/>
  <c r="AA27" i="24"/>
  <c r="Z27" i="24"/>
  <c r="Y27" i="24"/>
  <c r="X27" i="24"/>
  <c r="W27" i="24"/>
  <c r="V27" i="24"/>
  <c r="U27" i="24"/>
  <c r="N27" i="24"/>
  <c r="O27" i="24" s="1"/>
  <c r="AD26" i="24"/>
  <c r="AC26" i="24"/>
  <c r="AB26" i="24"/>
  <c r="AA26" i="24"/>
  <c r="Z26" i="24"/>
  <c r="Y26" i="24"/>
  <c r="X26" i="24"/>
  <c r="W26" i="24"/>
  <c r="V26" i="24"/>
  <c r="U26" i="24"/>
  <c r="N26" i="24"/>
  <c r="O26" i="24" s="1"/>
  <c r="AD25" i="24"/>
  <c r="AC25" i="24"/>
  <c r="AB25" i="24"/>
  <c r="AA25" i="24"/>
  <c r="Z25" i="24"/>
  <c r="Y25" i="24"/>
  <c r="X25" i="24"/>
  <c r="W25" i="24"/>
  <c r="V25" i="24"/>
  <c r="U25" i="24"/>
  <c r="N25" i="24"/>
  <c r="O25" i="24" s="1"/>
  <c r="AD24" i="24"/>
  <c r="AC24" i="24"/>
  <c r="AB24" i="24"/>
  <c r="AA24" i="24"/>
  <c r="Z24" i="24"/>
  <c r="Y24" i="24"/>
  <c r="X24" i="24"/>
  <c r="W24" i="24"/>
  <c r="V24" i="24"/>
  <c r="U24" i="24"/>
  <c r="N24" i="24"/>
  <c r="O24" i="24" s="1"/>
  <c r="AD23" i="24"/>
  <c r="AC23" i="24"/>
  <c r="AB23" i="24"/>
  <c r="AA23" i="24"/>
  <c r="Z23" i="24"/>
  <c r="Y23" i="24"/>
  <c r="X23" i="24"/>
  <c r="W23" i="24"/>
  <c r="V23" i="24"/>
  <c r="U23" i="24"/>
  <c r="N23" i="24"/>
  <c r="O23" i="24" s="1"/>
  <c r="AD22" i="24"/>
  <c r="AC22" i="24"/>
  <c r="AB22" i="24"/>
  <c r="AA22" i="24"/>
  <c r="Z22" i="24"/>
  <c r="Y22" i="24"/>
  <c r="X22" i="24"/>
  <c r="W22" i="24"/>
  <c r="V22" i="24"/>
  <c r="U22" i="24"/>
  <c r="N22" i="24"/>
  <c r="O22" i="24" s="1"/>
  <c r="AD21" i="24"/>
  <c r="AC21" i="24"/>
  <c r="AB21" i="24"/>
  <c r="AA21" i="24"/>
  <c r="Z21" i="24"/>
  <c r="Y21" i="24"/>
  <c r="X21" i="24"/>
  <c r="W21" i="24"/>
  <c r="V21" i="24"/>
  <c r="U21" i="24"/>
  <c r="N21" i="24"/>
  <c r="O21" i="24" s="1"/>
  <c r="AD20" i="24"/>
  <c r="AC20" i="24"/>
  <c r="AB20" i="24"/>
  <c r="AA20" i="24"/>
  <c r="Z20" i="24"/>
  <c r="Y20" i="24"/>
  <c r="X20" i="24"/>
  <c r="W20" i="24"/>
  <c r="V20" i="24"/>
  <c r="U20" i="24"/>
  <c r="O20" i="24"/>
  <c r="N20" i="24"/>
  <c r="C20" i="24"/>
  <c r="AD19" i="24"/>
  <c r="AC19" i="24"/>
  <c r="AB19" i="24"/>
  <c r="AA19" i="24"/>
  <c r="Z19" i="24"/>
  <c r="Y19" i="24"/>
  <c r="X19" i="24"/>
  <c r="W19" i="24"/>
  <c r="V19" i="24"/>
  <c r="U19" i="24"/>
  <c r="N19" i="24"/>
  <c r="O19" i="24" s="1"/>
  <c r="C19" i="24"/>
  <c r="AD18" i="24"/>
  <c r="AC18" i="24"/>
  <c r="AB18" i="24"/>
  <c r="AA18" i="24"/>
  <c r="Z18" i="24"/>
  <c r="Y18" i="24"/>
  <c r="X18" i="24"/>
  <c r="W18" i="24"/>
  <c r="V18" i="24"/>
  <c r="U18" i="24"/>
  <c r="N18" i="24"/>
  <c r="O18" i="24" s="1"/>
  <c r="C18" i="24"/>
  <c r="AD17" i="24"/>
  <c r="AC17" i="24"/>
  <c r="AB17" i="24"/>
  <c r="AA17" i="24"/>
  <c r="Z17" i="24"/>
  <c r="Y17" i="24"/>
  <c r="X17" i="24"/>
  <c r="W17" i="24"/>
  <c r="V17" i="24"/>
  <c r="U17" i="24"/>
  <c r="N17" i="24"/>
  <c r="O17" i="24" s="1"/>
  <c r="C17" i="24"/>
  <c r="AD16" i="24"/>
  <c r="AC16" i="24"/>
  <c r="AB16" i="24"/>
  <c r="AA16" i="24"/>
  <c r="Z16" i="24"/>
  <c r="Y16" i="24"/>
  <c r="X16" i="24"/>
  <c r="W16" i="24"/>
  <c r="V16" i="24"/>
  <c r="U16" i="24"/>
  <c r="N16" i="24"/>
  <c r="O16" i="24" s="1"/>
  <c r="C16" i="24"/>
  <c r="AD15" i="24"/>
  <c r="AC15" i="24"/>
  <c r="AB15" i="24"/>
  <c r="AA15" i="24"/>
  <c r="Z15" i="24"/>
  <c r="Y15" i="24"/>
  <c r="X15" i="24"/>
  <c r="W15" i="24"/>
  <c r="V15" i="24"/>
  <c r="U15" i="24"/>
  <c r="O15" i="24"/>
  <c r="N15" i="24"/>
  <c r="C15" i="24"/>
  <c r="AD14" i="24"/>
  <c r="AC14" i="24"/>
  <c r="AB14" i="24"/>
  <c r="AA14" i="24"/>
  <c r="Z14" i="24"/>
  <c r="Y14" i="24"/>
  <c r="X14" i="24"/>
  <c r="W14" i="24"/>
  <c r="V14" i="24"/>
  <c r="U14" i="24"/>
  <c r="N14" i="24"/>
  <c r="O14" i="24" s="1"/>
  <c r="AD13" i="24"/>
  <c r="AC13" i="24"/>
  <c r="AB13" i="24"/>
  <c r="AA13" i="24"/>
  <c r="Z13" i="24"/>
  <c r="Y13" i="24"/>
  <c r="X13" i="24"/>
  <c r="W13" i="24"/>
  <c r="V13" i="24"/>
  <c r="U13" i="24"/>
  <c r="O13" i="24"/>
  <c r="N13" i="24"/>
  <c r="C13" i="24"/>
  <c r="AD12" i="24"/>
  <c r="AC12" i="24"/>
  <c r="AB12" i="24"/>
  <c r="AA12" i="24"/>
  <c r="Z12" i="24"/>
  <c r="Y12" i="24"/>
  <c r="X12" i="24"/>
  <c r="W12" i="24"/>
  <c r="V12" i="24"/>
  <c r="U12" i="24"/>
  <c r="N12" i="24"/>
  <c r="C12" i="24"/>
  <c r="AD11" i="24"/>
  <c r="AC11" i="24"/>
  <c r="AB11" i="24"/>
  <c r="AA11" i="24"/>
  <c r="Z11" i="24"/>
  <c r="Y11" i="24"/>
  <c r="X11" i="24"/>
  <c r="W11" i="24"/>
  <c r="V11" i="24"/>
  <c r="U11" i="24"/>
  <c r="N11" i="24"/>
  <c r="O11" i="24" s="1"/>
  <c r="C11" i="24"/>
  <c r="AD10" i="24"/>
  <c r="AC10" i="24"/>
  <c r="AB10" i="24"/>
  <c r="AA10" i="24"/>
  <c r="Z10" i="24"/>
  <c r="Y10" i="24"/>
  <c r="X10" i="24"/>
  <c r="W10" i="24"/>
  <c r="V10" i="24"/>
  <c r="U10" i="24"/>
  <c r="N10" i="24"/>
  <c r="O10" i="24" s="1"/>
  <c r="C10" i="24"/>
  <c r="AD9" i="24"/>
  <c r="AC9" i="24"/>
  <c r="AB9" i="24"/>
  <c r="AA9" i="24"/>
  <c r="Z9" i="24"/>
  <c r="Y9" i="24"/>
  <c r="X9" i="24"/>
  <c r="W9" i="24"/>
  <c r="V9" i="24"/>
  <c r="U9" i="24"/>
  <c r="N9" i="24"/>
  <c r="O9" i="24" s="1"/>
  <c r="C9" i="24"/>
  <c r="AD8" i="24"/>
  <c r="AD83" i="24" s="1"/>
  <c r="M83" i="24" s="1"/>
  <c r="M112" i="24" s="1"/>
  <c r="AC8" i="24"/>
  <c r="AB8" i="24"/>
  <c r="AA8" i="24"/>
  <c r="Z8" i="24"/>
  <c r="Y8" i="24"/>
  <c r="X8" i="24"/>
  <c r="W8" i="24"/>
  <c r="V8" i="24"/>
  <c r="U8" i="24"/>
  <c r="N8" i="24"/>
  <c r="O8" i="24" s="1"/>
  <c r="C8" i="24"/>
  <c r="M7" i="24"/>
  <c r="L7" i="24"/>
  <c r="K7" i="24"/>
  <c r="J7" i="24"/>
  <c r="I7" i="24"/>
  <c r="H7" i="24"/>
  <c r="G7" i="24"/>
  <c r="F7" i="24"/>
  <c r="E7" i="24"/>
  <c r="D7" i="24"/>
  <c r="M6" i="24"/>
  <c r="L6" i="24"/>
  <c r="K6" i="24"/>
  <c r="J6" i="24"/>
  <c r="I6" i="24"/>
  <c r="H6" i="24"/>
  <c r="G6" i="24"/>
  <c r="F6" i="24"/>
  <c r="E6" i="24"/>
  <c r="D6" i="24"/>
  <c r="C6" i="24"/>
  <c r="O4" i="24"/>
  <c r="O3" i="24"/>
  <c r="N113" i="23"/>
  <c r="C113" i="23"/>
  <c r="N112" i="23"/>
  <c r="C112" i="23"/>
  <c r="C111" i="23"/>
  <c r="AD110" i="23"/>
  <c r="AC110" i="23"/>
  <c r="AB110" i="23"/>
  <c r="AA110" i="23"/>
  <c r="Z110" i="23"/>
  <c r="Y110" i="23"/>
  <c r="X110" i="23"/>
  <c r="W110" i="23"/>
  <c r="V110" i="23"/>
  <c r="U110" i="23"/>
  <c r="O110" i="23"/>
  <c r="N110" i="23"/>
  <c r="AD109" i="23"/>
  <c r="AC109" i="23"/>
  <c r="AB109" i="23"/>
  <c r="AA109" i="23"/>
  <c r="Z109" i="23"/>
  <c r="Y109" i="23"/>
  <c r="X109" i="23"/>
  <c r="W109" i="23"/>
  <c r="V109" i="23"/>
  <c r="U109" i="23"/>
  <c r="O109" i="23"/>
  <c r="N109" i="23"/>
  <c r="AD108" i="23"/>
  <c r="AC108" i="23"/>
  <c r="AB108" i="23"/>
  <c r="AA108" i="23"/>
  <c r="Z108" i="23"/>
  <c r="Y108" i="23"/>
  <c r="X108" i="23"/>
  <c r="W108" i="23"/>
  <c r="V108" i="23"/>
  <c r="U108" i="23"/>
  <c r="O108" i="23"/>
  <c r="N108" i="23"/>
  <c r="AD107" i="23"/>
  <c r="AC107" i="23"/>
  <c r="AB107" i="23"/>
  <c r="AA107" i="23"/>
  <c r="Z107" i="23"/>
  <c r="Y107" i="23"/>
  <c r="X107" i="23"/>
  <c r="W107" i="23"/>
  <c r="V107" i="23"/>
  <c r="U107" i="23"/>
  <c r="O107" i="23"/>
  <c r="N107" i="23"/>
  <c r="AD106" i="23"/>
  <c r="AC106" i="23"/>
  <c r="AB106" i="23"/>
  <c r="AA106" i="23"/>
  <c r="Z106" i="23"/>
  <c r="Y106" i="23"/>
  <c r="X106" i="23"/>
  <c r="W106" i="23"/>
  <c r="V106" i="23"/>
  <c r="U106" i="23"/>
  <c r="O106" i="23"/>
  <c r="N106" i="23"/>
  <c r="AD105" i="23"/>
  <c r="AC105" i="23"/>
  <c r="AB105" i="23"/>
  <c r="AA105" i="23"/>
  <c r="Z105" i="23"/>
  <c r="Y105" i="23"/>
  <c r="X105" i="23"/>
  <c r="W105" i="23"/>
  <c r="V105" i="23"/>
  <c r="U105" i="23"/>
  <c r="O105" i="23"/>
  <c r="N105" i="23"/>
  <c r="AD104" i="23"/>
  <c r="AC104" i="23"/>
  <c r="AB104" i="23"/>
  <c r="AA104" i="23"/>
  <c r="Z104" i="23"/>
  <c r="Y104" i="23"/>
  <c r="X104" i="23"/>
  <c r="W104" i="23"/>
  <c r="V104" i="23"/>
  <c r="U104" i="23"/>
  <c r="O104" i="23"/>
  <c r="N104" i="23"/>
  <c r="AD103" i="23"/>
  <c r="AC103" i="23"/>
  <c r="AB103" i="23"/>
  <c r="AA103" i="23"/>
  <c r="Z103" i="23"/>
  <c r="Y103" i="23"/>
  <c r="X103" i="23"/>
  <c r="W103" i="23"/>
  <c r="V103" i="23"/>
  <c r="U103" i="23"/>
  <c r="O103" i="23"/>
  <c r="N103" i="23"/>
  <c r="AD102" i="23"/>
  <c r="AC102" i="23"/>
  <c r="AB102" i="23"/>
  <c r="AA102" i="23"/>
  <c r="Z102" i="23"/>
  <c r="Y102" i="23"/>
  <c r="X102" i="23"/>
  <c r="W102" i="23"/>
  <c r="V102" i="23"/>
  <c r="U102" i="23"/>
  <c r="O102" i="23"/>
  <c r="N102" i="23"/>
  <c r="AD101" i="23"/>
  <c r="AC101" i="23"/>
  <c r="AB101" i="23"/>
  <c r="AA101" i="23"/>
  <c r="Z101" i="23"/>
  <c r="Y101" i="23"/>
  <c r="X101" i="23"/>
  <c r="W101" i="23"/>
  <c r="V101" i="23"/>
  <c r="U101" i="23"/>
  <c r="O101" i="23"/>
  <c r="N101" i="23"/>
  <c r="AD100" i="23"/>
  <c r="AC100" i="23"/>
  <c r="AB100" i="23"/>
  <c r="AA100" i="23"/>
  <c r="Z100" i="23"/>
  <c r="Y100" i="23"/>
  <c r="X100" i="23"/>
  <c r="W100" i="23"/>
  <c r="V100" i="23"/>
  <c r="U100" i="23"/>
  <c r="O100" i="23"/>
  <c r="N100" i="23"/>
  <c r="AD99" i="23"/>
  <c r="AC99" i="23"/>
  <c r="AB99" i="23"/>
  <c r="AA99" i="23"/>
  <c r="Z99" i="23"/>
  <c r="Y99" i="23"/>
  <c r="X99" i="23"/>
  <c r="W99" i="23"/>
  <c r="V99" i="23"/>
  <c r="U99" i="23"/>
  <c r="O99" i="23"/>
  <c r="N99" i="23"/>
  <c r="AD98" i="23"/>
  <c r="AC98" i="23"/>
  <c r="AB98" i="23"/>
  <c r="AA98" i="23"/>
  <c r="Z98" i="23"/>
  <c r="Y98" i="23"/>
  <c r="X98" i="23"/>
  <c r="W98" i="23"/>
  <c r="V98" i="23"/>
  <c r="U98" i="23"/>
  <c r="O98" i="23"/>
  <c r="N98" i="23"/>
  <c r="AD97" i="23"/>
  <c r="AC97" i="23"/>
  <c r="AB97" i="23"/>
  <c r="AA97" i="23"/>
  <c r="Z97" i="23"/>
  <c r="Y97" i="23"/>
  <c r="X97" i="23"/>
  <c r="W97" i="23"/>
  <c r="V97" i="23"/>
  <c r="U97" i="23"/>
  <c r="N97" i="23"/>
  <c r="O97" i="23" s="1"/>
  <c r="AD96" i="23"/>
  <c r="AC96" i="23"/>
  <c r="AB96" i="23"/>
  <c r="AA96" i="23"/>
  <c r="Z96" i="23"/>
  <c r="Y96" i="23"/>
  <c r="X96" i="23"/>
  <c r="W96" i="23"/>
  <c r="V96" i="23"/>
  <c r="U96" i="23"/>
  <c r="N96" i="23"/>
  <c r="O96" i="23" s="1"/>
  <c r="AD95" i="23"/>
  <c r="AC95" i="23"/>
  <c r="AB95" i="23"/>
  <c r="AA95" i="23"/>
  <c r="Z95" i="23"/>
  <c r="Y95" i="23"/>
  <c r="X95" i="23"/>
  <c r="W95" i="23"/>
  <c r="V95" i="23"/>
  <c r="U95" i="23"/>
  <c r="N95" i="23"/>
  <c r="O95" i="23" s="1"/>
  <c r="AD94" i="23"/>
  <c r="AC94" i="23"/>
  <c r="AB94" i="23"/>
  <c r="AA94" i="23"/>
  <c r="Z94" i="23"/>
  <c r="Y94" i="23"/>
  <c r="X94" i="23"/>
  <c r="W94" i="23"/>
  <c r="V94" i="23"/>
  <c r="U94" i="23"/>
  <c r="N94" i="23"/>
  <c r="O94" i="23" s="1"/>
  <c r="AD93" i="23"/>
  <c r="AC93" i="23"/>
  <c r="AB93" i="23"/>
  <c r="AA93" i="23"/>
  <c r="Z93" i="23"/>
  <c r="Y93" i="23"/>
  <c r="X93" i="23"/>
  <c r="W93" i="23"/>
  <c r="V93" i="23"/>
  <c r="U93" i="23"/>
  <c r="N93" i="23"/>
  <c r="O93" i="23" s="1"/>
  <c r="AD92" i="23"/>
  <c r="AC92" i="23"/>
  <c r="AB92" i="23"/>
  <c r="AA92" i="23"/>
  <c r="Z92" i="23"/>
  <c r="Y92" i="23"/>
  <c r="X92" i="23"/>
  <c r="W92" i="23"/>
  <c r="V92" i="23"/>
  <c r="U92" i="23"/>
  <c r="O92" i="23"/>
  <c r="AD91" i="23"/>
  <c r="AC91" i="23"/>
  <c r="AB91" i="23"/>
  <c r="AA91" i="23"/>
  <c r="Z91" i="23"/>
  <c r="Y91" i="23"/>
  <c r="X91" i="23"/>
  <c r="W91" i="23"/>
  <c r="V91" i="23"/>
  <c r="U91" i="23"/>
  <c r="N91" i="23"/>
  <c r="AD90" i="23"/>
  <c r="AC90" i="23"/>
  <c r="AB90" i="23"/>
  <c r="AA90" i="23"/>
  <c r="Z90" i="23"/>
  <c r="Y90" i="23"/>
  <c r="X90" i="23"/>
  <c r="W90" i="23"/>
  <c r="V90" i="23"/>
  <c r="U90" i="23"/>
  <c r="N90" i="23"/>
  <c r="O90" i="23" s="1"/>
  <c r="AD89" i="23"/>
  <c r="AC89" i="23"/>
  <c r="AB89" i="23"/>
  <c r="AA89" i="23"/>
  <c r="Z89" i="23"/>
  <c r="Y89" i="23"/>
  <c r="X89" i="23"/>
  <c r="W89" i="23"/>
  <c r="V89" i="23"/>
  <c r="U89" i="23"/>
  <c r="N89" i="23"/>
  <c r="C89" i="23"/>
  <c r="AD88" i="23"/>
  <c r="AC88" i="23"/>
  <c r="AB88" i="23"/>
  <c r="AB111" i="23" s="1"/>
  <c r="K111" i="23" s="1"/>
  <c r="AA88" i="23"/>
  <c r="Z88" i="23"/>
  <c r="Y88" i="23"/>
  <c r="X88" i="23"/>
  <c r="W88" i="23"/>
  <c r="V88" i="23"/>
  <c r="U88" i="23"/>
  <c r="N88" i="23"/>
  <c r="O88" i="23" s="1"/>
  <c r="C88" i="23"/>
  <c r="AD87" i="23"/>
  <c r="AC87" i="23"/>
  <c r="AB87" i="23"/>
  <c r="AA87" i="23"/>
  <c r="Z87" i="23"/>
  <c r="Y87" i="23"/>
  <c r="X87" i="23"/>
  <c r="W87" i="23"/>
  <c r="V87" i="23"/>
  <c r="U87" i="23"/>
  <c r="N87" i="23"/>
  <c r="O87" i="23" s="1"/>
  <c r="C87" i="23"/>
  <c r="AD86" i="23"/>
  <c r="AC86" i="23"/>
  <c r="AB86" i="23"/>
  <c r="AA86" i="23"/>
  <c r="Z86" i="23"/>
  <c r="Y86" i="23"/>
  <c r="X86" i="23"/>
  <c r="W86" i="23"/>
  <c r="V86" i="23"/>
  <c r="U86" i="23"/>
  <c r="O86" i="23"/>
  <c r="N86" i="23"/>
  <c r="C86" i="23"/>
  <c r="C85" i="23"/>
  <c r="C83" i="23"/>
  <c r="AD82" i="23"/>
  <c r="AC82" i="23"/>
  <c r="AB82" i="23"/>
  <c r="AA82" i="23"/>
  <c r="Z82" i="23"/>
  <c r="Y82" i="23"/>
  <c r="X82" i="23"/>
  <c r="W82" i="23"/>
  <c r="V82" i="23"/>
  <c r="U82" i="23"/>
  <c r="O82" i="23"/>
  <c r="N82" i="23"/>
  <c r="AD81" i="23"/>
  <c r="AC81" i="23"/>
  <c r="AB81" i="23"/>
  <c r="AA81" i="23"/>
  <c r="Z81" i="23"/>
  <c r="Y81" i="23"/>
  <c r="X81" i="23"/>
  <c r="W81" i="23"/>
  <c r="V81" i="23"/>
  <c r="U81" i="23"/>
  <c r="O81" i="23"/>
  <c r="N81" i="23"/>
  <c r="AD80" i="23"/>
  <c r="AC80" i="23"/>
  <c r="AB80" i="23"/>
  <c r="AA80" i="23"/>
  <c r="Z80" i="23"/>
  <c r="Y80" i="23"/>
  <c r="X80" i="23"/>
  <c r="W80" i="23"/>
  <c r="V80" i="23"/>
  <c r="U80" i="23"/>
  <c r="O80" i="23"/>
  <c r="N80" i="23"/>
  <c r="AD79" i="23"/>
  <c r="AC79" i="23"/>
  <c r="AB79" i="23"/>
  <c r="AA79" i="23"/>
  <c r="Z79" i="23"/>
  <c r="Y79" i="23"/>
  <c r="X79" i="23"/>
  <c r="W79" i="23"/>
  <c r="V79" i="23"/>
  <c r="U79" i="23"/>
  <c r="O79" i="23"/>
  <c r="N79" i="23"/>
  <c r="AD78" i="23"/>
  <c r="AC78" i="23"/>
  <c r="AB78" i="23"/>
  <c r="AA78" i="23"/>
  <c r="Z78" i="23"/>
  <c r="Y78" i="23"/>
  <c r="X78" i="23"/>
  <c r="W78" i="23"/>
  <c r="V78" i="23"/>
  <c r="U78" i="23"/>
  <c r="O78" i="23"/>
  <c r="N78" i="23"/>
  <c r="AD77" i="23"/>
  <c r="AC77" i="23"/>
  <c r="AB77" i="23"/>
  <c r="AA77" i="23"/>
  <c r="Z77" i="23"/>
  <c r="Y77" i="23"/>
  <c r="X77" i="23"/>
  <c r="W77" i="23"/>
  <c r="V77" i="23"/>
  <c r="U77" i="23"/>
  <c r="O77" i="23"/>
  <c r="N77" i="23"/>
  <c r="AD76" i="23"/>
  <c r="AC76" i="23"/>
  <c r="AB76" i="23"/>
  <c r="AA76" i="23"/>
  <c r="Z76" i="23"/>
  <c r="Y76" i="23"/>
  <c r="X76" i="23"/>
  <c r="W76" i="23"/>
  <c r="V76" i="23"/>
  <c r="U76" i="23"/>
  <c r="O76" i="23"/>
  <c r="N76" i="23"/>
  <c r="AD75" i="23"/>
  <c r="AC75" i="23"/>
  <c r="AB75" i="23"/>
  <c r="AA75" i="23"/>
  <c r="Z75" i="23"/>
  <c r="Y75" i="23"/>
  <c r="X75" i="23"/>
  <c r="W75" i="23"/>
  <c r="V75" i="23"/>
  <c r="U75" i="23"/>
  <c r="O75" i="23"/>
  <c r="N75" i="23"/>
  <c r="AD74" i="23"/>
  <c r="AC74" i="23"/>
  <c r="AB74" i="23"/>
  <c r="AA74" i="23"/>
  <c r="Z74" i="23"/>
  <c r="Y74" i="23"/>
  <c r="X74" i="23"/>
  <c r="W74" i="23"/>
  <c r="V74" i="23"/>
  <c r="U74" i="23"/>
  <c r="O74" i="23"/>
  <c r="N74" i="23"/>
  <c r="AD73" i="23"/>
  <c r="AC73" i="23"/>
  <c r="AB73" i="23"/>
  <c r="AA73" i="23"/>
  <c r="Z73" i="23"/>
  <c r="Y73" i="23"/>
  <c r="X73" i="23"/>
  <c r="W73" i="23"/>
  <c r="V73" i="23"/>
  <c r="U73" i="23"/>
  <c r="O73" i="23"/>
  <c r="N73" i="23"/>
  <c r="AD72" i="23"/>
  <c r="AC72" i="23"/>
  <c r="AB72" i="23"/>
  <c r="AA72" i="23"/>
  <c r="Z72" i="23"/>
  <c r="Y72" i="23"/>
  <c r="X72" i="23"/>
  <c r="W72" i="23"/>
  <c r="V72" i="23"/>
  <c r="U72" i="23"/>
  <c r="O72" i="23"/>
  <c r="N72" i="23"/>
  <c r="AD71" i="23"/>
  <c r="AC71" i="23"/>
  <c r="AB71" i="23"/>
  <c r="AA71" i="23"/>
  <c r="Z71" i="23"/>
  <c r="Y71" i="23"/>
  <c r="X71" i="23"/>
  <c r="W71" i="23"/>
  <c r="V71" i="23"/>
  <c r="U71" i="23"/>
  <c r="O71" i="23"/>
  <c r="N71" i="23"/>
  <c r="AD70" i="23"/>
  <c r="AC70" i="23"/>
  <c r="AB70" i="23"/>
  <c r="AA70" i="23"/>
  <c r="Z70" i="23"/>
  <c r="Y70" i="23"/>
  <c r="X70" i="23"/>
  <c r="W70" i="23"/>
  <c r="V70" i="23"/>
  <c r="U70" i="23"/>
  <c r="O70" i="23"/>
  <c r="N70" i="23"/>
  <c r="AD69" i="23"/>
  <c r="AC69" i="23"/>
  <c r="AB69" i="23"/>
  <c r="AA69" i="23"/>
  <c r="Z69" i="23"/>
  <c r="Y69" i="23"/>
  <c r="X69" i="23"/>
  <c r="W69" i="23"/>
  <c r="V69" i="23"/>
  <c r="U69" i="23"/>
  <c r="O69" i="23"/>
  <c r="AD68" i="23"/>
  <c r="AC68" i="23"/>
  <c r="AB68" i="23"/>
  <c r="AA68" i="23"/>
  <c r="Z68" i="23"/>
  <c r="Y68" i="23"/>
  <c r="X68" i="23"/>
  <c r="W68" i="23"/>
  <c r="V68" i="23"/>
  <c r="U68" i="23"/>
  <c r="N68" i="23"/>
  <c r="O68" i="23" s="1"/>
  <c r="AD67" i="23"/>
  <c r="AC67" i="23"/>
  <c r="AB67" i="23"/>
  <c r="AA67" i="23"/>
  <c r="Z67" i="23"/>
  <c r="Y67" i="23"/>
  <c r="X67" i="23"/>
  <c r="W67" i="23"/>
  <c r="V67" i="23"/>
  <c r="U67" i="23"/>
  <c r="N67" i="23"/>
  <c r="O67" i="23" s="1"/>
  <c r="AD66" i="23"/>
  <c r="AC66" i="23"/>
  <c r="AB66" i="23"/>
  <c r="AA66" i="23"/>
  <c r="Z66" i="23"/>
  <c r="Y66" i="23"/>
  <c r="X66" i="23"/>
  <c r="W66" i="23"/>
  <c r="V66" i="23"/>
  <c r="U66" i="23"/>
  <c r="N66" i="23"/>
  <c r="AD65" i="23"/>
  <c r="AC65" i="23"/>
  <c r="AB65" i="23"/>
  <c r="AA65" i="23"/>
  <c r="Z65" i="23"/>
  <c r="Y65" i="23"/>
  <c r="X65" i="23"/>
  <c r="W65" i="23"/>
  <c r="V65" i="23"/>
  <c r="U65" i="23"/>
  <c r="N65" i="23"/>
  <c r="AD64" i="23"/>
  <c r="AC64" i="23"/>
  <c r="AB64" i="23"/>
  <c r="AA64" i="23"/>
  <c r="Z64" i="23"/>
  <c r="Y64" i="23"/>
  <c r="X64" i="23"/>
  <c r="W64" i="23"/>
  <c r="V64" i="23"/>
  <c r="U64" i="23"/>
  <c r="O64" i="23"/>
  <c r="AD63" i="23"/>
  <c r="AC63" i="23"/>
  <c r="AB63" i="23"/>
  <c r="AA63" i="23"/>
  <c r="Z63" i="23"/>
  <c r="Y63" i="23"/>
  <c r="X63" i="23"/>
  <c r="W63" i="23"/>
  <c r="V63" i="23"/>
  <c r="U63" i="23"/>
  <c r="N63" i="23"/>
  <c r="O63" i="23" s="1"/>
  <c r="AD62" i="23"/>
  <c r="AC62" i="23"/>
  <c r="AB62" i="23"/>
  <c r="AA62" i="23"/>
  <c r="Z62" i="23"/>
  <c r="Y62" i="23"/>
  <c r="X62" i="23"/>
  <c r="W62" i="23"/>
  <c r="V62" i="23"/>
  <c r="U62" i="23"/>
  <c r="N62" i="23"/>
  <c r="AD61" i="23"/>
  <c r="AC61" i="23"/>
  <c r="AB61" i="23"/>
  <c r="AA61" i="23"/>
  <c r="Z61" i="23"/>
  <c r="Y61" i="23"/>
  <c r="X61" i="23"/>
  <c r="W61" i="23"/>
  <c r="V61" i="23"/>
  <c r="U61" i="23"/>
  <c r="N61" i="23"/>
  <c r="O61" i="23" s="1"/>
  <c r="AD60" i="23"/>
  <c r="AC60" i="23"/>
  <c r="AB60" i="23"/>
  <c r="AA60" i="23"/>
  <c r="Z60" i="23"/>
  <c r="Y60" i="23"/>
  <c r="X60" i="23"/>
  <c r="W60" i="23"/>
  <c r="V60" i="23"/>
  <c r="U60" i="23"/>
  <c r="N60" i="23"/>
  <c r="O60" i="23" s="1"/>
  <c r="AD59" i="23"/>
  <c r="AC59" i="23"/>
  <c r="AB59" i="23"/>
  <c r="AA59" i="23"/>
  <c r="Z59" i="23"/>
  <c r="Y59" i="23"/>
  <c r="X59" i="23"/>
  <c r="W59" i="23"/>
  <c r="V59" i="23"/>
  <c r="U59" i="23"/>
  <c r="O59" i="23"/>
  <c r="AD58" i="23"/>
  <c r="AC58" i="23"/>
  <c r="AB58" i="23"/>
  <c r="AA58" i="23"/>
  <c r="Z58" i="23"/>
  <c r="Y58" i="23"/>
  <c r="X58" i="23"/>
  <c r="W58" i="23"/>
  <c r="V58" i="23"/>
  <c r="U58" i="23"/>
  <c r="N58" i="23"/>
  <c r="O58" i="23" s="1"/>
  <c r="AD57" i="23"/>
  <c r="AC57" i="23"/>
  <c r="AB57" i="23"/>
  <c r="AA57" i="23"/>
  <c r="Z57" i="23"/>
  <c r="Y57" i="23"/>
  <c r="X57" i="23"/>
  <c r="W57" i="23"/>
  <c r="V57" i="23"/>
  <c r="U57" i="23"/>
  <c r="N57" i="23"/>
  <c r="O57" i="23" s="1"/>
  <c r="AD56" i="23"/>
  <c r="AC56" i="23"/>
  <c r="AB56" i="23"/>
  <c r="AA56" i="23"/>
  <c r="Z56" i="23"/>
  <c r="Y56" i="23"/>
  <c r="X56" i="23"/>
  <c r="W56" i="23"/>
  <c r="V56" i="23"/>
  <c r="U56" i="23"/>
  <c r="N56" i="23"/>
  <c r="O56" i="23" s="1"/>
  <c r="AD55" i="23"/>
  <c r="AC55" i="23"/>
  <c r="AB55" i="23"/>
  <c r="AA55" i="23"/>
  <c r="Z55" i="23"/>
  <c r="Y55" i="23"/>
  <c r="X55" i="23"/>
  <c r="W55" i="23"/>
  <c r="V55" i="23"/>
  <c r="U55" i="23"/>
  <c r="O55" i="23"/>
  <c r="AD54" i="23"/>
  <c r="AC54" i="23"/>
  <c r="AB54" i="23"/>
  <c r="AA54" i="23"/>
  <c r="Z54" i="23"/>
  <c r="Y54" i="23"/>
  <c r="X54" i="23"/>
  <c r="W54" i="23"/>
  <c r="V54" i="23"/>
  <c r="U54" i="23"/>
  <c r="N54" i="23"/>
  <c r="O54" i="23" s="1"/>
  <c r="AD53" i="23"/>
  <c r="AC53" i="23"/>
  <c r="AB53" i="23"/>
  <c r="AA53" i="23"/>
  <c r="Z53" i="23"/>
  <c r="Y53" i="23"/>
  <c r="X53" i="23"/>
  <c r="W53" i="23"/>
  <c r="V53" i="23"/>
  <c r="U53" i="23"/>
  <c r="O53" i="23"/>
  <c r="N53" i="23"/>
  <c r="AD52" i="23"/>
  <c r="AC52" i="23"/>
  <c r="AB52" i="23"/>
  <c r="AA52" i="23"/>
  <c r="Z52" i="23"/>
  <c r="Y52" i="23"/>
  <c r="X52" i="23"/>
  <c r="W52" i="23"/>
  <c r="V52" i="23"/>
  <c r="U52" i="23"/>
  <c r="O52" i="23"/>
  <c r="N52" i="23"/>
  <c r="AD51" i="23"/>
  <c r="AC51" i="23"/>
  <c r="AB51" i="23"/>
  <c r="AA51" i="23"/>
  <c r="Z51" i="23"/>
  <c r="Y51" i="23"/>
  <c r="X51" i="23"/>
  <c r="W51" i="23"/>
  <c r="V51" i="23"/>
  <c r="U51" i="23"/>
  <c r="O51" i="23"/>
  <c r="N51" i="23"/>
  <c r="AD50" i="23"/>
  <c r="AC50" i="23"/>
  <c r="AB50" i="23"/>
  <c r="AA50" i="23"/>
  <c r="Z50" i="23"/>
  <c r="Y50" i="23"/>
  <c r="X50" i="23"/>
  <c r="W50" i="23"/>
  <c r="V50" i="23"/>
  <c r="U50" i="23"/>
  <c r="O50" i="23"/>
  <c r="AD49" i="23"/>
  <c r="AC49" i="23"/>
  <c r="AB49" i="23"/>
  <c r="AA49" i="23"/>
  <c r="Z49" i="23"/>
  <c r="Y49" i="23"/>
  <c r="X49" i="23"/>
  <c r="W49" i="23"/>
  <c r="V49" i="23"/>
  <c r="U49" i="23"/>
  <c r="N49" i="23"/>
  <c r="AD48" i="23"/>
  <c r="AC48" i="23"/>
  <c r="AB48" i="23"/>
  <c r="AA48" i="23"/>
  <c r="Z48" i="23"/>
  <c r="Y48" i="23"/>
  <c r="X48" i="23"/>
  <c r="W48" i="23"/>
  <c r="V48" i="23"/>
  <c r="U48" i="23"/>
  <c r="N48" i="23"/>
  <c r="O48" i="23" s="1"/>
  <c r="AD47" i="23"/>
  <c r="AC47" i="23"/>
  <c r="AB47" i="23"/>
  <c r="AA47" i="23"/>
  <c r="Z47" i="23"/>
  <c r="Y47" i="23"/>
  <c r="X47" i="23"/>
  <c r="W47" i="23"/>
  <c r="V47" i="23"/>
  <c r="U47" i="23"/>
  <c r="N47" i="23"/>
  <c r="O47" i="23" s="1"/>
  <c r="AD46" i="23"/>
  <c r="AC46" i="23"/>
  <c r="AB46" i="23"/>
  <c r="AA46" i="23"/>
  <c r="Z46" i="23"/>
  <c r="Y46" i="23"/>
  <c r="X46" i="23"/>
  <c r="W46" i="23"/>
  <c r="V46" i="23"/>
  <c r="U46" i="23"/>
  <c r="N46" i="23"/>
  <c r="O46" i="23" s="1"/>
  <c r="AD45" i="23"/>
  <c r="AC45" i="23"/>
  <c r="AB45" i="23"/>
  <c r="AA45" i="23"/>
  <c r="Z45" i="23"/>
  <c r="Y45" i="23"/>
  <c r="X45" i="23"/>
  <c r="W45" i="23"/>
  <c r="V45" i="23"/>
  <c r="U45" i="23"/>
  <c r="O45" i="23"/>
  <c r="AD44" i="23"/>
  <c r="AC44" i="23"/>
  <c r="AB44" i="23"/>
  <c r="AA44" i="23"/>
  <c r="Z44" i="23"/>
  <c r="Y44" i="23"/>
  <c r="X44" i="23"/>
  <c r="W44" i="23"/>
  <c r="V44" i="23"/>
  <c r="U44" i="23"/>
  <c r="O44" i="23"/>
  <c r="N44" i="23"/>
  <c r="AD43" i="23"/>
  <c r="AC43" i="23"/>
  <c r="AB43" i="23"/>
  <c r="AA43" i="23"/>
  <c r="Z43" i="23"/>
  <c r="Y43" i="23"/>
  <c r="X43" i="23"/>
  <c r="W43" i="23"/>
  <c r="V43" i="23"/>
  <c r="U43" i="23"/>
  <c r="O43" i="23"/>
  <c r="N43" i="23"/>
  <c r="AD42" i="23"/>
  <c r="AC42" i="23"/>
  <c r="AB42" i="23"/>
  <c r="AA42" i="23"/>
  <c r="Z42" i="23"/>
  <c r="Y42" i="23"/>
  <c r="X42" i="23"/>
  <c r="W42" i="23"/>
  <c r="V42" i="23"/>
  <c r="U42" i="23"/>
  <c r="O42" i="23"/>
  <c r="N42" i="23"/>
  <c r="AD41" i="23"/>
  <c r="AC41" i="23"/>
  <c r="AB41" i="23"/>
  <c r="AA41" i="23"/>
  <c r="Z41" i="23"/>
  <c r="Y41" i="23"/>
  <c r="X41" i="23"/>
  <c r="W41" i="23"/>
  <c r="V41" i="23"/>
  <c r="U41" i="23"/>
  <c r="O41" i="23"/>
  <c r="N41" i="23"/>
  <c r="AD40" i="23"/>
  <c r="AC40" i="23"/>
  <c r="AB40" i="23"/>
  <c r="AA40" i="23"/>
  <c r="Z40" i="23"/>
  <c r="Y40" i="23"/>
  <c r="X40" i="23"/>
  <c r="W40" i="23"/>
  <c r="V40" i="23"/>
  <c r="U40" i="23"/>
  <c r="O40" i="23"/>
  <c r="AD39" i="23"/>
  <c r="AC39" i="23"/>
  <c r="AB39" i="23"/>
  <c r="AA39" i="23"/>
  <c r="Z39" i="23"/>
  <c r="Y39" i="23"/>
  <c r="X39" i="23"/>
  <c r="W39" i="23"/>
  <c r="V39" i="23"/>
  <c r="U39" i="23"/>
  <c r="N39" i="23"/>
  <c r="O39" i="23" s="1"/>
  <c r="AD38" i="23"/>
  <c r="AC38" i="23"/>
  <c r="AB38" i="23"/>
  <c r="AA38" i="23"/>
  <c r="Z38" i="23"/>
  <c r="Y38" i="23"/>
  <c r="X38" i="23"/>
  <c r="W38" i="23"/>
  <c r="V38" i="23"/>
  <c r="U38" i="23"/>
  <c r="N38" i="23"/>
  <c r="O38" i="23" s="1"/>
  <c r="AD37" i="23"/>
  <c r="AC37" i="23"/>
  <c r="AB37" i="23"/>
  <c r="AA37" i="23"/>
  <c r="Z37" i="23"/>
  <c r="Y37" i="23"/>
  <c r="X37" i="23"/>
  <c r="W37" i="23"/>
  <c r="V37" i="23"/>
  <c r="U37" i="23"/>
  <c r="N37" i="23"/>
  <c r="O37" i="23" s="1"/>
  <c r="AD36" i="23"/>
  <c r="AC36" i="23"/>
  <c r="AB36" i="23"/>
  <c r="AA36" i="23"/>
  <c r="Z36" i="23"/>
  <c r="Y36" i="23"/>
  <c r="X36" i="23"/>
  <c r="W36" i="23"/>
  <c r="V36" i="23"/>
  <c r="U36" i="23"/>
  <c r="N36" i="23"/>
  <c r="O36" i="23" s="1"/>
  <c r="AD35" i="23"/>
  <c r="AC35" i="23"/>
  <c r="AB35" i="23"/>
  <c r="AA35" i="23"/>
  <c r="Z35" i="23"/>
  <c r="Y35" i="23"/>
  <c r="X35" i="23"/>
  <c r="W35" i="23"/>
  <c r="V35" i="23"/>
  <c r="U35" i="23"/>
  <c r="O35" i="23"/>
  <c r="AD34" i="23"/>
  <c r="AC34" i="23"/>
  <c r="AB34" i="23"/>
  <c r="AA34" i="23"/>
  <c r="Z34" i="23"/>
  <c r="Y34" i="23"/>
  <c r="X34" i="23"/>
  <c r="W34" i="23"/>
  <c r="V34" i="23"/>
  <c r="U34" i="23"/>
  <c r="O34" i="23"/>
  <c r="N34" i="23"/>
  <c r="AD33" i="23"/>
  <c r="AC33" i="23"/>
  <c r="AB33" i="23"/>
  <c r="AA33" i="23"/>
  <c r="Z33" i="23"/>
  <c r="Y33" i="23"/>
  <c r="X33" i="23"/>
  <c r="W33" i="23"/>
  <c r="V33" i="23"/>
  <c r="U33" i="23"/>
  <c r="O33" i="23"/>
  <c r="N33" i="23"/>
  <c r="AD32" i="23"/>
  <c r="AC32" i="23"/>
  <c r="AB32" i="23"/>
  <c r="AA32" i="23"/>
  <c r="Z32" i="23"/>
  <c r="Y32" i="23"/>
  <c r="X32" i="23"/>
  <c r="W32" i="23"/>
  <c r="V32" i="23"/>
  <c r="U32" i="23"/>
  <c r="O32" i="23"/>
  <c r="N32" i="23"/>
  <c r="AD31" i="23"/>
  <c r="AC31" i="23"/>
  <c r="AB31" i="23"/>
  <c r="AA31" i="23"/>
  <c r="Z31" i="23"/>
  <c r="Y31" i="23"/>
  <c r="X31" i="23"/>
  <c r="W31" i="23"/>
  <c r="V31" i="23"/>
  <c r="U31" i="23"/>
  <c r="O31" i="23"/>
  <c r="N31" i="23"/>
  <c r="AD30" i="23"/>
  <c r="AC30" i="23"/>
  <c r="AB30" i="23"/>
  <c r="AA30" i="23"/>
  <c r="Z30" i="23"/>
  <c r="Y30" i="23"/>
  <c r="X30" i="23"/>
  <c r="W30" i="23"/>
  <c r="V30" i="23"/>
  <c r="U30" i="23"/>
  <c r="O30" i="23"/>
  <c r="N30" i="23"/>
  <c r="AD29" i="23"/>
  <c r="AC29" i="23"/>
  <c r="AB29" i="23"/>
  <c r="AA29" i="23"/>
  <c r="Z29" i="23"/>
  <c r="Y29" i="23"/>
  <c r="X29" i="23"/>
  <c r="W29" i="23"/>
  <c r="V29" i="23"/>
  <c r="U29" i="23"/>
  <c r="N29" i="23"/>
  <c r="O29" i="23" s="1"/>
  <c r="AD28" i="23"/>
  <c r="AC28" i="23"/>
  <c r="AB28" i="23"/>
  <c r="AA28" i="23"/>
  <c r="Z28" i="23"/>
  <c r="Y28" i="23"/>
  <c r="X28" i="23"/>
  <c r="W28" i="23"/>
  <c r="V28" i="23"/>
  <c r="U28" i="23"/>
  <c r="N28" i="23"/>
  <c r="O28" i="23" s="1"/>
  <c r="AD27" i="23"/>
  <c r="AC27" i="23"/>
  <c r="AB27" i="23"/>
  <c r="AA27" i="23"/>
  <c r="Z27" i="23"/>
  <c r="Y27" i="23"/>
  <c r="X27" i="23"/>
  <c r="W27" i="23"/>
  <c r="V27" i="23"/>
  <c r="U27" i="23"/>
  <c r="N27" i="23"/>
  <c r="O27" i="23" s="1"/>
  <c r="AD26" i="23"/>
  <c r="AC26" i="23"/>
  <c r="AB26" i="23"/>
  <c r="AA26" i="23"/>
  <c r="Z26" i="23"/>
  <c r="Y26" i="23"/>
  <c r="X26" i="23"/>
  <c r="W26" i="23"/>
  <c r="V26" i="23"/>
  <c r="U26" i="23"/>
  <c r="N26" i="23"/>
  <c r="O26" i="23" s="1"/>
  <c r="AD25" i="23"/>
  <c r="AC25" i="23"/>
  <c r="AB25" i="23"/>
  <c r="AA25" i="23"/>
  <c r="Z25" i="23"/>
  <c r="Y25" i="23"/>
  <c r="X25" i="23"/>
  <c r="W25" i="23"/>
  <c r="V25" i="23"/>
  <c r="U25" i="23"/>
  <c r="O25" i="23"/>
  <c r="N25" i="23"/>
  <c r="AD24" i="23"/>
  <c r="AC24" i="23"/>
  <c r="AB24" i="23"/>
  <c r="AA24" i="23"/>
  <c r="Z24" i="23"/>
  <c r="Y24" i="23"/>
  <c r="X24" i="23"/>
  <c r="W24" i="23"/>
  <c r="V24" i="23"/>
  <c r="U24" i="23"/>
  <c r="O24" i="23"/>
  <c r="N24" i="23"/>
  <c r="AD23" i="23"/>
  <c r="AC23" i="23"/>
  <c r="AB23" i="23"/>
  <c r="AA23" i="23"/>
  <c r="Z23" i="23"/>
  <c r="Y23" i="23"/>
  <c r="X23" i="23"/>
  <c r="W23" i="23"/>
  <c r="V23" i="23"/>
  <c r="U23" i="23"/>
  <c r="N23" i="23"/>
  <c r="O23" i="23" s="1"/>
  <c r="AD22" i="23"/>
  <c r="AC22" i="23"/>
  <c r="AB22" i="23"/>
  <c r="AA22" i="23"/>
  <c r="Z22" i="23"/>
  <c r="Y22" i="23"/>
  <c r="X22" i="23"/>
  <c r="W22" i="23"/>
  <c r="V22" i="23"/>
  <c r="U22" i="23"/>
  <c r="N22" i="23"/>
  <c r="AD21" i="23"/>
  <c r="AC21" i="23"/>
  <c r="AB21" i="23"/>
  <c r="AA21" i="23"/>
  <c r="Z21" i="23"/>
  <c r="Y21" i="23"/>
  <c r="X21" i="23"/>
  <c r="W21" i="23"/>
  <c r="V21" i="23"/>
  <c r="U21" i="23"/>
  <c r="N21" i="23"/>
  <c r="AD20" i="23"/>
  <c r="AC20" i="23"/>
  <c r="AB20" i="23"/>
  <c r="AA20" i="23"/>
  <c r="Z20" i="23"/>
  <c r="Y20" i="23"/>
  <c r="X20" i="23"/>
  <c r="W20" i="23"/>
  <c r="V20" i="23"/>
  <c r="U20" i="23"/>
  <c r="N20" i="23"/>
  <c r="O20" i="23" s="1"/>
  <c r="C20" i="23"/>
  <c r="AD19" i="23"/>
  <c r="AC19" i="23"/>
  <c r="AB19" i="23"/>
  <c r="AA19" i="23"/>
  <c r="Z19" i="23"/>
  <c r="Y19" i="23"/>
  <c r="X19" i="23"/>
  <c r="W19" i="23"/>
  <c r="V19" i="23"/>
  <c r="U19" i="23"/>
  <c r="N19" i="23"/>
  <c r="O19" i="23" s="1"/>
  <c r="C19" i="23"/>
  <c r="AD18" i="23"/>
  <c r="AC18" i="23"/>
  <c r="AB18" i="23"/>
  <c r="AA18" i="23"/>
  <c r="Z18" i="23"/>
  <c r="Y18" i="23"/>
  <c r="X18" i="23"/>
  <c r="W18" i="23"/>
  <c r="V18" i="23"/>
  <c r="U18" i="23"/>
  <c r="N18" i="23"/>
  <c r="C18" i="23"/>
  <c r="AD17" i="23"/>
  <c r="AC17" i="23"/>
  <c r="AB17" i="23"/>
  <c r="AA17" i="23"/>
  <c r="Z17" i="23"/>
  <c r="Y17" i="23"/>
  <c r="X17" i="23"/>
  <c r="W17" i="23"/>
  <c r="V17" i="23"/>
  <c r="U17" i="23"/>
  <c r="N17" i="23"/>
  <c r="C17" i="23"/>
  <c r="AD16" i="23"/>
  <c r="AC16" i="23"/>
  <c r="AB16" i="23"/>
  <c r="AA16" i="23"/>
  <c r="Z16" i="23"/>
  <c r="Y16" i="23"/>
  <c r="X16" i="23"/>
  <c r="W16" i="23"/>
  <c r="V16" i="23"/>
  <c r="U16" i="23"/>
  <c r="N16" i="23"/>
  <c r="O16" i="23" s="1"/>
  <c r="C16" i="23"/>
  <c r="AD15" i="23"/>
  <c r="AC15" i="23"/>
  <c r="AB15" i="23"/>
  <c r="AA15" i="23"/>
  <c r="Z15" i="23"/>
  <c r="Y15" i="23"/>
  <c r="X15" i="23"/>
  <c r="W15" i="23"/>
  <c r="V15" i="23"/>
  <c r="U15" i="23"/>
  <c r="N15" i="23"/>
  <c r="C15" i="23"/>
  <c r="AD14" i="23"/>
  <c r="AC14" i="23"/>
  <c r="AB14" i="23"/>
  <c r="AA14" i="23"/>
  <c r="Z14" i="23"/>
  <c r="Y14" i="23"/>
  <c r="X14" i="23"/>
  <c r="W14" i="23"/>
  <c r="V14" i="23"/>
  <c r="U14" i="23"/>
  <c r="O14" i="23"/>
  <c r="N14" i="23"/>
  <c r="AD13" i="23"/>
  <c r="AC13" i="23"/>
  <c r="AB13" i="23"/>
  <c r="AA13" i="23"/>
  <c r="Z13" i="23"/>
  <c r="Y13" i="23"/>
  <c r="X13" i="23"/>
  <c r="W13" i="23"/>
  <c r="V13" i="23"/>
  <c r="U13" i="23"/>
  <c r="O13" i="23"/>
  <c r="N13" i="23"/>
  <c r="C13" i="23"/>
  <c r="AD12" i="23"/>
  <c r="AC12" i="23"/>
  <c r="AB12" i="23"/>
  <c r="AA12" i="23"/>
  <c r="Z12" i="23"/>
  <c r="Y12" i="23"/>
  <c r="X12" i="23"/>
  <c r="W12" i="23"/>
  <c r="V12" i="23"/>
  <c r="U12" i="23"/>
  <c r="N12" i="23"/>
  <c r="O12" i="23" s="1"/>
  <c r="C12" i="23"/>
  <c r="AD11" i="23"/>
  <c r="AC11" i="23"/>
  <c r="AB11" i="23"/>
  <c r="AA11" i="23"/>
  <c r="Z11" i="23"/>
  <c r="Y11" i="23"/>
  <c r="X11" i="23"/>
  <c r="W11" i="23"/>
  <c r="V11" i="23"/>
  <c r="U11" i="23"/>
  <c r="N11" i="23"/>
  <c r="O11" i="23" s="1"/>
  <c r="C11" i="23"/>
  <c r="AD10" i="23"/>
  <c r="AC10" i="23"/>
  <c r="AB10" i="23"/>
  <c r="AA10" i="23"/>
  <c r="Z10" i="23"/>
  <c r="Y10" i="23"/>
  <c r="X10" i="23"/>
  <c r="W10" i="23"/>
  <c r="V10" i="23"/>
  <c r="U10" i="23"/>
  <c r="N10" i="23"/>
  <c r="O10" i="23" s="1"/>
  <c r="C10" i="23"/>
  <c r="AD9" i="23"/>
  <c r="AC9" i="23"/>
  <c r="AB9" i="23"/>
  <c r="AA9" i="23"/>
  <c r="Z9" i="23"/>
  <c r="Y9" i="23"/>
  <c r="X9" i="23"/>
  <c r="W9" i="23"/>
  <c r="V9" i="23"/>
  <c r="U9" i="23"/>
  <c r="N9" i="23"/>
  <c r="O9" i="23" s="1"/>
  <c r="C9" i="23"/>
  <c r="AD8" i="23"/>
  <c r="AC8" i="23"/>
  <c r="AB8" i="23"/>
  <c r="AA8" i="23"/>
  <c r="Z8" i="23"/>
  <c r="Y8" i="23"/>
  <c r="X8" i="23"/>
  <c r="W8" i="23"/>
  <c r="V8" i="23"/>
  <c r="U8" i="23"/>
  <c r="N8" i="23"/>
  <c r="C8" i="23"/>
  <c r="M7" i="23"/>
  <c r="L7" i="23"/>
  <c r="K7" i="23"/>
  <c r="J7" i="23"/>
  <c r="I7" i="23"/>
  <c r="H7" i="23"/>
  <c r="G7" i="23"/>
  <c r="F7" i="23"/>
  <c r="E7" i="23"/>
  <c r="D7" i="23"/>
  <c r="M6" i="23"/>
  <c r="L6" i="23"/>
  <c r="K6" i="23"/>
  <c r="J6" i="23"/>
  <c r="I6" i="23"/>
  <c r="H6" i="23"/>
  <c r="G6" i="23"/>
  <c r="F6" i="23"/>
  <c r="E6" i="23"/>
  <c r="D6" i="23"/>
  <c r="C6" i="23"/>
  <c r="O4" i="23"/>
  <c r="O3" i="23"/>
  <c r="E7" i="19"/>
  <c r="F7" i="19"/>
  <c r="G7" i="19"/>
  <c r="H7" i="19"/>
  <c r="I7" i="19"/>
  <c r="J7" i="19"/>
  <c r="K7" i="19"/>
  <c r="L7" i="19"/>
  <c r="M7" i="19"/>
  <c r="D7" i="19"/>
  <c r="E6" i="19"/>
  <c r="F6" i="19"/>
  <c r="G6" i="19"/>
  <c r="H6" i="19"/>
  <c r="I6" i="19"/>
  <c r="J6" i="19"/>
  <c r="K6" i="19"/>
  <c r="L6" i="19"/>
  <c r="M6" i="19"/>
  <c r="D6" i="19"/>
  <c r="N113" i="19"/>
  <c r="C113" i="19"/>
  <c r="N112" i="19"/>
  <c r="C112" i="19"/>
  <c r="C111" i="19"/>
  <c r="AD110" i="19"/>
  <c r="AC110" i="19"/>
  <c r="AB110" i="19"/>
  <c r="AA110" i="19"/>
  <c r="Z110" i="19"/>
  <c r="Y110" i="19"/>
  <c r="X110" i="19"/>
  <c r="W110" i="19"/>
  <c r="V110" i="19"/>
  <c r="U110" i="19"/>
  <c r="O110" i="19"/>
  <c r="N110" i="19"/>
  <c r="AD109" i="19"/>
  <c r="AC109" i="19"/>
  <c r="AB109" i="19"/>
  <c r="AA109" i="19"/>
  <c r="Z109" i="19"/>
  <c r="Y109" i="19"/>
  <c r="X109" i="19"/>
  <c r="W109" i="19"/>
  <c r="V109" i="19"/>
  <c r="U109" i="19"/>
  <c r="O109" i="19"/>
  <c r="N109" i="19"/>
  <c r="AD108" i="19"/>
  <c r="AC108" i="19"/>
  <c r="AB108" i="19"/>
  <c r="AA108" i="19"/>
  <c r="Z108" i="19"/>
  <c r="Y108" i="19"/>
  <c r="X108" i="19"/>
  <c r="W108" i="19"/>
  <c r="V108" i="19"/>
  <c r="U108" i="19"/>
  <c r="O108" i="19"/>
  <c r="N108" i="19"/>
  <c r="AD107" i="19"/>
  <c r="AC107" i="19"/>
  <c r="AB107" i="19"/>
  <c r="AA107" i="19"/>
  <c r="Z107" i="19"/>
  <c r="Y107" i="19"/>
  <c r="X107" i="19"/>
  <c r="W107" i="19"/>
  <c r="V107" i="19"/>
  <c r="U107" i="19"/>
  <c r="O107" i="19"/>
  <c r="N107" i="19"/>
  <c r="AD106" i="19"/>
  <c r="AC106" i="19"/>
  <c r="AB106" i="19"/>
  <c r="AA106" i="19"/>
  <c r="Z106" i="19"/>
  <c r="Y106" i="19"/>
  <c r="X106" i="19"/>
  <c r="W106" i="19"/>
  <c r="V106" i="19"/>
  <c r="U106" i="19"/>
  <c r="O106" i="19"/>
  <c r="N106" i="19"/>
  <c r="AD105" i="19"/>
  <c r="AC105" i="19"/>
  <c r="AB105" i="19"/>
  <c r="AA105" i="19"/>
  <c r="Z105" i="19"/>
  <c r="Y105" i="19"/>
  <c r="X105" i="19"/>
  <c r="W105" i="19"/>
  <c r="V105" i="19"/>
  <c r="U105" i="19"/>
  <c r="O105" i="19"/>
  <c r="N105" i="19"/>
  <c r="AD104" i="19"/>
  <c r="AC104" i="19"/>
  <c r="AB104" i="19"/>
  <c r="AA104" i="19"/>
  <c r="Z104" i="19"/>
  <c r="Y104" i="19"/>
  <c r="X104" i="19"/>
  <c r="W104" i="19"/>
  <c r="V104" i="19"/>
  <c r="U104" i="19"/>
  <c r="O104" i="19"/>
  <c r="N104" i="19"/>
  <c r="AD103" i="19"/>
  <c r="AC103" i="19"/>
  <c r="AB103" i="19"/>
  <c r="AA103" i="19"/>
  <c r="Z103" i="19"/>
  <c r="Y103" i="19"/>
  <c r="X103" i="19"/>
  <c r="W103" i="19"/>
  <c r="V103" i="19"/>
  <c r="U103" i="19"/>
  <c r="O103" i="19"/>
  <c r="N103" i="19"/>
  <c r="AD102" i="19"/>
  <c r="AC102" i="19"/>
  <c r="AB102" i="19"/>
  <c r="AA102" i="19"/>
  <c r="Z102" i="19"/>
  <c r="Y102" i="19"/>
  <c r="X102" i="19"/>
  <c r="W102" i="19"/>
  <c r="V102" i="19"/>
  <c r="U102" i="19"/>
  <c r="O102" i="19"/>
  <c r="N102" i="19"/>
  <c r="AD101" i="19"/>
  <c r="AC101" i="19"/>
  <c r="AB101" i="19"/>
  <c r="AA101" i="19"/>
  <c r="Z101" i="19"/>
  <c r="Y101" i="19"/>
  <c r="X101" i="19"/>
  <c r="W101" i="19"/>
  <c r="V101" i="19"/>
  <c r="U101" i="19"/>
  <c r="O101" i="19"/>
  <c r="N101" i="19"/>
  <c r="AD100" i="19"/>
  <c r="AC100" i="19"/>
  <c r="AB100" i="19"/>
  <c r="AA100" i="19"/>
  <c r="Z100" i="19"/>
  <c r="Y100" i="19"/>
  <c r="X100" i="19"/>
  <c r="W100" i="19"/>
  <c r="V100" i="19"/>
  <c r="U100" i="19"/>
  <c r="N100" i="19"/>
  <c r="O100" i="19" s="1"/>
  <c r="AD99" i="19"/>
  <c r="AC99" i="19"/>
  <c r="AB99" i="19"/>
  <c r="AA99" i="19"/>
  <c r="Z99" i="19"/>
  <c r="Y99" i="19"/>
  <c r="X99" i="19"/>
  <c r="W99" i="19"/>
  <c r="V99" i="19"/>
  <c r="U99" i="19"/>
  <c r="N99" i="19"/>
  <c r="O99" i="19" s="1"/>
  <c r="AD98" i="19"/>
  <c r="AC98" i="19"/>
  <c r="AB98" i="19"/>
  <c r="AA98" i="19"/>
  <c r="Z98" i="19"/>
  <c r="Y98" i="19"/>
  <c r="X98" i="19"/>
  <c r="W98" i="19"/>
  <c r="V98" i="19"/>
  <c r="U98" i="19"/>
  <c r="O98" i="19"/>
  <c r="N98" i="19"/>
  <c r="AD97" i="19"/>
  <c r="AC97" i="19"/>
  <c r="AB97" i="19"/>
  <c r="AA97" i="19"/>
  <c r="Z97" i="19"/>
  <c r="Y97" i="19"/>
  <c r="X97" i="19"/>
  <c r="W97" i="19"/>
  <c r="V97" i="19"/>
  <c r="U97" i="19"/>
  <c r="N97" i="19"/>
  <c r="O97" i="19" s="1"/>
  <c r="AD96" i="19"/>
  <c r="AC96" i="19"/>
  <c r="AB96" i="19"/>
  <c r="AA96" i="19"/>
  <c r="Z96" i="19"/>
  <c r="Y96" i="19"/>
  <c r="X96" i="19"/>
  <c r="W96" i="19"/>
  <c r="V96" i="19"/>
  <c r="U96" i="19"/>
  <c r="N96" i="19"/>
  <c r="O96" i="19" s="1"/>
  <c r="AD95" i="19"/>
  <c r="AC95" i="19"/>
  <c r="AB95" i="19"/>
  <c r="AA95" i="19"/>
  <c r="Z95" i="19"/>
  <c r="Y95" i="19"/>
  <c r="X95" i="19"/>
  <c r="W95" i="19"/>
  <c r="V95" i="19"/>
  <c r="U95" i="19"/>
  <c r="O95" i="19"/>
  <c r="N95" i="19"/>
  <c r="AD94" i="19"/>
  <c r="AC94" i="19"/>
  <c r="AB94" i="19"/>
  <c r="AA94" i="19"/>
  <c r="Z94" i="19"/>
  <c r="Y94" i="19"/>
  <c r="X94" i="19"/>
  <c r="W94" i="19"/>
  <c r="V94" i="19"/>
  <c r="U94" i="19"/>
  <c r="N94" i="19"/>
  <c r="O94" i="19" s="1"/>
  <c r="AD93" i="19"/>
  <c r="AC93" i="19"/>
  <c r="AB93" i="19"/>
  <c r="AA93" i="19"/>
  <c r="Z93" i="19"/>
  <c r="Y93" i="19"/>
  <c r="X93" i="19"/>
  <c r="W93" i="19"/>
  <c r="V93" i="19"/>
  <c r="U93" i="19"/>
  <c r="O93" i="19"/>
  <c r="N93" i="19"/>
  <c r="AD92" i="19"/>
  <c r="AC92" i="19"/>
  <c r="AB92" i="19"/>
  <c r="AA92" i="19"/>
  <c r="Z92" i="19"/>
  <c r="Y92" i="19"/>
  <c r="X92" i="19"/>
  <c r="W92" i="19"/>
  <c r="V92" i="19"/>
  <c r="U92" i="19"/>
  <c r="O92" i="19"/>
  <c r="AD91" i="19"/>
  <c r="AC91" i="19"/>
  <c r="AB91" i="19"/>
  <c r="AA91" i="19"/>
  <c r="Z91" i="19"/>
  <c r="Y91" i="19"/>
  <c r="X91" i="19"/>
  <c r="W91" i="19"/>
  <c r="V91" i="19"/>
  <c r="U91" i="19"/>
  <c r="O91" i="19"/>
  <c r="N91" i="19"/>
  <c r="AD90" i="19"/>
  <c r="AC90" i="19"/>
  <c r="AB90" i="19"/>
  <c r="AA90" i="19"/>
  <c r="Z90" i="19"/>
  <c r="Y90" i="19"/>
  <c r="X90" i="19"/>
  <c r="W90" i="19"/>
  <c r="V90" i="19"/>
  <c r="U90" i="19"/>
  <c r="N90" i="19"/>
  <c r="O90" i="19" s="1"/>
  <c r="AD89" i="19"/>
  <c r="AC89" i="19"/>
  <c r="AB89" i="19"/>
  <c r="AA89" i="19"/>
  <c r="Z89" i="19"/>
  <c r="Y89" i="19"/>
  <c r="X89" i="19"/>
  <c r="W89" i="19"/>
  <c r="V89" i="19"/>
  <c r="U89" i="19"/>
  <c r="N89" i="19"/>
  <c r="O89" i="19" s="1"/>
  <c r="C89" i="19"/>
  <c r="AD88" i="19"/>
  <c r="AC88" i="19"/>
  <c r="AB88" i="19"/>
  <c r="AA88" i="19"/>
  <c r="Z88" i="19"/>
  <c r="Y88" i="19"/>
  <c r="X88" i="19"/>
  <c r="W88" i="19"/>
  <c r="V88" i="19"/>
  <c r="U88" i="19"/>
  <c r="N88" i="19"/>
  <c r="O88" i="19" s="1"/>
  <c r="C88" i="19"/>
  <c r="AD87" i="19"/>
  <c r="AC87" i="19"/>
  <c r="AB87" i="19"/>
  <c r="AA87" i="19"/>
  <c r="Z87" i="19"/>
  <c r="Y87" i="19"/>
  <c r="X87" i="19"/>
  <c r="W87" i="19"/>
  <c r="V87" i="19"/>
  <c r="U87" i="19"/>
  <c r="N87" i="19"/>
  <c r="O87" i="19" s="1"/>
  <c r="C87" i="19"/>
  <c r="AD86" i="19"/>
  <c r="AC86" i="19"/>
  <c r="AB86" i="19"/>
  <c r="AA86" i="19"/>
  <c r="Z86" i="19"/>
  <c r="Y86" i="19"/>
  <c r="X86" i="19"/>
  <c r="W86" i="19"/>
  <c r="V86" i="19"/>
  <c r="U86" i="19"/>
  <c r="N86" i="19"/>
  <c r="O86" i="19" s="1"/>
  <c r="C86" i="19"/>
  <c r="C85" i="19"/>
  <c r="C83" i="19"/>
  <c r="AD82" i="19"/>
  <c r="AC82" i="19"/>
  <c r="AB82" i="19"/>
  <c r="AA82" i="19"/>
  <c r="Z82" i="19"/>
  <c r="Y82" i="19"/>
  <c r="X82" i="19"/>
  <c r="W82" i="19"/>
  <c r="V82" i="19"/>
  <c r="U82" i="19"/>
  <c r="O82" i="19"/>
  <c r="N82" i="19"/>
  <c r="AD81" i="19"/>
  <c r="AC81" i="19"/>
  <c r="AB81" i="19"/>
  <c r="AA81" i="19"/>
  <c r="Z81" i="19"/>
  <c r="Y81" i="19"/>
  <c r="X81" i="19"/>
  <c r="W81" i="19"/>
  <c r="V81" i="19"/>
  <c r="U81" i="19"/>
  <c r="O81" i="19"/>
  <c r="N81" i="19"/>
  <c r="AD80" i="19"/>
  <c r="AC80" i="19"/>
  <c r="AB80" i="19"/>
  <c r="AA80" i="19"/>
  <c r="Z80" i="19"/>
  <c r="Y80" i="19"/>
  <c r="X80" i="19"/>
  <c r="W80" i="19"/>
  <c r="V80" i="19"/>
  <c r="U80" i="19"/>
  <c r="O80" i="19"/>
  <c r="N80" i="19"/>
  <c r="AD79" i="19"/>
  <c r="AC79" i="19"/>
  <c r="AB79" i="19"/>
  <c r="AA79" i="19"/>
  <c r="Z79" i="19"/>
  <c r="Y79" i="19"/>
  <c r="X79" i="19"/>
  <c r="W79" i="19"/>
  <c r="V79" i="19"/>
  <c r="U79" i="19"/>
  <c r="O79" i="19"/>
  <c r="N79" i="19"/>
  <c r="AD78" i="19"/>
  <c r="AC78" i="19"/>
  <c r="AB78" i="19"/>
  <c r="AA78" i="19"/>
  <c r="Z78" i="19"/>
  <c r="Y78" i="19"/>
  <c r="X78" i="19"/>
  <c r="W78" i="19"/>
  <c r="V78" i="19"/>
  <c r="U78" i="19"/>
  <c r="O78" i="19"/>
  <c r="N78" i="19"/>
  <c r="AD77" i="19"/>
  <c r="AC77" i="19"/>
  <c r="AB77" i="19"/>
  <c r="AA77" i="19"/>
  <c r="Z77" i="19"/>
  <c r="Y77" i="19"/>
  <c r="X77" i="19"/>
  <c r="W77" i="19"/>
  <c r="V77" i="19"/>
  <c r="U77" i="19"/>
  <c r="O77" i="19"/>
  <c r="N77" i="19"/>
  <c r="AD76" i="19"/>
  <c r="AC76" i="19"/>
  <c r="AB76" i="19"/>
  <c r="AA76" i="19"/>
  <c r="Z76" i="19"/>
  <c r="Y76" i="19"/>
  <c r="X76" i="19"/>
  <c r="W76" i="19"/>
  <c r="V76" i="19"/>
  <c r="U76" i="19"/>
  <c r="O76" i="19"/>
  <c r="N76" i="19"/>
  <c r="AD75" i="19"/>
  <c r="AC75" i="19"/>
  <c r="AB75" i="19"/>
  <c r="AA75" i="19"/>
  <c r="Z75" i="19"/>
  <c r="Y75" i="19"/>
  <c r="X75" i="19"/>
  <c r="W75" i="19"/>
  <c r="V75" i="19"/>
  <c r="U75" i="19"/>
  <c r="O75" i="19"/>
  <c r="N75" i="19"/>
  <c r="AD74" i="19"/>
  <c r="AC74" i="19"/>
  <c r="AB74" i="19"/>
  <c r="AA74" i="19"/>
  <c r="Z74" i="19"/>
  <c r="Y74" i="19"/>
  <c r="X74" i="19"/>
  <c r="W74" i="19"/>
  <c r="V74" i="19"/>
  <c r="U74" i="19"/>
  <c r="O74" i="19"/>
  <c r="N74" i="19"/>
  <c r="AD73" i="19"/>
  <c r="AC73" i="19"/>
  <c r="AB73" i="19"/>
  <c r="AA73" i="19"/>
  <c r="Z73" i="19"/>
  <c r="Y73" i="19"/>
  <c r="X73" i="19"/>
  <c r="W73" i="19"/>
  <c r="V73" i="19"/>
  <c r="U73" i="19"/>
  <c r="O73" i="19"/>
  <c r="N73" i="19"/>
  <c r="AD72" i="19"/>
  <c r="AC72" i="19"/>
  <c r="AB72" i="19"/>
  <c r="AA72" i="19"/>
  <c r="Z72" i="19"/>
  <c r="Y72" i="19"/>
  <c r="X72" i="19"/>
  <c r="W72" i="19"/>
  <c r="V72" i="19"/>
  <c r="U72" i="19"/>
  <c r="O72" i="19"/>
  <c r="N72" i="19"/>
  <c r="AD71" i="19"/>
  <c r="AC71" i="19"/>
  <c r="AB71" i="19"/>
  <c r="AA71" i="19"/>
  <c r="Z71" i="19"/>
  <c r="Y71" i="19"/>
  <c r="X71" i="19"/>
  <c r="W71" i="19"/>
  <c r="V71" i="19"/>
  <c r="U71" i="19"/>
  <c r="O71" i="19"/>
  <c r="N71" i="19"/>
  <c r="AD70" i="19"/>
  <c r="AC70" i="19"/>
  <c r="AB70" i="19"/>
  <c r="AA70" i="19"/>
  <c r="Z70" i="19"/>
  <c r="Y70" i="19"/>
  <c r="X70" i="19"/>
  <c r="W70" i="19"/>
  <c r="V70" i="19"/>
  <c r="U70" i="19"/>
  <c r="O70" i="19"/>
  <c r="N70" i="19"/>
  <c r="AD69" i="19"/>
  <c r="AC69" i="19"/>
  <c r="AB69" i="19"/>
  <c r="AA69" i="19"/>
  <c r="Z69" i="19"/>
  <c r="Y69" i="19"/>
  <c r="X69" i="19"/>
  <c r="W69" i="19"/>
  <c r="V69" i="19"/>
  <c r="U69" i="19"/>
  <c r="O69" i="19"/>
  <c r="AD68" i="19"/>
  <c r="AC68" i="19"/>
  <c r="AB68" i="19"/>
  <c r="AA68" i="19"/>
  <c r="Z68" i="19"/>
  <c r="Y68" i="19"/>
  <c r="X68" i="19"/>
  <c r="W68" i="19"/>
  <c r="V68" i="19"/>
  <c r="U68" i="19"/>
  <c r="N68" i="19"/>
  <c r="O68" i="19" s="1"/>
  <c r="AD67" i="19"/>
  <c r="AC67" i="19"/>
  <c r="AB67" i="19"/>
  <c r="AA67" i="19"/>
  <c r="Z67" i="19"/>
  <c r="Y67" i="19"/>
  <c r="X67" i="19"/>
  <c r="W67" i="19"/>
  <c r="V67" i="19"/>
  <c r="U67" i="19"/>
  <c r="N67" i="19"/>
  <c r="O67" i="19" s="1"/>
  <c r="AD66" i="19"/>
  <c r="AC66" i="19"/>
  <c r="AB66" i="19"/>
  <c r="AA66" i="19"/>
  <c r="Z66" i="19"/>
  <c r="Y66" i="19"/>
  <c r="X66" i="19"/>
  <c r="W66" i="19"/>
  <c r="V66" i="19"/>
  <c r="U66" i="19"/>
  <c r="N66" i="19"/>
  <c r="O66" i="19" s="1"/>
  <c r="AD65" i="19"/>
  <c r="AC65" i="19"/>
  <c r="AB65" i="19"/>
  <c r="AA65" i="19"/>
  <c r="Z65" i="19"/>
  <c r="Y65" i="19"/>
  <c r="X65" i="19"/>
  <c r="W65" i="19"/>
  <c r="V65" i="19"/>
  <c r="U65" i="19"/>
  <c r="N65" i="19"/>
  <c r="O65" i="19" s="1"/>
  <c r="AD64" i="19"/>
  <c r="AC64" i="19"/>
  <c r="AB64" i="19"/>
  <c r="AA64" i="19"/>
  <c r="Z64" i="19"/>
  <c r="Y64" i="19"/>
  <c r="X64" i="19"/>
  <c r="W64" i="19"/>
  <c r="V64" i="19"/>
  <c r="U64" i="19"/>
  <c r="O64" i="19"/>
  <c r="AD63" i="19"/>
  <c r="AC63" i="19"/>
  <c r="AB63" i="19"/>
  <c r="AA63" i="19"/>
  <c r="Z63" i="19"/>
  <c r="Y63" i="19"/>
  <c r="X63" i="19"/>
  <c r="W63" i="19"/>
  <c r="V63" i="19"/>
  <c r="U63" i="19"/>
  <c r="N63" i="19"/>
  <c r="O63" i="19" s="1"/>
  <c r="AD62" i="19"/>
  <c r="AC62" i="19"/>
  <c r="AB62" i="19"/>
  <c r="AA62" i="19"/>
  <c r="Z62" i="19"/>
  <c r="Y62" i="19"/>
  <c r="X62" i="19"/>
  <c r="W62" i="19"/>
  <c r="V62" i="19"/>
  <c r="U62" i="19"/>
  <c r="N62" i="19"/>
  <c r="O62" i="19" s="1"/>
  <c r="AD61" i="19"/>
  <c r="AC61" i="19"/>
  <c r="AB61" i="19"/>
  <c r="AA61" i="19"/>
  <c r="Z61" i="19"/>
  <c r="Y61" i="19"/>
  <c r="X61" i="19"/>
  <c r="W61" i="19"/>
  <c r="V61" i="19"/>
  <c r="U61" i="19"/>
  <c r="N61" i="19"/>
  <c r="AD60" i="19"/>
  <c r="AC60" i="19"/>
  <c r="AB60" i="19"/>
  <c r="AA60" i="19"/>
  <c r="Z60" i="19"/>
  <c r="Y60" i="19"/>
  <c r="X60" i="19"/>
  <c r="W60" i="19"/>
  <c r="V60" i="19"/>
  <c r="U60" i="19"/>
  <c r="N60" i="19"/>
  <c r="O60" i="19" s="1"/>
  <c r="AD59" i="19"/>
  <c r="AC59" i="19"/>
  <c r="AB59" i="19"/>
  <c r="AA59" i="19"/>
  <c r="Z59" i="19"/>
  <c r="Y59" i="19"/>
  <c r="X59" i="19"/>
  <c r="W59" i="19"/>
  <c r="V59" i="19"/>
  <c r="U59" i="19"/>
  <c r="O59" i="19"/>
  <c r="AD58" i="19"/>
  <c r="AC58" i="19"/>
  <c r="AB58" i="19"/>
  <c r="AA58" i="19"/>
  <c r="Z58" i="19"/>
  <c r="Y58" i="19"/>
  <c r="X58" i="19"/>
  <c r="W58" i="19"/>
  <c r="V58" i="19"/>
  <c r="U58" i="19"/>
  <c r="N58" i="19"/>
  <c r="O58" i="19" s="1"/>
  <c r="AD57" i="19"/>
  <c r="AC57" i="19"/>
  <c r="AB57" i="19"/>
  <c r="AA57" i="19"/>
  <c r="Z57" i="19"/>
  <c r="Y57" i="19"/>
  <c r="X57" i="19"/>
  <c r="W57" i="19"/>
  <c r="V57" i="19"/>
  <c r="U57" i="19"/>
  <c r="N57" i="19"/>
  <c r="O57" i="19" s="1"/>
  <c r="AD56" i="19"/>
  <c r="AC56" i="19"/>
  <c r="AB56" i="19"/>
  <c r="AA56" i="19"/>
  <c r="Z56" i="19"/>
  <c r="Y56" i="19"/>
  <c r="X56" i="19"/>
  <c r="W56" i="19"/>
  <c r="V56" i="19"/>
  <c r="U56" i="19"/>
  <c r="N56" i="19"/>
  <c r="O56" i="19" s="1"/>
  <c r="AD55" i="19"/>
  <c r="AC55" i="19"/>
  <c r="AB55" i="19"/>
  <c r="AA55" i="19"/>
  <c r="Z55" i="19"/>
  <c r="Y55" i="19"/>
  <c r="X55" i="19"/>
  <c r="W55" i="19"/>
  <c r="V55" i="19"/>
  <c r="U55" i="19"/>
  <c r="O55" i="19"/>
  <c r="AD54" i="19"/>
  <c r="AC54" i="19"/>
  <c r="AB54" i="19"/>
  <c r="AA54" i="19"/>
  <c r="Z54" i="19"/>
  <c r="Y54" i="19"/>
  <c r="X54" i="19"/>
  <c r="W54" i="19"/>
  <c r="V54" i="19"/>
  <c r="U54" i="19"/>
  <c r="N54" i="19"/>
  <c r="O54" i="19" s="1"/>
  <c r="AD53" i="19"/>
  <c r="AC53" i="19"/>
  <c r="AB53" i="19"/>
  <c r="AA53" i="19"/>
  <c r="Z53" i="19"/>
  <c r="Y53" i="19"/>
  <c r="X53" i="19"/>
  <c r="W53" i="19"/>
  <c r="V53" i="19"/>
  <c r="U53" i="19"/>
  <c r="N53" i="19"/>
  <c r="O53" i="19" s="1"/>
  <c r="AD52" i="19"/>
  <c r="AC52" i="19"/>
  <c r="AB52" i="19"/>
  <c r="AA52" i="19"/>
  <c r="Z52" i="19"/>
  <c r="Y52" i="19"/>
  <c r="X52" i="19"/>
  <c r="W52" i="19"/>
  <c r="V52" i="19"/>
  <c r="U52" i="19"/>
  <c r="N52" i="19"/>
  <c r="O52" i="19" s="1"/>
  <c r="AD51" i="19"/>
  <c r="AC51" i="19"/>
  <c r="AB51" i="19"/>
  <c r="AA51" i="19"/>
  <c r="Z51" i="19"/>
  <c r="Y51" i="19"/>
  <c r="X51" i="19"/>
  <c r="W51" i="19"/>
  <c r="V51" i="19"/>
  <c r="U51" i="19"/>
  <c r="N51" i="19"/>
  <c r="O51" i="19" s="1"/>
  <c r="AD50" i="19"/>
  <c r="AC50" i="19"/>
  <c r="AB50" i="19"/>
  <c r="AA50" i="19"/>
  <c r="Z50" i="19"/>
  <c r="Y50" i="19"/>
  <c r="X50" i="19"/>
  <c r="W50" i="19"/>
  <c r="V50" i="19"/>
  <c r="U50" i="19"/>
  <c r="O50" i="19"/>
  <c r="AD49" i="19"/>
  <c r="AC49" i="19"/>
  <c r="AB49" i="19"/>
  <c r="AA49" i="19"/>
  <c r="Z49" i="19"/>
  <c r="Y49" i="19"/>
  <c r="X49" i="19"/>
  <c r="W49" i="19"/>
  <c r="V49" i="19"/>
  <c r="U49" i="19"/>
  <c r="N49" i="19"/>
  <c r="O49" i="19" s="1"/>
  <c r="AD48" i="19"/>
  <c r="AC48" i="19"/>
  <c r="AB48" i="19"/>
  <c r="AA48" i="19"/>
  <c r="Z48" i="19"/>
  <c r="Y48" i="19"/>
  <c r="X48" i="19"/>
  <c r="W48" i="19"/>
  <c r="V48" i="19"/>
  <c r="U48" i="19"/>
  <c r="N48" i="19"/>
  <c r="O48" i="19" s="1"/>
  <c r="AD47" i="19"/>
  <c r="AC47" i="19"/>
  <c r="AB47" i="19"/>
  <c r="AA47" i="19"/>
  <c r="Z47" i="19"/>
  <c r="Y47" i="19"/>
  <c r="X47" i="19"/>
  <c r="W47" i="19"/>
  <c r="V47" i="19"/>
  <c r="U47" i="19"/>
  <c r="N47" i="19"/>
  <c r="O47" i="19" s="1"/>
  <c r="AD46" i="19"/>
  <c r="AC46" i="19"/>
  <c r="AB46" i="19"/>
  <c r="AA46" i="19"/>
  <c r="Z46" i="19"/>
  <c r="Y46" i="19"/>
  <c r="X46" i="19"/>
  <c r="W46" i="19"/>
  <c r="V46" i="19"/>
  <c r="U46" i="19"/>
  <c r="N46" i="19"/>
  <c r="O46" i="19" s="1"/>
  <c r="AD45" i="19"/>
  <c r="AC45" i="19"/>
  <c r="AB45" i="19"/>
  <c r="AA45" i="19"/>
  <c r="Z45" i="19"/>
  <c r="Y45" i="19"/>
  <c r="X45" i="19"/>
  <c r="W45" i="19"/>
  <c r="V45" i="19"/>
  <c r="U45" i="19"/>
  <c r="O45" i="19"/>
  <c r="AD44" i="19"/>
  <c r="AC44" i="19"/>
  <c r="AB44" i="19"/>
  <c r="AA44" i="19"/>
  <c r="Z44" i="19"/>
  <c r="Y44" i="19"/>
  <c r="X44" i="19"/>
  <c r="W44" i="19"/>
  <c r="V44" i="19"/>
  <c r="U44" i="19"/>
  <c r="N44" i="19"/>
  <c r="O44" i="19" s="1"/>
  <c r="AD43" i="19"/>
  <c r="AC43" i="19"/>
  <c r="AB43" i="19"/>
  <c r="AA43" i="19"/>
  <c r="Z43" i="19"/>
  <c r="Y43" i="19"/>
  <c r="X43" i="19"/>
  <c r="W43" i="19"/>
  <c r="V43" i="19"/>
  <c r="U43" i="19"/>
  <c r="N43" i="19"/>
  <c r="O43" i="19" s="1"/>
  <c r="AD42" i="19"/>
  <c r="AC42" i="19"/>
  <c r="AB42" i="19"/>
  <c r="AA42" i="19"/>
  <c r="Z42" i="19"/>
  <c r="Y42" i="19"/>
  <c r="X42" i="19"/>
  <c r="W42" i="19"/>
  <c r="V42" i="19"/>
  <c r="U42" i="19"/>
  <c r="N42" i="19"/>
  <c r="O42" i="19" s="1"/>
  <c r="AD41" i="19"/>
  <c r="AC41" i="19"/>
  <c r="AB41" i="19"/>
  <c r="AA41" i="19"/>
  <c r="Z41" i="19"/>
  <c r="Y41" i="19"/>
  <c r="X41" i="19"/>
  <c r="W41" i="19"/>
  <c r="V41" i="19"/>
  <c r="U41" i="19"/>
  <c r="O41" i="19"/>
  <c r="N41" i="19"/>
  <c r="AD40" i="19"/>
  <c r="AC40" i="19"/>
  <c r="AB40" i="19"/>
  <c r="AA40" i="19"/>
  <c r="Z40" i="19"/>
  <c r="Y40" i="19"/>
  <c r="X40" i="19"/>
  <c r="W40" i="19"/>
  <c r="V40" i="19"/>
  <c r="U40" i="19"/>
  <c r="O40" i="19"/>
  <c r="AD39" i="19"/>
  <c r="AC39" i="19"/>
  <c r="AB39" i="19"/>
  <c r="AA39" i="19"/>
  <c r="Z39" i="19"/>
  <c r="Y39" i="19"/>
  <c r="X39" i="19"/>
  <c r="W39" i="19"/>
  <c r="V39" i="19"/>
  <c r="U39" i="19"/>
  <c r="N39" i="19"/>
  <c r="O39" i="19" s="1"/>
  <c r="AD38" i="19"/>
  <c r="AC38" i="19"/>
  <c r="AB38" i="19"/>
  <c r="AA38" i="19"/>
  <c r="Z38" i="19"/>
  <c r="Y38" i="19"/>
  <c r="X38" i="19"/>
  <c r="W38" i="19"/>
  <c r="V38" i="19"/>
  <c r="U38" i="19"/>
  <c r="N38" i="19"/>
  <c r="O38" i="19" s="1"/>
  <c r="AD37" i="19"/>
  <c r="AC37" i="19"/>
  <c r="AB37" i="19"/>
  <c r="AA37" i="19"/>
  <c r="Z37" i="19"/>
  <c r="Y37" i="19"/>
  <c r="X37" i="19"/>
  <c r="W37" i="19"/>
  <c r="V37" i="19"/>
  <c r="U37" i="19"/>
  <c r="N37" i="19"/>
  <c r="O37" i="19" s="1"/>
  <c r="AD36" i="19"/>
  <c r="AC36" i="19"/>
  <c r="AB36" i="19"/>
  <c r="AA36" i="19"/>
  <c r="Z36" i="19"/>
  <c r="Y36" i="19"/>
  <c r="X36" i="19"/>
  <c r="W36" i="19"/>
  <c r="V36" i="19"/>
  <c r="U36" i="19"/>
  <c r="N36" i="19"/>
  <c r="O36" i="19" s="1"/>
  <c r="AD35" i="19"/>
  <c r="AC35" i="19"/>
  <c r="AB35" i="19"/>
  <c r="AA35" i="19"/>
  <c r="Z35" i="19"/>
  <c r="Y35" i="19"/>
  <c r="X35" i="19"/>
  <c r="W35" i="19"/>
  <c r="V35" i="19"/>
  <c r="U35" i="19"/>
  <c r="O35" i="19"/>
  <c r="AD34" i="19"/>
  <c r="AC34" i="19"/>
  <c r="AB34" i="19"/>
  <c r="AA34" i="19"/>
  <c r="Z34" i="19"/>
  <c r="Y34" i="19"/>
  <c r="X34" i="19"/>
  <c r="W34" i="19"/>
  <c r="V34" i="19"/>
  <c r="U34" i="19"/>
  <c r="N34" i="19"/>
  <c r="O34" i="19" s="1"/>
  <c r="AD33" i="19"/>
  <c r="AC33" i="19"/>
  <c r="AB33" i="19"/>
  <c r="AA33" i="19"/>
  <c r="Z33" i="19"/>
  <c r="Y33" i="19"/>
  <c r="X33" i="19"/>
  <c r="W33" i="19"/>
  <c r="V33" i="19"/>
  <c r="U33" i="19"/>
  <c r="N33" i="19"/>
  <c r="O33" i="19" s="1"/>
  <c r="AD32" i="19"/>
  <c r="AC32" i="19"/>
  <c r="AB32" i="19"/>
  <c r="AA32" i="19"/>
  <c r="Z32" i="19"/>
  <c r="Y32" i="19"/>
  <c r="X32" i="19"/>
  <c r="W32" i="19"/>
  <c r="V32" i="19"/>
  <c r="U32" i="19"/>
  <c r="N32" i="19"/>
  <c r="AD31" i="19"/>
  <c r="AC31" i="19"/>
  <c r="AB31" i="19"/>
  <c r="AA31" i="19"/>
  <c r="Z31" i="19"/>
  <c r="Y31" i="19"/>
  <c r="X31" i="19"/>
  <c r="W31" i="19"/>
  <c r="V31" i="19"/>
  <c r="U31" i="19"/>
  <c r="N31" i="19"/>
  <c r="O31" i="19" s="1"/>
  <c r="AD30" i="19"/>
  <c r="AC30" i="19"/>
  <c r="AB30" i="19"/>
  <c r="AA30" i="19"/>
  <c r="Z30" i="19"/>
  <c r="Y30" i="19"/>
  <c r="X30" i="19"/>
  <c r="W30" i="19"/>
  <c r="V30" i="19"/>
  <c r="U30" i="19"/>
  <c r="N30" i="19"/>
  <c r="O30" i="19" s="1"/>
  <c r="AD29" i="19"/>
  <c r="AC29" i="19"/>
  <c r="AB29" i="19"/>
  <c r="AA29" i="19"/>
  <c r="Z29" i="19"/>
  <c r="Y29" i="19"/>
  <c r="X29" i="19"/>
  <c r="W29" i="19"/>
  <c r="V29" i="19"/>
  <c r="U29" i="19"/>
  <c r="N29" i="19"/>
  <c r="O29" i="19" s="1"/>
  <c r="AD28" i="19"/>
  <c r="AC28" i="19"/>
  <c r="AB28" i="19"/>
  <c r="AA28" i="19"/>
  <c r="Z28" i="19"/>
  <c r="Y28" i="19"/>
  <c r="X28" i="19"/>
  <c r="W28" i="19"/>
  <c r="V28" i="19"/>
  <c r="U28" i="19"/>
  <c r="N28" i="19"/>
  <c r="O28" i="19" s="1"/>
  <c r="AD27" i="19"/>
  <c r="AC27" i="19"/>
  <c r="AB27" i="19"/>
  <c r="AA27" i="19"/>
  <c r="Z27" i="19"/>
  <c r="Y27" i="19"/>
  <c r="X27" i="19"/>
  <c r="W27" i="19"/>
  <c r="V27" i="19"/>
  <c r="U27" i="19"/>
  <c r="N27" i="19"/>
  <c r="O27" i="19" s="1"/>
  <c r="AD26" i="19"/>
  <c r="AC26" i="19"/>
  <c r="AB26" i="19"/>
  <c r="AA26" i="19"/>
  <c r="Z26" i="19"/>
  <c r="Y26" i="19"/>
  <c r="X26" i="19"/>
  <c r="W26" i="19"/>
  <c r="V26" i="19"/>
  <c r="U26" i="19"/>
  <c r="N26" i="19"/>
  <c r="AD25" i="19"/>
  <c r="AC25" i="19"/>
  <c r="AB25" i="19"/>
  <c r="AA25" i="19"/>
  <c r="Z25" i="19"/>
  <c r="Y25" i="19"/>
  <c r="X25" i="19"/>
  <c r="W25" i="19"/>
  <c r="V25" i="19"/>
  <c r="U25" i="19"/>
  <c r="N25" i="19"/>
  <c r="O25" i="19" s="1"/>
  <c r="AD24" i="19"/>
  <c r="AC24" i="19"/>
  <c r="AB24" i="19"/>
  <c r="AA24" i="19"/>
  <c r="Z24" i="19"/>
  <c r="Y24" i="19"/>
  <c r="X24" i="19"/>
  <c r="W24" i="19"/>
  <c r="V24" i="19"/>
  <c r="U24" i="19"/>
  <c r="N24" i="19"/>
  <c r="O24" i="19" s="1"/>
  <c r="AD23" i="19"/>
  <c r="AC23" i="19"/>
  <c r="AB23" i="19"/>
  <c r="AA23" i="19"/>
  <c r="Z23" i="19"/>
  <c r="Y23" i="19"/>
  <c r="X23" i="19"/>
  <c r="W23" i="19"/>
  <c r="V23" i="19"/>
  <c r="U23" i="19"/>
  <c r="N23" i="19"/>
  <c r="O23" i="19" s="1"/>
  <c r="AD22" i="19"/>
  <c r="AC22" i="19"/>
  <c r="AB22" i="19"/>
  <c r="AA22" i="19"/>
  <c r="Z22" i="19"/>
  <c r="Y22" i="19"/>
  <c r="X22" i="19"/>
  <c r="W22" i="19"/>
  <c r="V22" i="19"/>
  <c r="U22" i="19"/>
  <c r="N22" i="19"/>
  <c r="O22" i="19" s="1"/>
  <c r="AD21" i="19"/>
  <c r="AC21" i="19"/>
  <c r="AB21" i="19"/>
  <c r="AA21" i="19"/>
  <c r="Z21" i="19"/>
  <c r="Y21" i="19"/>
  <c r="X21" i="19"/>
  <c r="W21" i="19"/>
  <c r="V21" i="19"/>
  <c r="U21" i="19"/>
  <c r="N21" i="19"/>
  <c r="O21" i="19" s="1"/>
  <c r="AD20" i="19"/>
  <c r="AC20" i="19"/>
  <c r="AB20" i="19"/>
  <c r="AA20" i="19"/>
  <c r="Z20" i="19"/>
  <c r="Y20" i="19"/>
  <c r="X20" i="19"/>
  <c r="W20" i="19"/>
  <c r="V20" i="19"/>
  <c r="U20" i="19"/>
  <c r="N20" i="19"/>
  <c r="O20" i="19" s="1"/>
  <c r="C20" i="19"/>
  <c r="AD19" i="19"/>
  <c r="AC19" i="19"/>
  <c r="AB19" i="19"/>
  <c r="AA19" i="19"/>
  <c r="Z19" i="19"/>
  <c r="Y19" i="19"/>
  <c r="X19" i="19"/>
  <c r="W19" i="19"/>
  <c r="V19" i="19"/>
  <c r="U19" i="19"/>
  <c r="N19" i="19"/>
  <c r="O19" i="19" s="1"/>
  <c r="C19" i="19"/>
  <c r="AD18" i="19"/>
  <c r="AC18" i="19"/>
  <c r="AB18" i="19"/>
  <c r="AA18" i="19"/>
  <c r="Z18" i="19"/>
  <c r="Y18" i="19"/>
  <c r="X18" i="19"/>
  <c r="W18" i="19"/>
  <c r="V18" i="19"/>
  <c r="U18" i="19"/>
  <c r="N18" i="19"/>
  <c r="O18" i="19" s="1"/>
  <c r="C18" i="19"/>
  <c r="AD17" i="19"/>
  <c r="AC17" i="19"/>
  <c r="AB17" i="19"/>
  <c r="AA17" i="19"/>
  <c r="Z17" i="19"/>
  <c r="Y17" i="19"/>
  <c r="X17" i="19"/>
  <c r="W17" i="19"/>
  <c r="V17" i="19"/>
  <c r="U17" i="19"/>
  <c r="N17" i="19"/>
  <c r="O17" i="19" s="1"/>
  <c r="C17" i="19"/>
  <c r="AD16" i="19"/>
  <c r="AC16" i="19"/>
  <c r="AB16" i="19"/>
  <c r="AA16" i="19"/>
  <c r="Z16" i="19"/>
  <c r="Y16" i="19"/>
  <c r="X16" i="19"/>
  <c r="W16" i="19"/>
  <c r="V16" i="19"/>
  <c r="U16" i="19"/>
  <c r="N16" i="19"/>
  <c r="O16" i="19" s="1"/>
  <c r="C16" i="19"/>
  <c r="AD15" i="19"/>
  <c r="AC15" i="19"/>
  <c r="AB15" i="19"/>
  <c r="AA15" i="19"/>
  <c r="Z15" i="19"/>
  <c r="Y15" i="19"/>
  <c r="X15" i="19"/>
  <c r="W15" i="19"/>
  <c r="V15" i="19"/>
  <c r="U15" i="19"/>
  <c r="N15" i="19"/>
  <c r="O15" i="19" s="1"/>
  <c r="C15" i="19"/>
  <c r="AD14" i="19"/>
  <c r="AC14" i="19"/>
  <c r="AB14" i="19"/>
  <c r="AA14" i="19"/>
  <c r="Z14" i="19"/>
  <c r="Y14" i="19"/>
  <c r="X14" i="19"/>
  <c r="W14" i="19"/>
  <c r="V14" i="19"/>
  <c r="U14" i="19"/>
  <c r="N14" i="19"/>
  <c r="O14" i="19" s="1"/>
  <c r="AD13" i="19"/>
  <c r="AC13" i="19"/>
  <c r="AB13" i="19"/>
  <c r="AA13" i="19"/>
  <c r="Z13" i="19"/>
  <c r="Y13" i="19"/>
  <c r="X13" i="19"/>
  <c r="W13" i="19"/>
  <c r="V13" i="19"/>
  <c r="U13" i="19"/>
  <c r="N13" i="19"/>
  <c r="O13" i="19" s="1"/>
  <c r="C13" i="19"/>
  <c r="AD12" i="19"/>
  <c r="AC12" i="19"/>
  <c r="AB12" i="19"/>
  <c r="AA12" i="19"/>
  <c r="Z12" i="19"/>
  <c r="Y12" i="19"/>
  <c r="X12" i="19"/>
  <c r="W12" i="19"/>
  <c r="V12" i="19"/>
  <c r="U12" i="19"/>
  <c r="N12" i="19"/>
  <c r="O12" i="19" s="1"/>
  <c r="C12" i="19"/>
  <c r="AD11" i="19"/>
  <c r="AC11" i="19"/>
  <c r="AB11" i="19"/>
  <c r="AA11" i="19"/>
  <c r="Z11" i="19"/>
  <c r="Y11" i="19"/>
  <c r="X11" i="19"/>
  <c r="W11" i="19"/>
  <c r="V11" i="19"/>
  <c r="U11" i="19"/>
  <c r="N11" i="19"/>
  <c r="O11" i="19" s="1"/>
  <c r="C11" i="19"/>
  <c r="AD10" i="19"/>
  <c r="AC10" i="19"/>
  <c r="AB10" i="19"/>
  <c r="AA10" i="19"/>
  <c r="Z10" i="19"/>
  <c r="Y10" i="19"/>
  <c r="X10" i="19"/>
  <c r="W10" i="19"/>
  <c r="V10" i="19"/>
  <c r="U10" i="19"/>
  <c r="N10" i="19"/>
  <c r="O10" i="19" s="1"/>
  <c r="C10" i="19"/>
  <c r="AD9" i="19"/>
  <c r="AC9" i="19"/>
  <c r="AB9" i="19"/>
  <c r="AA9" i="19"/>
  <c r="Z9" i="19"/>
  <c r="Y9" i="19"/>
  <c r="X9" i="19"/>
  <c r="W9" i="19"/>
  <c r="V9" i="19"/>
  <c r="U9" i="19"/>
  <c r="N9" i="19"/>
  <c r="C9" i="19"/>
  <c r="AD8" i="19"/>
  <c r="AC8" i="19"/>
  <c r="AB8" i="19"/>
  <c r="AA8" i="19"/>
  <c r="Z8" i="19"/>
  <c r="Y8" i="19"/>
  <c r="X8" i="19"/>
  <c r="W8" i="19"/>
  <c r="V8" i="19"/>
  <c r="U8" i="19"/>
  <c r="N8" i="19"/>
  <c r="O8" i="19" s="1"/>
  <c r="C8" i="19"/>
  <c r="C6" i="19"/>
  <c r="O4" i="19"/>
  <c r="O3" i="19"/>
  <c r="U111" i="24" l="1"/>
  <c r="D111" i="24" s="1"/>
  <c r="Y111" i="24"/>
  <c r="H111" i="24" s="1"/>
  <c r="X111" i="24"/>
  <c r="G111" i="24" s="1"/>
  <c r="AB111" i="24"/>
  <c r="K111" i="24" s="1"/>
  <c r="V83" i="24"/>
  <c r="E83" i="24" s="1"/>
  <c r="E112" i="24" s="1"/>
  <c r="X11" i="11"/>
  <c r="Z11" i="11" s="1"/>
  <c r="H15" i="11"/>
  <c r="O89" i="23"/>
  <c r="H32" i="11"/>
  <c r="O91" i="23"/>
  <c r="H34" i="11"/>
  <c r="X21" i="11"/>
  <c r="Z21" i="11" s="1"/>
  <c r="H38" i="11" s="1"/>
  <c r="O66" i="23"/>
  <c r="Q60" i="11"/>
  <c r="Q63" i="11" s="1"/>
  <c r="AD83" i="23"/>
  <c r="M83" i="23" s="1"/>
  <c r="AA111" i="24"/>
  <c r="J111" i="24" s="1"/>
  <c r="O111" i="24" s="1"/>
  <c r="AA111" i="23"/>
  <c r="J111" i="23" s="1"/>
  <c r="Z83" i="24"/>
  <c r="I83" i="24" s="1"/>
  <c r="I112" i="24" s="1"/>
  <c r="O17" i="23"/>
  <c r="H24" i="11"/>
  <c r="Z83" i="23"/>
  <c r="I83" i="23" s="1"/>
  <c r="O15" i="23"/>
  <c r="H21" i="11"/>
  <c r="AC28" i="11"/>
  <c r="X20" i="11" s="1"/>
  <c r="Z20" i="11" s="1"/>
  <c r="O61" i="19"/>
  <c r="AC38" i="11"/>
  <c r="AE38" i="11" s="1"/>
  <c r="H16" i="11"/>
  <c r="Y29" i="11" s="1"/>
  <c r="X15" i="11"/>
  <c r="H60" i="11" s="1"/>
  <c r="X111" i="23"/>
  <c r="G111" i="23" s="1"/>
  <c r="O18" i="23"/>
  <c r="H22" i="11"/>
  <c r="AC32" i="11"/>
  <c r="AE32" i="11" s="1"/>
  <c r="H53" i="11" s="1"/>
  <c r="AC12" i="11"/>
  <c r="H23" i="11" s="1"/>
  <c r="O32" i="19"/>
  <c r="AC21" i="11"/>
  <c r="AE21" i="11" s="1"/>
  <c r="H39" i="11" s="1"/>
  <c r="O65" i="23"/>
  <c r="AC18" i="11"/>
  <c r="AE18" i="11" s="1"/>
  <c r="H40" i="11" s="1"/>
  <c r="S59" i="11"/>
  <c r="S63" i="11" s="1"/>
  <c r="H26" i="11" s="1"/>
  <c r="W111" i="23"/>
  <c r="F111" i="23" s="1"/>
  <c r="AC15" i="11"/>
  <c r="H31" i="11"/>
  <c r="O22" i="23"/>
  <c r="X12" i="11"/>
  <c r="Z12" i="11" s="1"/>
  <c r="O62" i="23"/>
  <c r="V83" i="23"/>
  <c r="E83" i="23" s="1"/>
  <c r="O49" i="23"/>
  <c r="AC35" i="11"/>
  <c r="AE35" i="11" s="1"/>
  <c r="H61" i="11" s="1"/>
  <c r="O21" i="23"/>
  <c r="O12" i="24"/>
  <c r="O26" i="19"/>
  <c r="H14" i="11"/>
  <c r="O9" i="19"/>
  <c r="H12" i="11"/>
  <c r="H13" i="11"/>
  <c r="X18" i="11"/>
  <c r="Z18" i="11" s="1"/>
  <c r="O8" i="23"/>
  <c r="H11" i="11"/>
  <c r="W83" i="24"/>
  <c r="F83" i="24" s="1"/>
  <c r="F112" i="24" s="1"/>
  <c r="AA83" i="24"/>
  <c r="J83" i="24" s="1"/>
  <c r="X83" i="24"/>
  <c r="G83" i="24" s="1"/>
  <c r="G112" i="24" s="1"/>
  <c r="AB83" i="24"/>
  <c r="K83" i="24" s="1"/>
  <c r="U83" i="24"/>
  <c r="D83" i="24" s="1"/>
  <c r="Y83" i="24"/>
  <c r="H83" i="24" s="1"/>
  <c r="H112" i="24" s="1"/>
  <c r="AC83" i="24"/>
  <c r="L83" i="24" s="1"/>
  <c r="L112" i="24" s="1"/>
  <c r="W83" i="23"/>
  <c r="F83" i="23" s="1"/>
  <c r="AA83" i="23"/>
  <c r="J83" i="23" s="1"/>
  <c r="J112" i="23" s="1"/>
  <c r="X83" i="23"/>
  <c r="G83" i="23" s="1"/>
  <c r="G112" i="23" s="1"/>
  <c r="AB83" i="23"/>
  <c r="K83" i="23" s="1"/>
  <c r="K112" i="23" s="1"/>
  <c r="U111" i="23"/>
  <c r="D111" i="23" s="1"/>
  <c r="Y111" i="23"/>
  <c r="H111" i="23" s="1"/>
  <c r="AC111" i="23"/>
  <c r="L111" i="23" s="1"/>
  <c r="U83" i="23"/>
  <c r="D83" i="23" s="1"/>
  <c r="Y83" i="23"/>
  <c r="H83" i="23" s="1"/>
  <c r="AC83" i="23"/>
  <c r="L83" i="23" s="1"/>
  <c r="V111" i="23"/>
  <c r="E111" i="23" s="1"/>
  <c r="Z111" i="23"/>
  <c r="I111" i="23" s="1"/>
  <c r="AD111" i="23"/>
  <c r="M111" i="23" s="1"/>
  <c r="M112" i="23" s="1"/>
  <c r="X111" i="19"/>
  <c r="G111" i="19" s="1"/>
  <c r="AB111" i="19"/>
  <c r="K111" i="19" s="1"/>
  <c r="Y111" i="19"/>
  <c r="H111" i="19" s="1"/>
  <c r="AC111" i="19"/>
  <c r="L111" i="19" s="1"/>
  <c r="U111" i="19"/>
  <c r="D111" i="19" s="1"/>
  <c r="X83" i="19"/>
  <c r="G83" i="19" s="1"/>
  <c r="AB83" i="19"/>
  <c r="K83" i="19" s="1"/>
  <c r="K112" i="19" s="1"/>
  <c r="Y83" i="19"/>
  <c r="H83" i="19" s="1"/>
  <c r="V111" i="19"/>
  <c r="E111" i="19" s="1"/>
  <c r="Z111" i="19"/>
  <c r="I111" i="19" s="1"/>
  <c r="AD111" i="19"/>
  <c r="M111" i="19" s="1"/>
  <c r="U83" i="19"/>
  <c r="D83" i="19" s="1"/>
  <c r="V83" i="19"/>
  <c r="E83" i="19" s="1"/>
  <c r="Z83" i="19"/>
  <c r="I83" i="19" s="1"/>
  <c r="I112" i="19" s="1"/>
  <c r="AD83" i="19"/>
  <c r="M83" i="19" s="1"/>
  <c r="W111" i="19"/>
  <c r="F111" i="19" s="1"/>
  <c r="AA111" i="19"/>
  <c r="J111" i="19" s="1"/>
  <c r="AC83" i="19"/>
  <c r="L83" i="19" s="1"/>
  <c r="W83" i="19"/>
  <c r="F83" i="19" s="1"/>
  <c r="AA83" i="19"/>
  <c r="J83" i="19" s="1"/>
  <c r="R129" i="3"/>
  <c r="R130" i="3"/>
  <c r="R131" i="3"/>
  <c r="J112" i="24" l="1"/>
  <c r="K112" i="24"/>
  <c r="F112" i="23"/>
  <c r="AE28" i="11"/>
  <c r="H65" i="11"/>
  <c r="Z15" i="11"/>
  <c r="I112" i="23"/>
  <c r="H63" i="11"/>
  <c r="AC24" i="11"/>
  <c r="AE24" i="11" s="1"/>
  <c r="AE12" i="11"/>
  <c r="H41" i="11"/>
  <c r="X42" i="11"/>
  <c r="Z42" i="11" s="1"/>
  <c r="H62" i="11" s="1"/>
  <c r="AE15" i="11"/>
  <c r="X38" i="11"/>
  <c r="Z40" i="11" s="1"/>
  <c r="E112" i="23"/>
  <c r="Y28" i="11"/>
  <c r="Y30" i="11" s="1"/>
  <c r="AC30" i="11" s="1"/>
  <c r="AE30" i="11" s="1"/>
  <c r="H55" i="11" s="1"/>
  <c r="H112" i="19"/>
  <c r="H112" i="23"/>
  <c r="O83" i="24"/>
  <c r="O112" i="24" s="1"/>
  <c r="D112" i="24"/>
  <c r="D112" i="23"/>
  <c r="O83" i="23"/>
  <c r="L112" i="23"/>
  <c r="O111" i="23"/>
  <c r="G112" i="19"/>
  <c r="M112" i="19"/>
  <c r="J112" i="19"/>
  <c r="L112" i="19"/>
  <c r="O111" i="19"/>
  <c r="F112" i="19"/>
  <c r="E112" i="19"/>
  <c r="O83" i="19"/>
  <c r="D112" i="19"/>
  <c r="H20" i="11" l="1"/>
  <c r="Z10" i="11"/>
  <c r="H10" i="11" s="1"/>
  <c r="Z39" i="11"/>
  <c r="H52" i="11" s="1"/>
  <c r="X35" i="11"/>
  <c r="Z35" i="11" s="1"/>
  <c r="X32" i="11"/>
  <c r="Z32" i="11" s="1"/>
  <c r="H66" i="11" s="1"/>
  <c r="O112" i="23"/>
  <c r="P55" i="23" s="1"/>
  <c r="R55" i="23" s="1"/>
  <c r="P110" i="24"/>
  <c r="R110" i="24" s="1"/>
  <c r="P92" i="24"/>
  <c r="R92" i="24" s="1"/>
  <c r="P69" i="24"/>
  <c r="R69" i="24" s="1"/>
  <c r="P58" i="24"/>
  <c r="R58" i="24" s="1"/>
  <c r="P56" i="24"/>
  <c r="R56" i="24" s="1"/>
  <c r="P47" i="24"/>
  <c r="R47" i="24" s="1"/>
  <c r="P40" i="24"/>
  <c r="R40" i="24" s="1"/>
  <c r="P38" i="24"/>
  <c r="R38" i="24" s="1"/>
  <c r="P31" i="24"/>
  <c r="R31" i="24" s="1"/>
  <c r="P23" i="24"/>
  <c r="R23" i="24" s="1"/>
  <c r="P20" i="24"/>
  <c r="R20" i="24" s="1"/>
  <c r="P90" i="24"/>
  <c r="R90" i="24" s="1"/>
  <c r="P67" i="24"/>
  <c r="R67" i="24" s="1"/>
  <c r="P65" i="24"/>
  <c r="R65" i="24" s="1"/>
  <c r="P49" i="24"/>
  <c r="R49" i="24" s="1"/>
  <c r="P33" i="24"/>
  <c r="R33" i="24" s="1"/>
  <c r="P16" i="24"/>
  <c r="R16" i="24" s="1"/>
  <c r="P87" i="24"/>
  <c r="R87" i="24" s="1"/>
  <c r="P42" i="24"/>
  <c r="R42" i="24" s="1"/>
  <c r="P25" i="24"/>
  <c r="R25" i="24" s="1"/>
  <c r="P13" i="24"/>
  <c r="R13" i="24" s="1"/>
  <c r="P9" i="24"/>
  <c r="R9" i="24" s="1"/>
  <c r="P15" i="24"/>
  <c r="R15" i="24" s="1"/>
  <c r="P18" i="24"/>
  <c r="R18" i="24" s="1"/>
  <c r="P11" i="24"/>
  <c r="R11" i="24" s="1"/>
  <c r="P44" i="24"/>
  <c r="R44" i="24" s="1"/>
  <c r="P14" i="24"/>
  <c r="R14" i="24" s="1"/>
  <c r="P35" i="24"/>
  <c r="R35" i="24" s="1"/>
  <c r="P96" i="24"/>
  <c r="R96" i="24" s="1"/>
  <c r="P60" i="24"/>
  <c r="R60" i="24" s="1"/>
  <c r="P68" i="24"/>
  <c r="R68" i="24" s="1"/>
  <c r="P76" i="24"/>
  <c r="R76" i="24" s="1"/>
  <c r="P89" i="24"/>
  <c r="R89" i="24" s="1"/>
  <c r="P97" i="24"/>
  <c r="R97" i="24" s="1"/>
  <c r="P105" i="24"/>
  <c r="R105" i="24" s="1"/>
  <c r="P75" i="24"/>
  <c r="R75" i="24" s="1"/>
  <c r="P94" i="24"/>
  <c r="R94" i="24" s="1"/>
  <c r="P51" i="24"/>
  <c r="R51" i="24" s="1"/>
  <c r="P59" i="24"/>
  <c r="R59" i="24" s="1"/>
  <c r="P41" i="24"/>
  <c r="R41" i="24" s="1"/>
  <c r="P22" i="24"/>
  <c r="R22" i="24" s="1"/>
  <c r="P54" i="24"/>
  <c r="R54" i="24" s="1"/>
  <c r="P88" i="24"/>
  <c r="R88" i="24" s="1"/>
  <c r="P29" i="24"/>
  <c r="R29" i="24" s="1"/>
  <c r="P28" i="24"/>
  <c r="R28" i="24" s="1"/>
  <c r="P19" i="24"/>
  <c r="R19" i="24" s="1"/>
  <c r="P36" i="24"/>
  <c r="R36" i="24" s="1"/>
  <c r="P26" i="24"/>
  <c r="R26" i="24" s="1"/>
  <c r="P71" i="24"/>
  <c r="R71" i="24" s="1"/>
  <c r="P98" i="24"/>
  <c r="R98" i="24" s="1"/>
  <c r="P62" i="24"/>
  <c r="R62" i="24" s="1"/>
  <c r="P70" i="24"/>
  <c r="R70" i="24" s="1"/>
  <c r="P78" i="24"/>
  <c r="R78" i="24" s="1"/>
  <c r="P91" i="24"/>
  <c r="R91" i="24" s="1"/>
  <c r="P99" i="24"/>
  <c r="R99" i="24" s="1"/>
  <c r="P107" i="24"/>
  <c r="R107" i="24" s="1"/>
  <c r="P79" i="24"/>
  <c r="R79" i="24" s="1"/>
  <c r="P100" i="24"/>
  <c r="R100" i="24" s="1"/>
  <c r="P53" i="24"/>
  <c r="R53" i="24" s="1"/>
  <c r="P61" i="24"/>
  <c r="R61" i="24" s="1"/>
  <c r="P30" i="24"/>
  <c r="R30" i="24" s="1"/>
  <c r="P32" i="24"/>
  <c r="R32" i="24" s="1"/>
  <c r="P46" i="24"/>
  <c r="R46" i="24" s="1"/>
  <c r="P74" i="24"/>
  <c r="R74" i="24" s="1"/>
  <c r="P95" i="24"/>
  <c r="R95" i="24" s="1"/>
  <c r="P24" i="24"/>
  <c r="R24" i="24" s="1"/>
  <c r="P48" i="24"/>
  <c r="R48" i="24" s="1"/>
  <c r="P86" i="24"/>
  <c r="P10" i="24"/>
  <c r="R10" i="24" s="1"/>
  <c r="P34" i="24"/>
  <c r="R34" i="24" s="1"/>
  <c r="P21" i="24"/>
  <c r="R21" i="24" s="1"/>
  <c r="P8" i="24"/>
  <c r="P43" i="24"/>
  <c r="R43" i="24" s="1"/>
  <c r="P73" i="24"/>
  <c r="R73" i="24" s="1"/>
  <c r="P104" i="24"/>
  <c r="R104" i="24" s="1"/>
  <c r="P37" i="24"/>
  <c r="R37" i="24" s="1"/>
  <c r="P64" i="24"/>
  <c r="R64" i="24" s="1"/>
  <c r="P72" i="24"/>
  <c r="R72" i="24" s="1"/>
  <c r="P80" i="24"/>
  <c r="R80" i="24" s="1"/>
  <c r="P93" i="24"/>
  <c r="R93" i="24" s="1"/>
  <c r="P101" i="24"/>
  <c r="R101" i="24" s="1"/>
  <c r="P109" i="24"/>
  <c r="R109" i="24" s="1"/>
  <c r="P81" i="24"/>
  <c r="R81" i="24" s="1"/>
  <c r="P102" i="24"/>
  <c r="R102" i="24" s="1"/>
  <c r="P39" i="24"/>
  <c r="R39" i="24" s="1"/>
  <c r="P55" i="24"/>
  <c r="R55" i="24" s="1"/>
  <c r="P63" i="24"/>
  <c r="R63" i="24" s="1"/>
  <c r="P50" i="24"/>
  <c r="R50" i="24" s="1"/>
  <c r="P17" i="24"/>
  <c r="R17" i="24" s="1"/>
  <c r="P45" i="24"/>
  <c r="R45" i="24" s="1"/>
  <c r="P27" i="24"/>
  <c r="R27" i="24" s="1"/>
  <c r="P12" i="24"/>
  <c r="R12" i="24" s="1"/>
  <c r="P77" i="24"/>
  <c r="R77" i="24" s="1"/>
  <c r="P108" i="24"/>
  <c r="R108" i="24" s="1"/>
  <c r="P66" i="24"/>
  <c r="R66" i="24" s="1"/>
  <c r="P82" i="24"/>
  <c r="R82" i="24" s="1"/>
  <c r="P103" i="24"/>
  <c r="R103" i="24" s="1"/>
  <c r="P106" i="24"/>
  <c r="R106" i="24" s="1"/>
  <c r="P57" i="24"/>
  <c r="R57" i="24" s="1"/>
  <c r="P52" i="24"/>
  <c r="R52" i="24" s="1"/>
  <c r="O112" i="19"/>
  <c r="P110" i="19" s="1"/>
  <c r="R110" i="19" s="1"/>
  <c r="R46" i="3"/>
  <c r="R47" i="3"/>
  <c r="G120" i="4"/>
  <c r="G158" i="4"/>
  <c r="P17" i="23" l="1"/>
  <c r="R17" i="23" s="1"/>
  <c r="P61" i="23"/>
  <c r="R61" i="23" s="1"/>
  <c r="P27" i="23"/>
  <c r="R27" i="23" s="1"/>
  <c r="P88" i="23"/>
  <c r="R88" i="23" s="1"/>
  <c r="P41" i="23"/>
  <c r="R41" i="23" s="1"/>
  <c r="P76" i="23"/>
  <c r="R76" i="23" s="1"/>
  <c r="P40" i="23"/>
  <c r="R40" i="23" s="1"/>
  <c r="P109" i="23"/>
  <c r="R109" i="23" s="1"/>
  <c r="P64" i="23"/>
  <c r="R64" i="23" s="1"/>
  <c r="P22" i="23"/>
  <c r="R22" i="23" s="1"/>
  <c r="P28" i="23"/>
  <c r="R28" i="23" s="1"/>
  <c r="P99" i="23"/>
  <c r="R99" i="23" s="1"/>
  <c r="P59" i="23"/>
  <c r="R59" i="23" s="1"/>
  <c r="P38" i="23"/>
  <c r="R38" i="23" s="1"/>
  <c r="P44" i="23"/>
  <c r="R44" i="23" s="1"/>
  <c r="P33" i="23"/>
  <c r="R33" i="23" s="1"/>
  <c r="P32" i="23"/>
  <c r="R32" i="23" s="1"/>
  <c r="P57" i="23"/>
  <c r="R57" i="23" s="1"/>
  <c r="P62" i="23"/>
  <c r="R62" i="23" s="1"/>
  <c r="P102" i="23"/>
  <c r="R102" i="23" s="1"/>
  <c r="P103" i="23"/>
  <c r="R103" i="23" s="1"/>
  <c r="P68" i="23"/>
  <c r="R68" i="23" s="1"/>
  <c r="P80" i="23"/>
  <c r="R80" i="23" s="1"/>
  <c r="P30" i="23"/>
  <c r="R30" i="23" s="1"/>
  <c r="P14" i="23"/>
  <c r="R14" i="23" s="1"/>
  <c r="P37" i="23"/>
  <c r="R37" i="23" s="1"/>
  <c r="P34" i="23"/>
  <c r="R34" i="23" s="1"/>
  <c r="P46" i="23"/>
  <c r="R46" i="23" s="1"/>
  <c r="P49" i="23"/>
  <c r="R49" i="23" s="1"/>
  <c r="P43" i="23"/>
  <c r="R43" i="23" s="1"/>
  <c r="P72" i="23"/>
  <c r="R72" i="23" s="1"/>
  <c r="P101" i="23"/>
  <c r="R101" i="23" s="1"/>
  <c r="P36" i="23"/>
  <c r="R36" i="23" s="1"/>
  <c r="P96" i="23"/>
  <c r="R96" i="23" s="1"/>
  <c r="P53" i="23"/>
  <c r="R53" i="23" s="1"/>
  <c r="P73" i="23"/>
  <c r="R73" i="23" s="1"/>
  <c r="P71" i="23"/>
  <c r="R71" i="23" s="1"/>
  <c r="P20" i="23"/>
  <c r="R20" i="23" s="1"/>
  <c r="P98" i="23"/>
  <c r="R98" i="23" s="1"/>
  <c r="P42" i="23"/>
  <c r="R42" i="23" s="1"/>
  <c r="P13" i="23"/>
  <c r="R13" i="23" s="1"/>
  <c r="P100" i="23"/>
  <c r="R100" i="23" s="1"/>
  <c r="P48" i="23"/>
  <c r="R48" i="23" s="1"/>
  <c r="P58" i="23"/>
  <c r="R58" i="23" s="1"/>
  <c r="P97" i="23"/>
  <c r="R97" i="23" s="1"/>
  <c r="P75" i="23"/>
  <c r="R75" i="23" s="1"/>
  <c r="P29" i="23"/>
  <c r="R29" i="23" s="1"/>
  <c r="P90" i="23"/>
  <c r="R90" i="23" s="1"/>
  <c r="P89" i="23"/>
  <c r="R89" i="23" s="1"/>
  <c r="P45" i="23"/>
  <c r="R45" i="23" s="1"/>
  <c r="P81" i="23"/>
  <c r="R81" i="23" s="1"/>
  <c r="P63" i="23"/>
  <c r="R63" i="23" s="1"/>
  <c r="P94" i="23"/>
  <c r="R94" i="23" s="1"/>
  <c r="P78" i="23"/>
  <c r="R78" i="23" s="1"/>
  <c r="P8" i="23"/>
  <c r="R8" i="23" s="1"/>
  <c r="P21" i="23"/>
  <c r="R21" i="23" s="1"/>
  <c r="P87" i="23"/>
  <c r="R87" i="23" s="1"/>
  <c r="P24" i="23"/>
  <c r="R24" i="23" s="1"/>
  <c r="P82" i="23"/>
  <c r="R82" i="23" s="1"/>
  <c r="P31" i="23"/>
  <c r="R31" i="23" s="1"/>
  <c r="P52" i="23"/>
  <c r="R52" i="23" s="1"/>
  <c r="P95" i="23"/>
  <c r="R95" i="23" s="1"/>
  <c r="P47" i="23"/>
  <c r="R47" i="23" s="1"/>
  <c r="P92" i="23"/>
  <c r="R92" i="23" s="1"/>
  <c r="P23" i="23"/>
  <c r="R23" i="23" s="1"/>
  <c r="P107" i="23"/>
  <c r="R107" i="23" s="1"/>
  <c r="P60" i="23"/>
  <c r="R60" i="23" s="1"/>
  <c r="P67" i="23"/>
  <c r="R67" i="23" s="1"/>
  <c r="P18" i="23"/>
  <c r="R18" i="23" s="1"/>
  <c r="P19" i="23"/>
  <c r="R19" i="23" s="1"/>
  <c r="P15" i="23"/>
  <c r="R15" i="23" s="1"/>
  <c r="P16" i="23"/>
  <c r="R16" i="23" s="1"/>
  <c r="P50" i="23"/>
  <c r="R50" i="23" s="1"/>
  <c r="P10" i="23"/>
  <c r="R10" i="23" s="1"/>
  <c r="P35" i="23"/>
  <c r="R35" i="23" s="1"/>
  <c r="P66" i="23"/>
  <c r="R66" i="23" s="1"/>
  <c r="P11" i="23"/>
  <c r="R11" i="23" s="1"/>
  <c r="P104" i="23"/>
  <c r="R104" i="23" s="1"/>
  <c r="P54" i="23"/>
  <c r="R54" i="23" s="1"/>
  <c r="P77" i="23"/>
  <c r="R77" i="23" s="1"/>
  <c r="P106" i="23"/>
  <c r="R106" i="23" s="1"/>
  <c r="P93" i="23"/>
  <c r="R93" i="23" s="1"/>
  <c r="P9" i="23"/>
  <c r="R9" i="23" s="1"/>
  <c r="P26" i="23"/>
  <c r="R26" i="23" s="1"/>
  <c r="P12" i="23"/>
  <c r="R12" i="23" s="1"/>
  <c r="P39" i="23"/>
  <c r="R39" i="23" s="1"/>
  <c r="P51" i="23"/>
  <c r="R51" i="23" s="1"/>
  <c r="P105" i="23"/>
  <c r="R105" i="23" s="1"/>
  <c r="P79" i="23"/>
  <c r="R79" i="23" s="1"/>
  <c r="P86" i="23"/>
  <c r="P74" i="23"/>
  <c r="R74" i="23" s="1"/>
  <c r="P25" i="23"/>
  <c r="R25" i="23" s="1"/>
  <c r="P91" i="23"/>
  <c r="R91" i="23" s="1"/>
  <c r="P108" i="23"/>
  <c r="R108" i="23" s="1"/>
  <c r="P70" i="23"/>
  <c r="R70" i="23" s="1"/>
  <c r="P69" i="23"/>
  <c r="R69" i="23" s="1"/>
  <c r="P110" i="23"/>
  <c r="R110" i="23" s="1"/>
  <c r="P56" i="23"/>
  <c r="R56" i="23" s="1"/>
  <c r="P65" i="23"/>
  <c r="R65" i="23" s="1"/>
  <c r="P101" i="19"/>
  <c r="R101" i="19" s="1"/>
  <c r="P73" i="19"/>
  <c r="R73" i="19" s="1"/>
  <c r="P31" i="19"/>
  <c r="R31" i="19" s="1"/>
  <c r="P93" i="19"/>
  <c r="R93" i="19" s="1"/>
  <c r="P38" i="19"/>
  <c r="R38" i="19" s="1"/>
  <c r="P81" i="19"/>
  <c r="R81" i="19" s="1"/>
  <c r="P56" i="19"/>
  <c r="R56" i="19" s="1"/>
  <c r="P36" i="19"/>
  <c r="R36" i="19" s="1"/>
  <c r="P71" i="19"/>
  <c r="R71" i="19" s="1"/>
  <c r="P20" i="19"/>
  <c r="R20" i="19" s="1"/>
  <c r="P37" i="19"/>
  <c r="R37" i="19" s="1"/>
  <c r="P107" i="19"/>
  <c r="R107" i="19" s="1"/>
  <c r="P63" i="19"/>
  <c r="R63" i="19" s="1"/>
  <c r="P100" i="19"/>
  <c r="R100" i="19" s="1"/>
  <c r="P54" i="19"/>
  <c r="R54" i="19" s="1"/>
  <c r="P35" i="19"/>
  <c r="R35" i="19" s="1"/>
  <c r="P57" i="19"/>
  <c r="R57" i="19" s="1"/>
  <c r="P60" i="19"/>
  <c r="R60" i="19" s="1"/>
  <c r="P65" i="19"/>
  <c r="R65" i="19" s="1"/>
  <c r="P8" i="19"/>
  <c r="P40" i="19"/>
  <c r="R40" i="19" s="1"/>
  <c r="P24" i="19"/>
  <c r="R24" i="19" s="1"/>
  <c r="P51" i="19"/>
  <c r="R51" i="19" s="1"/>
  <c r="P15" i="19"/>
  <c r="R15" i="19" s="1"/>
  <c r="P79" i="19"/>
  <c r="R79" i="19" s="1"/>
  <c r="P49" i="19"/>
  <c r="R49" i="19" s="1"/>
  <c r="P96" i="19"/>
  <c r="R96" i="19" s="1"/>
  <c r="P44" i="19"/>
  <c r="R44" i="19" s="1"/>
  <c r="P13" i="19"/>
  <c r="R13" i="19" s="1"/>
  <c r="P50" i="19"/>
  <c r="R50" i="19" s="1"/>
  <c r="P47" i="19"/>
  <c r="R47" i="19" s="1"/>
  <c r="P97" i="19"/>
  <c r="R97" i="19" s="1"/>
  <c r="P33" i="19"/>
  <c r="R33" i="19" s="1"/>
  <c r="P69" i="19"/>
  <c r="R69" i="19" s="1"/>
  <c r="P32" i="19"/>
  <c r="R32" i="19" s="1"/>
  <c r="P9" i="19"/>
  <c r="R9" i="19" s="1"/>
  <c r="P103" i="19"/>
  <c r="R103" i="19" s="1"/>
  <c r="P62" i="19"/>
  <c r="R62" i="19" s="1"/>
  <c r="P23" i="19"/>
  <c r="R23" i="19" s="1"/>
  <c r="P77" i="19"/>
  <c r="R77" i="19" s="1"/>
  <c r="P109" i="19"/>
  <c r="R109" i="19" s="1"/>
  <c r="P29" i="19"/>
  <c r="R29" i="19" s="1"/>
  <c r="P94" i="19"/>
  <c r="R94" i="19" s="1"/>
  <c r="P42" i="19"/>
  <c r="R42" i="19" s="1"/>
  <c r="P26" i="19"/>
  <c r="R26" i="19" s="1"/>
  <c r="P98" i="19"/>
  <c r="R98" i="19" s="1"/>
  <c r="P66" i="19"/>
  <c r="R66" i="19" s="1"/>
  <c r="P12" i="19"/>
  <c r="R12" i="19" s="1"/>
  <c r="P28" i="19"/>
  <c r="R28" i="19" s="1"/>
  <c r="P34" i="19"/>
  <c r="R34" i="19" s="1"/>
  <c r="P75" i="19"/>
  <c r="R75" i="19" s="1"/>
  <c r="P27" i="19"/>
  <c r="R27" i="19" s="1"/>
  <c r="P16" i="19"/>
  <c r="R16" i="19" s="1"/>
  <c r="P48" i="19"/>
  <c r="R48" i="19" s="1"/>
  <c r="P90" i="19"/>
  <c r="R90" i="19" s="1"/>
  <c r="P21" i="19"/>
  <c r="R21" i="19" s="1"/>
  <c r="P18" i="19"/>
  <c r="R18" i="19" s="1"/>
  <c r="P55" i="19"/>
  <c r="R55" i="19" s="1"/>
  <c r="P17" i="19"/>
  <c r="R17" i="19" s="1"/>
  <c r="P91" i="19"/>
  <c r="R91" i="19" s="1"/>
  <c r="P19" i="19"/>
  <c r="R19" i="19" s="1"/>
  <c r="P52" i="19"/>
  <c r="R52" i="19" s="1"/>
  <c r="P58" i="19"/>
  <c r="R58" i="19" s="1"/>
  <c r="P11" i="19"/>
  <c r="R11" i="19" s="1"/>
  <c r="P105" i="19"/>
  <c r="R105" i="19" s="1"/>
  <c r="P14" i="19"/>
  <c r="R14" i="19" s="1"/>
  <c r="P43" i="19"/>
  <c r="R43" i="19" s="1"/>
  <c r="P25" i="19"/>
  <c r="R25" i="19" s="1"/>
  <c r="P39" i="19"/>
  <c r="R39" i="19" s="1"/>
  <c r="P61" i="19"/>
  <c r="R61" i="19" s="1"/>
  <c r="P78" i="19"/>
  <c r="R78" i="19" s="1"/>
  <c r="P70" i="19"/>
  <c r="R70" i="19" s="1"/>
  <c r="P86" i="19"/>
  <c r="P67" i="19"/>
  <c r="R67" i="19" s="1"/>
  <c r="P64" i="19"/>
  <c r="R64" i="19" s="1"/>
  <c r="P30" i="19"/>
  <c r="R30" i="19" s="1"/>
  <c r="P72" i="19"/>
  <c r="R72" i="19" s="1"/>
  <c r="P95" i="19"/>
  <c r="R95" i="19" s="1"/>
  <c r="P46" i="19"/>
  <c r="R46" i="19" s="1"/>
  <c r="P10" i="19"/>
  <c r="R10" i="19" s="1"/>
  <c r="P41" i="19"/>
  <c r="R41" i="19" s="1"/>
  <c r="P53" i="19"/>
  <c r="R53" i="19" s="1"/>
  <c r="P22" i="19"/>
  <c r="R22" i="19" s="1"/>
  <c r="P68" i="19"/>
  <c r="R68" i="19" s="1"/>
  <c r="P80" i="19"/>
  <c r="R80" i="19" s="1"/>
  <c r="P92" i="19"/>
  <c r="R92" i="19" s="1"/>
  <c r="P45" i="19"/>
  <c r="R45" i="19" s="1"/>
  <c r="P76" i="19"/>
  <c r="R76" i="19" s="1"/>
  <c r="P87" i="19"/>
  <c r="R87" i="19" s="1"/>
  <c r="P88" i="19"/>
  <c r="R88" i="19" s="1"/>
  <c r="P104" i="19"/>
  <c r="R104" i="19" s="1"/>
  <c r="P106" i="19"/>
  <c r="R106" i="19" s="1"/>
  <c r="P99" i="19"/>
  <c r="R99" i="19" s="1"/>
  <c r="P83" i="24"/>
  <c r="R8" i="24"/>
  <c r="R83" i="24" s="1"/>
  <c r="P111" i="24"/>
  <c r="R86" i="24"/>
  <c r="R111" i="24" s="1"/>
  <c r="P108" i="19"/>
  <c r="R108" i="19" s="1"/>
  <c r="P59" i="19"/>
  <c r="R59" i="19" s="1"/>
  <c r="P74" i="19"/>
  <c r="R74" i="19" s="1"/>
  <c r="P82" i="19"/>
  <c r="R82" i="19" s="1"/>
  <c r="P89" i="19"/>
  <c r="R89" i="19" s="1"/>
  <c r="P102" i="19"/>
  <c r="R102" i="19" s="1"/>
  <c r="R8" i="19"/>
  <c r="P83" i="23" l="1"/>
  <c r="P111" i="23"/>
  <c r="R83" i="23"/>
  <c r="R86" i="23"/>
  <c r="R111" i="23" s="1"/>
  <c r="P111" i="19"/>
  <c r="R83" i="19"/>
  <c r="P83" i="19"/>
  <c r="R86" i="19"/>
  <c r="R111" i="19" s="1"/>
  <c r="R112" i="24"/>
  <c r="P112" i="24"/>
  <c r="H41" i="1"/>
  <c r="H36" i="1"/>
  <c r="P112" i="19" l="1"/>
  <c r="P112" i="23"/>
  <c r="R112" i="23"/>
  <c r="R112" i="19"/>
  <c r="J41" i="1"/>
  <c r="AG16" i="4"/>
  <c r="J36" i="1"/>
  <c r="R21" i="3"/>
  <c r="R19" i="3"/>
  <c r="R20" i="3"/>
  <c r="R11" i="3"/>
  <c r="R12" i="3"/>
  <c r="R13" i="3"/>
  <c r="R14" i="3"/>
  <c r="R15" i="3"/>
  <c r="R16" i="3"/>
  <c r="R17" i="3"/>
  <c r="H60" i="14" l="1"/>
  <c r="E152" i="14" l="1"/>
  <c r="U25" i="9"/>
  <c r="V25" i="9"/>
  <c r="W25" i="9"/>
  <c r="X25" i="9"/>
  <c r="Y25" i="9"/>
  <c r="Z25" i="9"/>
  <c r="AA25" i="9"/>
  <c r="AB25" i="9"/>
  <c r="AC25" i="9"/>
  <c r="AD25" i="9"/>
  <c r="N25" i="9"/>
  <c r="O25" i="9" s="1"/>
  <c r="N26" i="9"/>
  <c r="O35" i="9"/>
  <c r="O40" i="9"/>
  <c r="O45" i="9"/>
  <c r="O50" i="9"/>
  <c r="O55" i="9"/>
  <c r="O59" i="9"/>
  <c r="O64" i="9"/>
  <c r="O26" i="9" l="1"/>
  <c r="N73" i="9"/>
  <c r="O73" i="9" s="1"/>
  <c r="O74" i="9"/>
  <c r="O75" i="9"/>
  <c r="N76" i="9"/>
  <c r="N77" i="9"/>
  <c r="O77" i="9" s="1"/>
  <c r="N39" i="9"/>
  <c r="O39" i="9" s="1"/>
  <c r="N33" i="9"/>
  <c r="N24" i="9"/>
  <c r="O24" i="9" s="1"/>
  <c r="E175" i="14"/>
  <c r="E181" i="14"/>
  <c r="E179" i="14"/>
  <c r="Y33" i="14"/>
  <c r="W33" i="14"/>
  <c r="N57" i="11"/>
  <c r="P57" i="11" s="1"/>
  <c r="O76" i="9" l="1"/>
  <c r="S42" i="11"/>
  <c r="U42" i="11" s="1"/>
  <c r="G54" i="11" s="1"/>
  <c r="O33" i="9"/>
  <c r="G23" i="13"/>
  <c r="Q24" i="9" s="1"/>
  <c r="G24" i="13"/>
  <c r="G34" i="13"/>
  <c r="G39" i="13"/>
  <c r="G44" i="13"/>
  <c r="G49" i="13"/>
  <c r="G54" i="13"/>
  <c r="G58" i="13"/>
  <c r="G63" i="13"/>
  <c r="G68" i="13"/>
  <c r="G69" i="13"/>
  <c r="G70" i="13"/>
  <c r="G74" i="13"/>
  <c r="C76" i="13"/>
  <c r="C77" i="13"/>
  <c r="C78" i="13"/>
  <c r="C79" i="13"/>
  <c r="U24" i="9"/>
  <c r="V24" i="9"/>
  <c r="W24" i="9"/>
  <c r="X24" i="9"/>
  <c r="Y24" i="9"/>
  <c r="Z24" i="9"/>
  <c r="AA24" i="9"/>
  <c r="AB24" i="9"/>
  <c r="AC24" i="9"/>
  <c r="AD24" i="9"/>
  <c r="V39" i="9"/>
  <c r="W39" i="9"/>
  <c r="X39" i="9"/>
  <c r="Y39" i="9"/>
  <c r="Z39" i="9"/>
  <c r="AA39" i="9"/>
  <c r="AB39" i="9"/>
  <c r="AC39" i="9"/>
  <c r="AD39" i="9"/>
  <c r="U39" i="9"/>
  <c r="AD9" i="9"/>
  <c r="AD10" i="9"/>
  <c r="AD11" i="9"/>
  <c r="AD12" i="9"/>
  <c r="AD13" i="9"/>
  <c r="AD14" i="9"/>
  <c r="AD15" i="9"/>
  <c r="AD16" i="9"/>
  <c r="AD17" i="9"/>
  <c r="AD18" i="9"/>
  <c r="AD19" i="9"/>
  <c r="AD20" i="9"/>
  <c r="AD21" i="9"/>
  <c r="AD22" i="9"/>
  <c r="AD23" i="9"/>
  <c r="AD26" i="9"/>
  <c r="AD27" i="9"/>
  <c r="AD28" i="9"/>
  <c r="AD29" i="9"/>
  <c r="AD30" i="9"/>
  <c r="AD31" i="9"/>
  <c r="AD32" i="9"/>
  <c r="AD33" i="9"/>
  <c r="AD34" i="9"/>
  <c r="AD35" i="9"/>
  <c r="AD36" i="9"/>
  <c r="AD37" i="9"/>
  <c r="AD38" i="9"/>
  <c r="AD40" i="9"/>
  <c r="AD41" i="9"/>
  <c r="AD42" i="9"/>
  <c r="AD43" i="9"/>
  <c r="AD44" i="9"/>
  <c r="AD45" i="9"/>
  <c r="AD46" i="9"/>
  <c r="AD47" i="9"/>
  <c r="AD48" i="9"/>
  <c r="AD49" i="9"/>
  <c r="AD50" i="9"/>
  <c r="AD51" i="9"/>
  <c r="AD52" i="9"/>
  <c r="AD53" i="9"/>
  <c r="AD54" i="9"/>
  <c r="AD55" i="9"/>
  <c r="AD56" i="9"/>
  <c r="AD57" i="9"/>
  <c r="AD58" i="9"/>
  <c r="AD59" i="9"/>
  <c r="AD60" i="9"/>
  <c r="AD61" i="9"/>
  <c r="AD62" i="9"/>
  <c r="AD63" i="9"/>
  <c r="AD64" i="9"/>
  <c r="AD65" i="9"/>
  <c r="AD66" i="9"/>
  <c r="AD67" i="9"/>
  <c r="AD68" i="9"/>
  <c r="AD69" i="9"/>
  <c r="AD70" i="9"/>
  <c r="AD71" i="9"/>
  <c r="AD72" i="9"/>
  <c r="AD73" i="9"/>
  <c r="AD74" i="9"/>
  <c r="AD75" i="9"/>
  <c r="AD76" i="9"/>
  <c r="AD77" i="9"/>
  <c r="AD78" i="9"/>
  <c r="AD79" i="9"/>
  <c r="AD80" i="9"/>
  <c r="AD81" i="9"/>
  <c r="AD82" i="9"/>
  <c r="AC9" i="9"/>
  <c r="AC10" i="9"/>
  <c r="AC11" i="9"/>
  <c r="AC12" i="9"/>
  <c r="AC13" i="9"/>
  <c r="AC14" i="9"/>
  <c r="AC15" i="9"/>
  <c r="AC16" i="9"/>
  <c r="AC17" i="9"/>
  <c r="AC18" i="9"/>
  <c r="AC19" i="9"/>
  <c r="AC20" i="9"/>
  <c r="AC21" i="9"/>
  <c r="AC22" i="9"/>
  <c r="AC23" i="9"/>
  <c r="AC26" i="9"/>
  <c r="AC27" i="9"/>
  <c r="AC28" i="9"/>
  <c r="AC29" i="9"/>
  <c r="AC30" i="9"/>
  <c r="AC31" i="9"/>
  <c r="AC32" i="9"/>
  <c r="AC33" i="9"/>
  <c r="AC34" i="9"/>
  <c r="AC35" i="9"/>
  <c r="AC36" i="9"/>
  <c r="AC37" i="9"/>
  <c r="AC38" i="9"/>
  <c r="AC40" i="9"/>
  <c r="AC41" i="9"/>
  <c r="AC42" i="9"/>
  <c r="AC43" i="9"/>
  <c r="AC44" i="9"/>
  <c r="AC45" i="9"/>
  <c r="AC46" i="9"/>
  <c r="AC47" i="9"/>
  <c r="AC48" i="9"/>
  <c r="AC49" i="9"/>
  <c r="AC50" i="9"/>
  <c r="AC51" i="9"/>
  <c r="AC52" i="9"/>
  <c r="AC53" i="9"/>
  <c r="AC54" i="9"/>
  <c r="AC55" i="9"/>
  <c r="AC56" i="9"/>
  <c r="AC57" i="9"/>
  <c r="AC58" i="9"/>
  <c r="AC59" i="9"/>
  <c r="AC60" i="9"/>
  <c r="AC61" i="9"/>
  <c r="AC62" i="9"/>
  <c r="AC63" i="9"/>
  <c r="AC64" i="9"/>
  <c r="AC65" i="9"/>
  <c r="AC66" i="9"/>
  <c r="AC67" i="9"/>
  <c r="AC68" i="9"/>
  <c r="AC69" i="9"/>
  <c r="AC70" i="9"/>
  <c r="AC71" i="9"/>
  <c r="AC72" i="9"/>
  <c r="AC73" i="9"/>
  <c r="AC74" i="9"/>
  <c r="AC75" i="9"/>
  <c r="AC76" i="9"/>
  <c r="AC77" i="9"/>
  <c r="AC78" i="9"/>
  <c r="AC79" i="9"/>
  <c r="AC80" i="9"/>
  <c r="AC81" i="9"/>
  <c r="AC82" i="9"/>
  <c r="AB9" i="9"/>
  <c r="AB10" i="9"/>
  <c r="AB11" i="9"/>
  <c r="AB12" i="9"/>
  <c r="AB13" i="9"/>
  <c r="AB14" i="9"/>
  <c r="AB15" i="9"/>
  <c r="AB16" i="9"/>
  <c r="AB17" i="9"/>
  <c r="AB18" i="9"/>
  <c r="AB19" i="9"/>
  <c r="AB20" i="9"/>
  <c r="AB21" i="9"/>
  <c r="AB22" i="9"/>
  <c r="AB23" i="9"/>
  <c r="AB26" i="9"/>
  <c r="AB27" i="9"/>
  <c r="AB28" i="9"/>
  <c r="AB29" i="9"/>
  <c r="AB30" i="9"/>
  <c r="AB31" i="9"/>
  <c r="AB32" i="9"/>
  <c r="AB33" i="9"/>
  <c r="AB34" i="9"/>
  <c r="AB35" i="9"/>
  <c r="AB36" i="9"/>
  <c r="AB37" i="9"/>
  <c r="AB38" i="9"/>
  <c r="AB40" i="9"/>
  <c r="AB41" i="9"/>
  <c r="AB42" i="9"/>
  <c r="AB43" i="9"/>
  <c r="AB44" i="9"/>
  <c r="AB45" i="9"/>
  <c r="AB46" i="9"/>
  <c r="AB47" i="9"/>
  <c r="AB48" i="9"/>
  <c r="AB49" i="9"/>
  <c r="AB50" i="9"/>
  <c r="AB51" i="9"/>
  <c r="AB52" i="9"/>
  <c r="AB53" i="9"/>
  <c r="AB54" i="9"/>
  <c r="AB55" i="9"/>
  <c r="AB56" i="9"/>
  <c r="AB57" i="9"/>
  <c r="AB58" i="9"/>
  <c r="AB59" i="9"/>
  <c r="AB60" i="9"/>
  <c r="AB61" i="9"/>
  <c r="AB62" i="9"/>
  <c r="AB63" i="9"/>
  <c r="AB64" i="9"/>
  <c r="AB65" i="9"/>
  <c r="AB66" i="9"/>
  <c r="AB67" i="9"/>
  <c r="AB68" i="9"/>
  <c r="AB69" i="9"/>
  <c r="AB70" i="9"/>
  <c r="AB71" i="9"/>
  <c r="AB72" i="9"/>
  <c r="AB73" i="9"/>
  <c r="AB74" i="9"/>
  <c r="AB75" i="9"/>
  <c r="AB76" i="9"/>
  <c r="AB77" i="9"/>
  <c r="AB78" i="9"/>
  <c r="AB79" i="9"/>
  <c r="AB80" i="9"/>
  <c r="AB81" i="9"/>
  <c r="AB82" i="9"/>
  <c r="AA9" i="9"/>
  <c r="AA10" i="9"/>
  <c r="AA11" i="9"/>
  <c r="AA12" i="9"/>
  <c r="AA13" i="9"/>
  <c r="AA14" i="9"/>
  <c r="AA15" i="9"/>
  <c r="AA16" i="9"/>
  <c r="AA17" i="9"/>
  <c r="AA18" i="9"/>
  <c r="AA19" i="9"/>
  <c r="AA20" i="9"/>
  <c r="AA21" i="9"/>
  <c r="AA22" i="9"/>
  <c r="AA23" i="9"/>
  <c r="AA26" i="9"/>
  <c r="AA27" i="9"/>
  <c r="AA28" i="9"/>
  <c r="AA29" i="9"/>
  <c r="AA30" i="9"/>
  <c r="AA31" i="9"/>
  <c r="AA32" i="9"/>
  <c r="AA33" i="9"/>
  <c r="AA34" i="9"/>
  <c r="AA35" i="9"/>
  <c r="AA36" i="9"/>
  <c r="AA37" i="9"/>
  <c r="AA38" i="9"/>
  <c r="AA40" i="9"/>
  <c r="AA41" i="9"/>
  <c r="AA42" i="9"/>
  <c r="AA43" i="9"/>
  <c r="AA44" i="9"/>
  <c r="AA45" i="9"/>
  <c r="AA46" i="9"/>
  <c r="AA47" i="9"/>
  <c r="AA48" i="9"/>
  <c r="AA49" i="9"/>
  <c r="AA50" i="9"/>
  <c r="AA51" i="9"/>
  <c r="AA52" i="9"/>
  <c r="AA53" i="9"/>
  <c r="AA54" i="9"/>
  <c r="AA55" i="9"/>
  <c r="AA56" i="9"/>
  <c r="AA57" i="9"/>
  <c r="AA58" i="9"/>
  <c r="AA59" i="9"/>
  <c r="AA60" i="9"/>
  <c r="AA61" i="9"/>
  <c r="AA62" i="9"/>
  <c r="AA63" i="9"/>
  <c r="AA64" i="9"/>
  <c r="AA65" i="9"/>
  <c r="AA66" i="9"/>
  <c r="AA67" i="9"/>
  <c r="AA68" i="9"/>
  <c r="AA69" i="9"/>
  <c r="AA70" i="9"/>
  <c r="AA71" i="9"/>
  <c r="AA72" i="9"/>
  <c r="AA73" i="9"/>
  <c r="AA74" i="9"/>
  <c r="AA75" i="9"/>
  <c r="AA76" i="9"/>
  <c r="AA77" i="9"/>
  <c r="AA78" i="9"/>
  <c r="AA79" i="9"/>
  <c r="AA80" i="9"/>
  <c r="AA81" i="9"/>
  <c r="AA82" i="9"/>
  <c r="Z9" i="9"/>
  <c r="Z10" i="9"/>
  <c r="Z11" i="9"/>
  <c r="Z12" i="9"/>
  <c r="Z13" i="9"/>
  <c r="Z14" i="9"/>
  <c r="Z15" i="9"/>
  <c r="Z16" i="9"/>
  <c r="Z17" i="9"/>
  <c r="Z18" i="9"/>
  <c r="Z19" i="9"/>
  <c r="Z20" i="9"/>
  <c r="Z21" i="9"/>
  <c r="Z22" i="9"/>
  <c r="Z23" i="9"/>
  <c r="Z26" i="9"/>
  <c r="Z27" i="9"/>
  <c r="Z28" i="9"/>
  <c r="Z29" i="9"/>
  <c r="Z30" i="9"/>
  <c r="Z31" i="9"/>
  <c r="Z32" i="9"/>
  <c r="Z33" i="9"/>
  <c r="Z34" i="9"/>
  <c r="Z35" i="9"/>
  <c r="Z36" i="9"/>
  <c r="Z37" i="9"/>
  <c r="Z38" i="9"/>
  <c r="Z40" i="9"/>
  <c r="Z41" i="9"/>
  <c r="Z42" i="9"/>
  <c r="Z43" i="9"/>
  <c r="Z44" i="9"/>
  <c r="Z45" i="9"/>
  <c r="Z46" i="9"/>
  <c r="Z47" i="9"/>
  <c r="Z48" i="9"/>
  <c r="Z49" i="9"/>
  <c r="Z50" i="9"/>
  <c r="Z51" i="9"/>
  <c r="Z52" i="9"/>
  <c r="Z53" i="9"/>
  <c r="Z54" i="9"/>
  <c r="Z55" i="9"/>
  <c r="Z56" i="9"/>
  <c r="Z57" i="9"/>
  <c r="Z58" i="9"/>
  <c r="Z59" i="9"/>
  <c r="Z60" i="9"/>
  <c r="Z61" i="9"/>
  <c r="Z62" i="9"/>
  <c r="Z63" i="9"/>
  <c r="Z64" i="9"/>
  <c r="Z65" i="9"/>
  <c r="Z66" i="9"/>
  <c r="Z67" i="9"/>
  <c r="Z68" i="9"/>
  <c r="Z69" i="9"/>
  <c r="Z70" i="9"/>
  <c r="Z71" i="9"/>
  <c r="Z72" i="9"/>
  <c r="Z73" i="9"/>
  <c r="Z74" i="9"/>
  <c r="Z75" i="9"/>
  <c r="Z76" i="9"/>
  <c r="Z77" i="9"/>
  <c r="Z78" i="9"/>
  <c r="Z79" i="9"/>
  <c r="Z80" i="9"/>
  <c r="Z81" i="9"/>
  <c r="Z82" i="9"/>
  <c r="Y9" i="9"/>
  <c r="Y10" i="9"/>
  <c r="Y11" i="9"/>
  <c r="Y12" i="9"/>
  <c r="Y13" i="9"/>
  <c r="Y14" i="9"/>
  <c r="Y15" i="9"/>
  <c r="Y16" i="9"/>
  <c r="Y17" i="9"/>
  <c r="Y18" i="9"/>
  <c r="Y19" i="9"/>
  <c r="Y20" i="9"/>
  <c r="Y21" i="9"/>
  <c r="Y22" i="9"/>
  <c r="Y23" i="9"/>
  <c r="Y26" i="9"/>
  <c r="Y27" i="9"/>
  <c r="Y28" i="9"/>
  <c r="Y29" i="9"/>
  <c r="Y30" i="9"/>
  <c r="Y31" i="9"/>
  <c r="Y32" i="9"/>
  <c r="Y33" i="9"/>
  <c r="Y34" i="9"/>
  <c r="Y35" i="9"/>
  <c r="Y36" i="9"/>
  <c r="Y37" i="9"/>
  <c r="Y38" i="9"/>
  <c r="Y40" i="9"/>
  <c r="Y41" i="9"/>
  <c r="Y42" i="9"/>
  <c r="Y43" i="9"/>
  <c r="Y44" i="9"/>
  <c r="Y45" i="9"/>
  <c r="Y46" i="9"/>
  <c r="Y47" i="9"/>
  <c r="Y48" i="9"/>
  <c r="Y49" i="9"/>
  <c r="Y50" i="9"/>
  <c r="Y51" i="9"/>
  <c r="Y52" i="9"/>
  <c r="Y53" i="9"/>
  <c r="Y54" i="9"/>
  <c r="Y55" i="9"/>
  <c r="Y56" i="9"/>
  <c r="Y57" i="9"/>
  <c r="Y58" i="9"/>
  <c r="Y59" i="9"/>
  <c r="Y60" i="9"/>
  <c r="Y61" i="9"/>
  <c r="Y62" i="9"/>
  <c r="Y63" i="9"/>
  <c r="Y64" i="9"/>
  <c r="Y65" i="9"/>
  <c r="Y66" i="9"/>
  <c r="Y67" i="9"/>
  <c r="Y68" i="9"/>
  <c r="Y69" i="9"/>
  <c r="Y70" i="9"/>
  <c r="Y71" i="9"/>
  <c r="Y72" i="9"/>
  <c r="Y73" i="9"/>
  <c r="Y74" i="9"/>
  <c r="Y75" i="9"/>
  <c r="Y76" i="9"/>
  <c r="Y77" i="9"/>
  <c r="Y78" i="9"/>
  <c r="Y79" i="9"/>
  <c r="Y80" i="9"/>
  <c r="Y81" i="9"/>
  <c r="Y82" i="9"/>
  <c r="X9" i="9"/>
  <c r="X10" i="9"/>
  <c r="X11" i="9"/>
  <c r="X12" i="9"/>
  <c r="X13" i="9"/>
  <c r="X14" i="9"/>
  <c r="X15" i="9"/>
  <c r="X16" i="9"/>
  <c r="X17" i="9"/>
  <c r="X18" i="9"/>
  <c r="X19" i="9"/>
  <c r="X20" i="9"/>
  <c r="X21" i="9"/>
  <c r="X22" i="9"/>
  <c r="X23" i="9"/>
  <c r="X26" i="9"/>
  <c r="X27" i="9"/>
  <c r="X28" i="9"/>
  <c r="X29" i="9"/>
  <c r="X30" i="9"/>
  <c r="X31" i="9"/>
  <c r="X32" i="9"/>
  <c r="X33" i="9"/>
  <c r="X34" i="9"/>
  <c r="X35" i="9"/>
  <c r="X36" i="9"/>
  <c r="X37" i="9"/>
  <c r="X38" i="9"/>
  <c r="X40" i="9"/>
  <c r="X41" i="9"/>
  <c r="X42" i="9"/>
  <c r="X43" i="9"/>
  <c r="X44" i="9"/>
  <c r="X45" i="9"/>
  <c r="X46" i="9"/>
  <c r="X47" i="9"/>
  <c r="X48" i="9"/>
  <c r="X49" i="9"/>
  <c r="X50" i="9"/>
  <c r="X51" i="9"/>
  <c r="X52" i="9"/>
  <c r="X53" i="9"/>
  <c r="X54" i="9"/>
  <c r="X55" i="9"/>
  <c r="X56" i="9"/>
  <c r="X57" i="9"/>
  <c r="X58" i="9"/>
  <c r="X59" i="9"/>
  <c r="X60" i="9"/>
  <c r="X61" i="9"/>
  <c r="X62" i="9"/>
  <c r="X63" i="9"/>
  <c r="X64" i="9"/>
  <c r="X65" i="9"/>
  <c r="X66" i="9"/>
  <c r="X67" i="9"/>
  <c r="X68" i="9"/>
  <c r="X69" i="9"/>
  <c r="X70" i="9"/>
  <c r="X71" i="9"/>
  <c r="X72" i="9"/>
  <c r="X73" i="9"/>
  <c r="X74" i="9"/>
  <c r="X75" i="9"/>
  <c r="X76" i="9"/>
  <c r="X77" i="9"/>
  <c r="X78" i="9"/>
  <c r="X79" i="9"/>
  <c r="X80" i="9"/>
  <c r="X81" i="9"/>
  <c r="X82" i="9"/>
  <c r="W9" i="9"/>
  <c r="W10" i="9"/>
  <c r="W11" i="9"/>
  <c r="W12" i="9"/>
  <c r="W13" i="9"/>
  <c r="W14" i="9"/>
  <c r="W15" i="9"/>
  <c r="W16" i="9"/>
  <c r="W17" i="9"/>
  <c r="W18" i="9"/>
  <c r="W19" i="9"/>
  <c r="W20" i="9"/>
  <c r="W21" i="9"/>
  <c r="W22" i="9"/>
  <c r="W23" i="9"/>
  <c r="W26" i="9"/>
  <c r="W27" i="9"/>
  <c r="W28" i="9"/>
  <c r="W29" i="9"/>
  <c r="W30" i="9"/>
  <c r="W31" i="9"/>
  <c r="W32" i="9"/>
  <c r="W33" i="9"/>
  <c r="W34" i="9"/>
  <c r="W35" i="9"/>
  <c r="W36" i="9"/>
  <c r="W37" i="9"/>
  <c r="W38" i="9"/>
  <c r="W40" i="9"/>
  <c r="W41" i="9"/>
  <c r="W42" i="9"/>
  <c r="W43" i="9"/>
  <c r="W44" i="9"/>
  <c r="W45" i="9"/>
  <c r="W46" i="9"/>
  <c r="W47" i="9"/>
  <c r="W48" i="9"/>
  <c r="W49" i="9"/>
  <c r="W50" i="9"/>
  <c r="W51" i="9"/>
  <c r="W52" i="9"/>
  <c r="W53" i="9"/>
  <c r="W54" i="9"/>
  <c r="W55" i="9"/>
  <c r="W56" i="9"/>
  <c r="W57" i="9"/>
  <c r="W58" i="9"/>
  <c r="W59" i="9"/>
  <c r="W60" i="9"/>
  <c r="W61" i="9"/>
  <c r="W62" i="9"/>
  <c r="W63" i="9"/>
  <c r="W64" i="9"/>
  <c r="W65" i="9"/>
  <c r="W66" i="9"/>
  <c r="W67" i="9"/>
  <c r="W68" i="9"/>
  <c r="W69" i="9"/>
  <c r="W70" i="9"/>
  <c r="W71" i="9"/>
  <c r="W72" i="9"/>
  <c r="W73" i="9"/>
  <c r="W74" i="9"/>
  <c r="W75" i="9"/>
  <c r="W76" i="9"/>
  <c r="W77" i="9"/>
  <c r="W78" i="9"/>
  <c r="W79" i="9"/>
  <c r="W80" i="9"/>
  <c r="W81" i="9"/>
  <c r="W82" i="9"/>
  <c r="V9" i="9"/>
  <c r="V10" i="9"/>
  <c r="V11" i="9"/>
  <c r="V12" i="9"/>
  <c r="V13" i="9"/>
  <c r="V14" i="9"/>
  <c r="V15" i="9"/>
  <c r="V16" i="9"/>
  <c r="V17" i="9"/>
  <c r="V18" i="9"/>
  <c r="V19" i="9"/>
  <c r="V20" i="9"/>
  <c r="V21" i="9"/>
  <c r="V22" i="9"/>
  <c r="V23" i="9"/>
  <c r="V26" i="9"/>
  <c r="V27" i="9"/>
  <c r="V28" i="9"/>
  <c r="V29" i="9"/>
  <c r="V30" i="9"/>
  <c r="V31" i="9"/>
  <c r="V32" i="9"/>
  <c r="V33" i="9"/>
  <c r="V34" i="9"/>
  <c r="V35" i="9"/>
  <c r="V36" i="9"/>
  <c r="V37" i="9"/>
  <c r="V38" i="9"/>
  <c r="V40" i="9"/>
  <c r="V41" i="9"/>
  <c r="V42" i="9"/>
  <c r="V43" i="9"/>
  <c r="V44" i="9"/>
  <c r="V45" i="9"/>
  <c r="V46" i="9"/>
  <c r="V47" i="9"/>
  <c r="V48" i="9"/>
  <c r="V49" i="9"/>
  <c r="V50" i="9"/>
  <c r="V51" i="9"/>
  <c r="V52" i="9"/>
  <c r="V53" i="9"/>
  <c r="V54" i="9"/>
  <c r="V55" i="9"/>
  <c r="V56" i="9"/>
  <c r="V57" i="9"/>
  <c r="V58" i="9"/>
  <c r="V59" i="9"/>
  <c r="V60" i="9"/>
  <c r="V61" i="9"/>
  <c r="V62" i="9"/>
  <c r="V63" i="9"/>
  <c r="V64" i="9"/>
  <c r="V65" i="9"/>
  <c r="V66" i="9"/>
  <c r="V67" i="9"/>
  <c r="V68" i="9"/>
  <c r="V69" i="9"/>
  <c r="V70" i="9"/>
  <c r="V71" i="9"/>
  <c r="V72" i="9"/>
  <c r="V73" i="9"/>
  <c r="V74" i="9"/>
  <c r="V75" i="9"/>
  <c r="V76" i="9"/>
  <c r="V77" i="9"/>
  <c r="V78" i="9"/>
  <c r="V79" i="9"/>
  <c r="V80" i="9"/>
  <c r="V81" i="9"/>
  <c r="V82" i="9"/>
  <c r="U9" i="9"/>
  <c r="U10" i="9"/>
  <c r="U11" i="9"/>
  <c r="U12" i="9"/>
  <c r="U13" i="9"/>
  <c r="U14" i="9"/>
  <c r="U15" i="9"/>
  <c r="U16" i="9"/>
  <c r="U17" i="9"/>
  <c r="U18" i="9"/>
  <c r="U19" i="9"/>
  <c r="U20" i="9"/>
  <c r="U21" i="9"/>
  <c r="U22" i="9"/>
  <c r="U23" i="9"/>
  <c r="U26" i="9"/>
  <c r="U27" i="9"/>
  <c r="U28" i="9"/>
  <c r="U29" i="9"/>
  <c r="U30" i="9"/>
  <c r="U31" i="9"/>
  <c r="U32" i="9"/>
  <c r="U33" i="9"/>
  <c r="U34" i="9"/>
  <c r="U35" i="9"/>
  <c r="U36" i="9"/>
  <c r="U37" i="9"/>
  <c r="U38" i="9"/>
  <c r="U40" i="9"/>
  <c r="U41" i="9"/>
  <c r="U42" i="9"/>
  <c r="U43" i="9"/>
  <c r="U44" i="9"/>
  <c r="U45" i="9"/>
  <c r="U46" i="9"/>
  <c r="U47" i="9"/>
  <c r="U48" i="9"/>
  <c r="U49" i="9"/>
  <c r="U50" i="9"/>
  <c r="U51" i="9"/>
  <c r="U52" i="9"/>
  <c r="U53" i="9"/>
  <c r="U54" i="9"/>
  <c r="U55" i="9"/>
  <c r="U56" i="9"/>
  <c r="U57" i="9"/>
  <c r="U58" i="9"/>
  <c r="U59" i="9"/>
  <c r="U60" i="9"/>
  <c r="U61" i="9"/>
  <c r="U62" i="9"/>
  <c r="U63" i="9"/>
  <c r="U64" i="9"/>
  <c r="U65" i="9"/>
  <c r="U66" i="9"/>
  <c r="U67" i="9"/>
  <c r="U68" i="9"/>
  <c r="U69" i="9"/>
  <c r="U70" i="9"/>
  <c r="U71" i="9"/>
  <c r="U72" i="9"/>
  <c r="U73" i="9"/>
  <c r="U74" i="9"/>
  <c r="U75" i="9"/>
  <c r="U76" i="9"/>
  <c r="U77" i="9"/>
  <c r="U78" i="9"/>
  <c r="U79" i="9"/>
  <c r="U80" i="9"/>
  <c r="U81" i="9"/>
  <c r="U82" i="9"/>
  <c r="H179" i="14" l="1"/>
  <c r="H177" i="14"/>
  <c r="H175" i="14"/>
  <c r="H174" i="14"/>
  <c r="H171" i="14"/>
  <c r="W47" i="14" l="1"/>
  <c r="Y47" i="14" s="1"/>
  <c r="L26" i="12"/>
  <c r="J47" i="11" s="1"/>
  <c r="AA47" i="14" l="1"/>
  <c r="F81" i="13"/>
  <c r="F80" i="13"/>
  <c r="F79" i="13"/>
  <c r="B15" i="14" l="1"/>
  <c r="B14" i="14"/>
  <c r="F78" i="13" l="1"/>
  <c r="F77" i="13"/>
  <c r="F76" i="13"/>
  <c r="AA35" i="14"/>
  <c r="AA34" i="14"/>
  <c r="AA33" i="14"/>
  <c r="U33" i="14"/>
  <c r="H167" i="14"/>
  <c r="H166" i="14"/>
  <c r="H165" i="14"/>
  <c r="H9" i="14"/>
  <c r="W24" i="14"/>
  <c r="K23" i="14"/>
  <c r="M24" i="14" s="1"/>
  <c r="H46" i="14"/>
  <c r="H148" i="14"/>
  <c r="H134" i="14"/>
  <c r="H125" i="14"/>
  <c r="H126" i="14"/>
  <c r="H131" i="14"/>
  <c r="H117" i="14"/>
  <c r="H116" i="14"/>
  <c r="H105" i="14"/>
  <c r="H104" i="14"/>
  <c r="H107" i="14"/>
  <c r="H106" i="14"/>
  <c r="H102" i="14"/>
  <c r="H101" i="14"/>
  <c r="H168" i="14" l="1"/>
  <c r="AC34" i="14" s="1"/>
  <c r="AG34" i="14" s="1"/>
  <c r="AI34" i="14" s="1"/>
  <c r="O23" i="14"/>
  <c r="Q23" i="14"/>
  <c r="AE34" i="14" l="1"/>
  <c r="E72" i="14"/>
  <c r="E69" i="14"/>
  <c r="E68" i="14"/>
  <c r="E82" i="14"/>
  <c r="E80" i="14"/>
  <c r="E78" i="14"/>
  <c r="E71" i="14"/>
  <c r="E63" i="14"/>
  <c r="E61" i="14"/>
  <c r="E138" i="14"/>
  <c r="E137" i="14"/>
  <c r="E136" i="14"/>
  <c r="E139" i="14"/>
  <c r="E128" i="14"/>
  <c r="E134" i="14" s="1"/>
  <c r="E127" i="14"/>
  <c r="E126" i="14"/>
  <c r="E125" i="14"/>
  <c r="E124" i="14"/>
  <c r="H95" i="14"/>
  <c r="H94" i="14"/>
  <c r="H190" i="14" s="1"/>
  <c r="H92" i="14"/>
  <c r="H188" i="14" s="1"/>
  <c r="H79" i="14"/>
  <c r="H80" i="14"/>
  <c r="H176" i="14" s="1"/>
  <c r="H81" i="14"/>
  <c r="H83" i="14"/>
  <c r="H84" i="14"/>
  <c r="H86" i="14"/>
  <c r="H182" i="14" s="1"/>
  <c r="H87" i="14"/>
  <c r="H183" i="14" s="1"/>
  <c r="H77" i="14"/>
  <c r="H173" i="14" s="1"/>
  <c r="H76" i="14"/>
  <c r="H172" i="14" s="1"/>
  <c r="H66" i="14"/>
  <c r="H68" i="14"/>
  <c r="E104" i="14"/>
  <c r="E99" i="14"/>
  <c r="E116" i="14"/>
  <c r="E97" i="14"/>
  <c r="E87" i="14"/>
  <c r="H56" i="14"/>
  <c r="H35" i="14"/>
  <c r="H32" i="14"/>
  <c r="H33" i="14"/>
  <c r="B22" i="14"/>
  <c r="H48" i="14"/>
  <c r="H47" i="14"/>
  <c r="H45" i="14"/>
  <c r="H44" i="14"/>
  <c r="H43" i="14"/>
  <c r="B83" i="14"/>
  <c r="B60" i="14"/>
  <c r="H82" i="14"/>
  <c r="H157" i="14"/>
  <c r="E153" i="14"/>
  <c r="E151" i="14"/>
  <c r="B155" i="14"/>
  <c r="B37" i="14"/>
  <c r="B53" i="14"/>
  <c r="B52" i="14"/>
  <c r="B51" i="14"/>
  <c r="B75" i="14" s="1"/>
  <c r="B96" i="14" s="1"/>
  <c r="B132" i="14" s="1"/>
  <c r="B127" i="14"/>
  <c r="B30" i="14"/>
  <c r="E48" i="14"/>
  <c r="E35" i="14"/>
  <c r="E22" i="14"/>
  <c r="E15" i="14"/>
  <c r="H15" i="14" s="1"/>
  <c r="E13" i="14"/>
  <c r="E9" i="14"/>
  <c r="H19" i="14" s="1"/>
  <c r="B17" i="14"/>
  <c r="B18" i="14" s="1"/>
  <c r="B10" i="14"/>
  <c r="B44" i="14" s="1"/>
  <c r="B9" i="14"/>
  <c r="E154" i="14" l="1"/>
  <c r="E180" i="14" s="1"/>
  <c r="E183" i="14" s="1"/>
  <c r="AA11" i="14" s="1"/>
  <c r="H57" i="14"/>
  <c r="B31" i="14"/>
  <c r="B33" i="14" s="1"/>
  <c r="B23" i="14"/>
  <c r="B25" i="14" s="1"/>
  <c r="B26" i="14" s="1"/>
  <c r="B122" i="14" s="1"/>
  <c r="H22" i="14"/>
  <c r="E25" i="14"/>
  <c r="H20" i="14"/>
  <c r="H25" i="14"/>
  <c r="H26" i="14"/>
  <c r="H21" i="14"/>
  <c r="E14" i="14"/>
  <c r="H14" i="14" s="1"/>
  <c r="E129" i="14"/>
  <c r="E135" i="14"/>
  <c r="E141" i="14" s="1"/>
  <c r="H34" i="14"/>
  <c r="H39" i="14" s="1"/>
  <c r="H118" i="14"/>
  <c r="H13" i="14"/>
  <c r="H23" i="14"/>
  <c r="H158" i="14"/>
  <c r="H178" i="14"/>
  <c r="E64" i="14"/>
  <c r="E89" i="14" s="1"/>
  <c r="E106" i="14" s="1"/>
  <c r="H50" i="14"/>
  <c r="H38" i="14"/>
  <c r="E88" i="14" s="1"/>
  <c r="H184" i="14"/>
  <c r="H187" i="14" s="1"/>
  <c r="E67" i="14"/>
  <c r="E131" i="14"/>
  <c r="H160" i="14"/>
  <c r="H85" i="14" s="1"/>
  <c r="H150" i="14"/>
  <c r="H147" i="14"/>
  <c r="H142" i="14"/>
  <c r="H141" i="14"/>
  <c r="H103" i="14"/>
  <c r="E114" i="14"/>
  <c r="B77" i="14"/>
  <c r="B98" i="14" s="1"/>
  <c r="B134" i="14" s="1"/>
  <c r="B76" i="14"/>
  <c r="B97" i="14" s="1"/>
  <c r="B133" i="14" s="1"/>
  <c r="B67" i="14"/>
  <c r="B89" i="14" s="1"/>
  <c r="B124" i="14" s="1"/>
  <c r="K35" i="14"/>
  <c r="O35" i="14" s="1"/>
  <c r="E26" i="14"/>
  <c r="E39" i="14" s="1"/>
  <c r="E52" i="14" s="1"/>
  <c r="E24" i="14"/>
  <c r="E37" i="14" s="1"/>
  <c r="E50" i="14" s="1"/>
  <c r="G103" i="13"/>
  <c r="G102" i="13"/>
  <c r="G101" i="13"/>
  <c r="G100" i="13"/>
  <c r="G99" i="13"/>
  <c r="G98" i="13"/>
  <c r="G97" i="13"/>
  <c r="G96" i="13"/>
  <c r="G95" i="13"/>
  <c r="G94" i="13"/>
  <c r="G93" i="13"/>
  <c r="G92" i="13"/>
  <c r="G91" i="13"/>
  <c r="G90" i="13"/>
  <c r="Q100" i="9" s="1"/>
  <c r="G88" i="13"/>
  <c r="Q98" i="9" s="1"/>
  <c r="G87" i="13"/>
  <c r="Q97" i="9" s="1"/>
  <c r="G86" i="13"/>
  <c r="Q96" i="9" s="1"/>
  <c r="G82" i="13"/>
  <c r="G81" i="13"/>
  <c r="Q91" i="9" s="1"/>
  <c r="G80" i="13"/>
  <c r="Q90" i="9" s="1"/>
  <c r="G79" i="13"/>
  <c r="Q89" i="9" s="1"/>
  <c r="G78" i="13"/>
  <c r="Q88" i="9" s="1"/>
  <c r="G77" i="13"/>
  <c r="Q87" i="9" s="1"/>
  <c r="G76" i="13"/>
  <c r="Q86" i="9" s="1"/>
  <c r="C6" i="13"/>
  <c r="U35" i="14" l="1"/>
  <c r="K13" i="14"/>
  <c r="H51" i="14"/>
  <c r="F48" i="13" s="1"/>
  <c r="G48" i="13" s="1"/>
  <c r="Q49" i="9" s="1"/>
  <c r="H16" i="14"/>
  <c r="AC32" i="14" s="1"/>
  <c r="AC36" i="14" s="1"/>
  <c r="F59" i="13" s="1"/>
  <c r="G59" i="13" s="1"/>
  <c r="Q60" i="9" s="1"/>
  <c r="H24" i="14"/>
  <c r="H27" i="14" s="1"/>
  <c r="E17" i="14"/>
  <c r="E92" i="14"/>
  <c r="E96" i="14" s="1"/>
  <c r="Y13" i="14"/>
  <c r="AA13" i="14"/>
  <c r="W13" i="14"/>
  <c r="AC13" i="14"/>
  <c r="S13" i="14"/>
  <c r="W46" i="14"/>
  <c r="O13" i="14"/>
  <c r="K24" i="14"/>
  <c r="M13" i="14"/>
  <c r="Y35" i="14"/>
  <c r="AA37" i="14"/>
  <c r="W35" i="14"/>
  <c r="Q35" i="14"/>
  <c r="M35" i="14"/>
  <c r="E143" i="14"/>
  <c r="H67" i="14"/>
  <c r="Q13" i="14"/>
  <c r="B84" i="14"/>
  <c r="B87" i="14" s="1"/>
  <c r="B88" i="14" s="1"/>
  <c r="B90" i="14" s="1"/>
  <c r="B95" i="14" s="1"/>
  <c r="B100" i="14" s="1"/>
  <c r="B62" i="14"/>
  <c r="B61" i="14"/>
  <c r="E105" i="14"/>
  <c r="E109" i="14" s="1"/>
  <c r="B38" i="14"/>
  <c r="E38" i="14"/>
  <c r="E51" i="14" s="1"/>
  <c r="K34" i="14"/>
  <c r="H135" i="14"/>
  <c r="H151" i="14" s="1"/>
  <c r="E28" i="14"/>
  <c r="E41" i="14" s="1"/>
  <c r="E54" i="14" s="1"/>
  <c r="E79" i="14" s="1"/>
  <c r="E98" i="14" s="1"/>
  <c r="H109" i="14"/>
  <c r="H58" i="14"/>
  <c r="K33" i="14" l="1"/>
  <c r="AE35" i="14" s="1"/>
  <c r="AI36" i="14" s="1"/>
  <c r="E144" i="14"/>
  <c r="E70" i="14" s="1"/>
  <c r="AE32" i="14"/>
  <c r="AG32" i="14"/>
  <c r="F7" i="13"/>
  <c r="G7" i="13" s="1"/>
  <c r="Q8" i="9" s="1"/>
  <c r="F13" i="13"/>
  <c r="G13" i="13" s="1"/>
  <c r="Q14" i="9" s="1"/>
  <c r="O11" i="14"/>
  <c r="AI32" i="14"/>
  <c r="H59" i="14"/>
  <c r="H61" i="14" s="1"/>
  <c r="F15" i="13" s="1"/>
  <c r="G15" i="13" s="1"/>
  <c r="Q16" i="9" s="1"/>
  <c r="H75" i="14"/>
  <c r="F85" i="13"/>
  <c r="G85" i="13" s="1"/>
  <c r="Q95" i="9" s="1"/>
  <c r="U34" i="14"/>
  <c r="Q24" i="14"/>
  <c r="U24" i="14" s="1"/>
  <c r="O24" i="14"/>
  <c r="M25" i="14"/>
  <c r="AG13" i="14"/>
  <c r="AE13" i="14"/>
  <c r="AI13" i="14"/>
  <c r="AA46" i="14"/>
  <c r="Y46" i="14"/>
  <c r="H110" i="14"/>
  <c r="H129" i="14" s="1"/>
  <c r="E73" i="14"/>
  <c r="E81" i="14" s="1"/>
  <c r="B123" i="14"/>
  <c r="B126" i="14" s="1"/>
  <c r="B63" i="14"/>
  <c r="B65" i="14" s="1"/>
  <c r="B66" i="14" s="1"/>
  <c r="B68" i="14" s="1"/>
  <c r="B74" i="14" s="1"/>
  <c r="B79" i="14" s="1"/>
  <c r="B39" i="14"/>
  <c r="B42" i="14" s="1"/>
  <c r="B43" i="14" s="1"/>
  <c r="B45" i="14" s="1"/>
  <c r="E27" i="14"/>
  <c r="E40" i="14" s="1"/>
  <c r="E53" i="14" s="1"/>
  <c r="E56" i="14" s="1"/>
  <c r="F10" i="13" s="1"/>
  <c r="G10" i="13" s="1"/>
  <c r="Q11" i="9" s="1"/>
  <c r="E113" i="14"/>
  <c r="M34" i="14"/>
  <c r="O34" i="14" s="1"/>
  <c r="Q34" i="14" s="1"/>
  <c r="H69" i="14"/>
  <c r="H70" i="14" s="1"/>
  <c r="AE36" i="14" l="1"/>
  <c r="F60" i="13" s="1"/>
  <c r="G60" i="13" s="1"/>
  <c r="Q61" i="9" s="1"/>
  <c r="M33" i="14"/>
  <c r="O33" i="14" s="1"/>
  <c r="Q33" i="14" s="1"/>
  <c r="E43" i="14"/>
  <c r="O32" i="14" s="1"/>
  <c r="E30" i="14"/>
  <c r="Q11" i="14" s="1"/>
  <c r="Y22" i="14" s="1"/>
  <c r="AG22" i="14"/>
  <c r="AA44" i="14"/>
  <c r="W22" i="14"/>
  <c r="M22" i="14"/>
  <c r="F14" i="13"/>
  <c r="G14" i="13" s="1"/>
  <c r="Q15" i="9" s="1"/>
  <c r="U10" i="14"/>
  <c r="H89" i="14"/>
  <c r="H91" i="14" s="1"/>
  <c r="H88" i="14"/>
  <c r="U23" i="14"/>
  <c r="Y23" i="14" s="1"/>
  <c r="U12" i="14"/>
  <c r="F83" i="13"/>
  <c r="G83" i="13" s="1"/>
  <c r="Q93" i="9" s="1"/>
  <c r="Y34" i="14"/>
  <c r="W34" i="14"/>
  <c r="AA36" i="14"/>
  <c r="F9" i="13"/>
  <c r="AA24" i="14"/>
  <c r="AC24" i="14" s="1"/>
  <c r="Y24" i="14"/>
  <c r="B50" i="14"/>
  <c r="B56" i="14" s="1"/>
  <c r="H145" i="14"/>
  <c r="B131" i="14"/>
  <c r="B136" i="14" s="1"/>
  <c r="F89" i="13" s="1"/>
  <c r="G89" i="13" s="1"/>
  <c r="Q99" i="9" s="1"/>
  <c r="B128" i="14"/>
  <c r="K11" i="14"/>
  <c r="Q32" i="14"/>
  <c r="H93" i="14"/>
  <c r="H189" i="14" s="1"/>
  <c r="H193" i="14" s="1"/>
  <c r="F21" i="13" s="1"/>
  <c r="G21" i="13" s="1"/>
  <c r="Q22" i="9" s="1"/>
  <c r="E83" i="14"/>
  <c r="K10" i="14"/>
  <c r="K32" i="14"/>
  <c r="AL126" i="4"/>
  <c r="AL127" i="4"/>
  <c r="AL128" i="4"/>
  <c r="AL129" i="4"/>
  <c r="AL130" i="4"/>
  <c r="AL131" i="4"/>
  <c r="AL132" i="4"/>
  <c r="AL133" i="4"/>
  <c r="AL134" i="4"/>
  <c r="AL135" i="4"/>
  <c r="AL136" i="4"/>
  <c r="AL137" i="4"/>
  <c r="AL138" i="4"/>
  <c r="AL139" i="4"/>
  <c r="AL140" i="4"/>
  <c r="AL141" i="4"/>
  <c r="AL142" i="4"/>
  <c r="AL143" i="4"/>
  <c r="AL144" i="4"/>
  <c r="AL145" i="4"/>
  <c r="AL146" i="4"/>
  <c r="AL147" i="4"/>
  <c r="AL148" i="4"/>
  <c r="AL149" i="4"/>
  <c r="AL150" i="4"/>
  <c r="F8" i="13" l="1"/>
  <c r="G8" i="13" s="1"/>
  <c r="Q9" i="9" s="1"/>
  <c r="M32" i="14"/>
  <c r="H97" i="14"/>
  <c r="W10" i="14" s="1"/>
  <c r="H98" i="14"/>
  <c r="F20" i="13" s="1"/>
  <c r="G20" i="13" s="1"/>
  <c r="Q21" i="9" s="1"/>
  <c r="S12" i="14"/>
  <c r="AC12" i="14"/>
  <c r="W23" i="14"/>
  <c r="AA23" i="14" s="1"/>
  <c r="F84" i="13"/>
  <c r="G84" i="13" s="1"/>
  <c r="Q94" i="9" s="1"/>
  <c r="F12" i="13"/>
  <c r="G12" i="13" s="1"/>
  <c r="Q13" i="9" s="1"/>
  <c r="Y11" i="14"/>
  <c r="W44" i="14"/>
  <c r="U22" i="14"/>
  <c r="AC22" i="14"/>
  <c r="G9" i="13"/>
  <c r="Q10" i="9" s="1"/>
  <c r="F22" i="13"/>
  <c r="G22" i="13" s="1"/>
  <c r="Q23" i="9" s="1"/>
  <c r="AE24" i="14"/>
  <c r="AG24" i="14"/>
  <c r="AC10" i="14"/>
  <c r="S10" i="14"/>
  <c r="Y10" i="14"/>
  <c r="AA10" i="14"/>
  <c r="W45" i="14"/>
  <c r="Y45" i="14" s="1"/>
  <c r="K21" i="14"/>
  <c r="AG33" i="14"/>
  <c r="AI33" i="14" s="1"/>
  <c r="AC21" i="14"/>
  <c r="U21" i="14"/>
  <c r="O10" i="14"/>
  <c r="S50" i="14"/>
  <c r="O36" i="14"/>
  <c r="M36" i="14"/>
  <c r="E115" i="14"/>
  <c r="E117" i="14" s="1"/>
  <c r="O22" i="14" s="1"/>
  <c r="E100" i="14"/>
  <c r="K36" i="14"/>
  <c r="AG11" i="14" s="1"/>
  <c r="Q10" i="14"/>
  <c r="M10" i="14"/>
  <c r="Q36" i="14"/>
  <c r="K12" i="14"/>
  <c r="AA12" i="14" s="1"/>
  <c r="M11" i="14"/>
  <c r="M50" i="14"/>
  <c r="O50" i="14"/>
  <c r="F19" i="13" l="1"/>
  <c r="G19" i="13" s="1"/>
  <c r="Q20" i="9" s="1"/>
  <c r="W48" i="14"/>
  <c r="AA45" i="14"/>
  <c r="AA48" i="14" s="1"/>
  <c r="AG12" i="14"/>
  <c r="AI12" i="14"/>
  <c r="AE12" i="14"/>
  <c r="AA15" i="14"/>
  <c r="F33" i="13" s="1"/>
  <c r="G33" i="13" s="1"/>
  <c r="Q34" i="9" s="1"/>
  <c r="Y12" i="14"/>
  <c r="W11" i="14"/>
  <c r="Q22" i="14" s="1"/>
  <c r="S11" i="14"/>
  <c r="AA22" i="14" s="1"/>
  <c r="F11" i="13"/>
  <c r="G11" i="13" s="1"/>
  <c r="Q12" i="9" s="1"/>
  <c r="Y44" i="14"/>
  <c r="Y48" i="14" s="1"/>
  <c r="K22" i="14"/>
  <c r="K25" i="14" s="1"/>
  <c r="F50" i="13" s="1"/>
  <c r="G50" i="13" s="1"/>
  <c r="Q51" i="9" s="1"/>
  <c r="AE22" i="14"/>
  <c r="M23" i="14"/>
  <c r="F46" i="13"/>
  <c r="G46" i="13" s="1"/>
  <c r="Q47" i="9" s="1"/>
  <c r="AE11" i="14"/>
  <c r="AC11" i="14"/>
  <c r="F45" i="13"/>
  <c r="G45" i="13" s="1"/>
  <c r="Q46" i="9" s="1"/>
  <c r="AI11" i="14"/>
  <c r="F47" i="13"/>
  <c r="G47" i="13" s="1"/>
  <c r="Q48" i="9" s="1"/>
  <c r="AE10" i="14"/>
  <c r="AG10" i="14"/>
  <c r="AI10" i="14"/>
  <c r="Q21" i="14"/>
  <c r="M21" i="14"/>
  <c r="O21" i="14"/>
  <c r="O25" i="14" s="1"/>
  <c r="F52" i="13" s="1"/>
  <c r="G52" i="13" s="1"/>
  <c r="Q53" i="9" s="1"/>
  <c r="W21" i="14"/>
  <c r="W25" i="14" s="1"/>
  <c r="F41" i="13" s="1"/>
  <c r="G41" i="13" s="1"/>
  <c r="Q42" i="9" s="1"/>
  <c r="U32" i="14"/>
  <c r="Y21" i="14"/>
  <c r="Y25" i="14" s="1"/>
  <c r="F42" i="13" s="1"/>
  <c r="G42" i="13" s="1"/>
  <c r="Q43" i="9" s="1"/>
  <c r="AG21" i="14"/>
  <c r="AC25" i="14"/>
  <c r="F55" i="13" s="1"/>
  <c r="G55" i="13" s="1"/>
  <c r="Q56" i="9" s="1"/>
  <c r="AE21" i="14"/>
  <c r="K14" i="14"/>
  <c r="AG35" i="14"/>
  <c r="AI35" i="14" s="1"/>
  <c r="O12" i="14"/>
  <c r="O14" i="14" s="1"/>
  <c r="F27" i="13" s="1"/>
  <c r="G27" i="13" s="1"/>
  <c r="Q28" i="9" s="1"/>
  <c r="Q12" i="14"/>
  <c r="Q14" i="14" s="1"/>
  <c r="F28" i="13" s="1"/>
  <c r="G28" i="13" s="1"/>
  <c r="Q29" i="9" s="1"/>
  <c r="M12" i="14"/>
  <c r="M14" i="14" s="1"/>
  <c r="F26" i="13" s="1"/>
  <c r="G26" i="13" s="1"/>
  <c r="Q27" i="9" s="1"/>
  <c r="AD29" i="4"/>
  <c r="AD25" i="4"/>
  <c r="AD15" i="4"/>
  <c r="AD14" i="4"/>
  <c r="AD13" i="4"/>
  <c r="AD12" i="4"/>
  <c r="AD11" i="4"/>
  <c r="AD10" i="4"/>
  <c r="C8" i="12"/>
  <c r="D8" i="12"/>
  <c r="E8" i="12"/>
  <c r="F8" i="12"/>
  <c r="G8" i="12"/>
  <c r="H8" i="12"/>
  <c r="I8" i="12"/>
  <c r="J8" i="12"/>
  <c r="K8" i="12"/>
  <c r="B8" i="12"/>
  <c r="C7" i="12"/>
  <c r="D7" i="12"/>
  <c r="E7" i="12"/>
  <c r="F7" i="12"/>
  <c r="G7" i="12"/>
  <c r="H7" i="12"/>
  <c r="I7" i="12"/>
  <c r="J7" i="12"/>
  <c r="K7" i="12"/>
  <c r="K4" i="12"/>
  <c r="K3" i="12"/>
  <c r="J7" i="1"/>
  <c r="J8" i="1"/>
  <c r="AG15" i="14" l="1"/>
  <c r="F37" i="13" s="1"/>
  <c r="G37" i="13" s="1"/>
  <c r="Q38" i="9" s="1"/>
  <c r="S14" i="14"/>
  <c r="F29" i="13" s="1"/>
  <c r="G29" i="13" s="1"/>
  <c r="Q30" i="9" s="1"/>
  <c r="AI15" i="14"/>
  <c r="F38" i="13" s="1"/>
  <c r="G38" i="13" s="1"/>
  <c r="Q39" i="9" s="1"/>
  <c r="W14" i="14"/>
  <c r="F31" i="13" s="1"/>
  <c r="G31" i="13" s="1"/>
  <c r="Q32" i="9" s="1"/>
  <c r="Q25" i="14"/>
  <c r="F53" i="13" s="1"/>
  <c r="G53" i="13" s="1"/>
  <c r="Q54" i="9" s="1"/>
  <c r="M26" i="14"/>
  <c r="F51" i="13" s="1"/>
  <c r="G51" i="13" s="1"/>
  <c r="Q52" i="9" s="1"/>
  <c r="AE15" i="14"/>
  <c r="F36" i="13" s="1"/>
  <c r="G36" i="13" s="1"/>
  <c r="Q37" i="9" s="1"/>
  <c r="F25" i="13"/>
  <c r="G25" i="13" s="1"/>
  <c r="Q26" i="9" s="1"/>
  <c r="K17" i="14"/>
  <c r="Y32" i="14"/>
  <c r="Y36" i="14" s="1"/>
  <c r="F66" i="13" s="1"/>
  <c r="G66" i="13" s="1"/>
  <c r="Q67" i="9" s="1"/>
  <c r="W32" i="14"/>
  <c r="W36" i="14" s="1"/>
  <c r="F65" i="13" s="1"/>
  <c r="G65" i="13" s="1"/>
  <c r="Q66" i="9" s="1"/>
  <c r="AA32" i="14"/>
  <c r="AA38" i="14" s="1"/>
  <c r="F67" i="13" s="1"/>
  <c r="G67" i="13" s="1"/>
  <c r="Q68" i="9" s="1"/>
  <c r="U36" i="14"/>
  <c r="F64" i="13" s="1"/>
  <c r="G64" i="13" s="1"/>
  <c r="Q65" i="9" s="1"/>
  <c r="AI37" i="14"/>
  <c r="F62" i="13" s="1"/>
  <c r="G62" i="13" s="1"/>
  <c r="Q63" i="9" s="1"/>
  <c r="AG36" i="14"/>
  <c r="F61" i="13" s="1"/>
  <c r="G61" i="13" s="1"/>
  <c r="Q62" i="9" s="1"/>
  <c r="Q50" i="14"/>
  <c r="K50" i="14"/>
  <c r="E31" i="8"/>
  <c r="F31" i="8"/>
  <c r="G31" i="8"/>
  <c r="H31" i="8"/>
  <c r="I31" i="8"/>
  <c r="J31" i="8"/>
  <c r="K31" i="8"/>
  <c r="L31" i="8"/>
  <c r="M31" i="8"/>
  <c r="D31" i="8"/>
  <c r="E55" i="11"/>
  <c r="E59" i="11"/>
  <c r="E63" i="11"/>
  <c r="E68" i="11"/>
  <c r="E72" i="11"/>
  <c r="C48" i="11"/>
  <c r="E35" i="11"/>
  <c r="E44" i="11"/>
  <c r="E45" i="11"/>
  <c r="E46" i="11"/>
  <c r="E17" i="11"/>
  <c r="C52" i="11"/>
  <c r="C53" i="11"/>
  <c r="C54" i="11"/>
  <c r="C55" i="11"/>
  <c r="C56" i="11"/>
  <c r="C57" i="11"/>
  <c r="C58" i="11"/>
  <c r="C59" i="11"/>
  <c r="C60" i="11"/>
  <c r="C61" i="11"/>
  <c r="C62" i="11"/>
  <c r="C63" i="11"/>
  <c r="C65" i="11"/>
  <c r="C66" i="11"/>
  <c r="C67" i="11"/>
  <c r="C68" i="11"/>
  <c r="C69" i="11"/>
  <c r="C70" i="11"/>
  <c r="C72" i="11"/>
  <c r="C73" i="11"/>
  <c r="C74" i="11"/>
  <c r="C47" i="11"/>
  <c r="C32" i="11"/>
  <c r="C33" i="11"/>
  <c r="C34" i="11"/>
  <c r="C35" i="11"/>
  <c r="C36" i="11"/>
  <c r="C37" i="11"/>
  <c r="C38" i="11"/>
  <c r="C39" i="11"/>
  <c r="C40" i="11"/>
  <c r="C41" i="11"/>
  <c r="C42" i="11"/>
  <c r="C43" i="11"/>
  <c r="C44" i="11"/>
  <c r="C45" i="11"/>
  <c r="C46" i="11"/>
  <c r="C31" i="11"/>
  <c r="C29" i="11"/>
  <c r="C30" i="11"/>
  <c r="C28" i="11"/>
  <c r="C21" i="11"/>
  <c r="C22" i="11"/>
  <c r="C23" i="11"/>
  <c r="C24" i="11"/>
  <c r="C25" i="11"/>
  <c r="C26" i="11"/>
  <c r="C27" i="11"/>
  <c r="C20" i="11"/>
  <c r="C11" i="11"/>
  <c r="C12" i="11"/>
  <c r="C13" i="11"/>
  <c r="C14" i="11"/>
  <c r="C15" i="11"/>
  <c r="C16" i="11"/>
  <c r="C17" i="11"/>
  <c r="C18" i="11"/>
  <c r="C10" i="11"/>
  <c r="B52" i="11"/>
  <c r="B53" i="11"/>
  <c r="B55" i="11"/>
  <c r="B56" i="11"/>
  <c r="B58" i="11"/>
  <c r="B59" i="11"/>
  <c r="B60" i="11"/>
  <c r="B61" i="11"/>
  <c r="B62" i="11"/>
  <c r="B63" i="11"/>
  <c r="B65" i="11"/>
  <c r="B66" i="11"/>
  <c r="B71" i="11"/>
  <c r="B72" i="11"/>
  <c r="B73" i="11"/>
  <c r="B74" i="11"/>
  <c r="B48" i="11"/>
  <c r="B47" i="11"/>
  <c r="B46" i="11"/>
  <c r="B32" i="11"/>
  <c r="B34" i="11"/>
  <c r="B35" i="11"/>
  <c r="B36" i="11"/>
  <c r="B37" i="11"/>
  <c r="B38" i="11"/>
  <c r="B39" i="11"/>
  <c r="B40" i="11"/>
  <c r="B41" i="11"/>
  <c r="B31" i="11"/>
  <c r="B30" i="11"/>
  <c r="B28" i="11"/>
  <c r="B21" i="11"/>
  <c r="B22" i="11"/>
  <c r="B23" i="11"/>
  <c r="B24" i="11"/>
  <c r="B26" i="11"/>
  <c r="B27" i="11"/>
  <c r="B20" i="11"/>
  <c r="B11" i="11"/>
  <c r="B12" i="11"/>
  <c r="B13" i="11"/>
  <c r="B14" i="11"/>
  <c r="B15" i="11"/>
  <c r="B16" i="11"/>
  <c r="B10" i="11"/>
  <c r="J6" i="11"/>
  <c r="J5" i="11"/>
  <c r="O4" i="9"/>
  <c r="O3" i="9"/>
  <c r="M4" i="8"/>
  <c r="M3" i="8"/>
  <c r="D20" i="7"/>
  <c r="D19" i="7"/>
  <c r="D45" i="7" s="1"/>
  <c r="D18" i="7"/>
  <c r="D44" i="7" s="1"/>
  <c r="D17" i="7"/>
  <c r="D16" i="7"/>
  <c r="D15" i="7"/>
  <c r="D41" i="7" s="1"/>
  <c r="D14" i="7"/>
  <c r="D40" i="7" s="1"/>
  <c r="D13" i="7"/>
  <c r="D12" i="7"/>
  <c r="D11" i="7"/>
  <c r="I7" i="7"/>
  <c r="I6" i="7"/>
  <c r="D6" i="6"/>
  <c r="D5" i="6"/>
  <c r="F6" i="5"/>
  <c r="F5" i="5"/>
  <c r="AJ3" i="4"/>
  <c r="AJ2" i="4"/>
  <c r="AJ160" i="4" s="1"/>
  <c r="AJ11" i="4"/>
  <c r="AJ12" i="4"/>
  <c r="AJ13" i="4"/>
  <c r="AJ14" i="4"/>
  <c r="D14" i="11" s="1"/>
  <c r="AJ10" i="4"/>
  <c r="AL174" i="4"/>
  <c r="AL175" i="4"/>
  <c r="AL173" i="4"/>
  <c r="AL172" i="4"/>
  <c r="AL171" i="4"/>
  <c r="AL169" i="4"/>
  <c r="AL170" i="4"/>
  <c r="AL168" i="4"/>
  <c r="AL167" i="4"/>
  <c r="AK150" i="4"/>
  <c r="AL125" i="4"/>
  <c r="AL122" i="4"/>
  <c r="E48" i="11" s="1"/>
  <c r="AL121" i="4"/>
  <c r="E47" i="11" s="1"/>
  <c r="AL87" i="4"/>
  <c r="AL88" i="4"/>
  <c r="AL89" i="4"/>
  <c r="AL90" i="4"/>
  <c r="AL91" i="4"/>
  <c r="AL92" i="4"/>
  <c r="AL93" i="4"/>
  <c r="AL94" i="4"/>
  <c r="AL95" i="4"/>
  <c r="AL96" i="4"/>
  <c r="AL97" i="4"/>
  <c r="AL98" i="4"/>
  <c r="AL99" i="4"/>
  <c r="AL100" i="4"/>
  <c r="AL101" i="4"/>
  <c r="AL102" i="4"/>
  <c r="AL103" i="4"/>
  <c r="AL104" i="4"/>
  <c r="AL105" i="4"/>
  <c r="AL106" i="4"/>
  <c r="AL107" i="4"/>
  <c r="AL108" i="4"/>
  <c r="AL109" i="4"/>
  <c r="AL110" i="4"/>
  <c r="AL111" i="4"/>
  <c r="AL112" i="4"/>
  <c r="AL113" i="4"/>
  <c r="AL114" i="4"/>
  <c r="AL115" i="4"/>
  <c r="AL116" i="4"/>
  <c r="AL117" i="4"/>
  <c r="AL118" i="4"/>
  <c r="AL119" i="4"/>
  <c r="AL86" i="4"/>
  <c r="AL44" i="4"/>
  <c r="E32" i="11" s="1"/>
  <c r="AL45" i="4"/>
  <c r="E33" i="11" s="1"/>
  <c r="AL46" i="4"/>
  <c r="E34" i="11" s="1"/>
  <c r="AL47" i="4"/>
  <c r="AL48" i="4"/>
  <c r="E36" i="11" s="1"/>
  <c r="AL49" i="4"/>
  <c r="E37" i="11" s="1"/>
  <c r="AL50" i="4"/>
  <c r="E38" i="11" s="1"/>
  <c r="AL51" i="4"/>
  <c r="E39" i="11" s="1"/>
  <c r="AL52" i="4"/>
  <c r="E40" i="11" s="1"/>
  <c r="AL53" i="4"/>
  <c r="E41" i="11" s="1"/>
  <c r="AL54" i="4"/>
  <c r="E42" i="11" s="1"/>
  <c r="AL55" i="4"/>
  <c r="E43" i="11" s="1"/>
  <c r="AL56" i="4"/>
  <c r="AL57" i="4"/>
  <c r="AL58" i="4"/>
  <c r="AL59" i="4"/>
  <c r="AL60" i="4"/>
  <c r="AL61" i="4"/>
  <c r="AL62" i="4"/>
  <c r="AL63" i="4"/>
  <c r="AL64" i="4"/>
  <c r="AL65" i="4"/>
  <c r="AL66" i="4"/>
  <c r="AL67" i="4"/>
  <c r="AL68" i="4"/>
  <c r="AL69" i="4"/>
  <c r="AL70" i="4"/>
  <c r="AL71" i="4"/>
  <c r="AL72" i="4"/>
  <c r="AL73" i="4"/>
  <c r="AL43" i="4"/>
  <c r="E31" i="11" s="1"/>
  <c r="AL39" i="4"/>
  <c r="E29" i="11" s="1"/>
  <c r="AL40" i="4"/>
  <c r="E30" i="11" s="1"/>
  <c r="AL38" i="4"/>
  <c r="E28" i="11" s="1"/>
  <c r="AL25" i="4"/>
  <c r="E20" i="11" s="1"/>
  <c r="AL26" i="4"/>
  <c r="E21" i="11" s="1"/>
  <c r="AL27" i="4"/>
  <c r="E22" i="11" s="1"/>
  <c r="AL28" i="4"/>
  <c r="E23" i="11" s="1"/>
  <c r="AL29" i="4"/>
  <c r="E24" i="11" s="1"/>
  <c r="AL30" i="4"/>
  <c r="E25" i="11" s="1"/>
  <c r="AL31" i="4"/>
  <c r="E26" i="11" s="1"/>
  <c r="AL32" i="4"/>
  <c r="E27" i="11" s="1"/>
  <c r="AL33" i="4"/>
  <c r="AL34" i="4"/>
  <c r="AL35" i="4"/>
  <c r="AL24" i="4"/>
  <c r="AL11" i="4"/>
  <c r="E11" i="11" s="1"/>
  <c r="AL12" i="4"/>
  <c r="E12" i="11" s="1"/>
  <c r="AL13" i="4"/>
  <c r="E13" i="11" s="1"/>
  <c r="AL14" i="4"/>
  <c r="E14" i="11" s="1"/>
  <c r="AL15" i="4"/>
  <c r="E15" i="11" s="1"/>
  <c r="AL16" i="4"/>
  <c r="E16" i="11" s="1"/>
  <c r="AL17" i="4"/>
  <c r="AL18" i="4"/>
  <c r="E18" i="11" s="1"/>
  <c r="AL19" i="4"/>
  <c r="AL20" i="4"/>
  <c r="E19" i="11" s="1"/>
  <c r="AL21" i="4"/>
  <c r="AL22" i="4"/>
  <c r="AL23" i="4"/>
  <c r="AL10" i="4"/>
  <c r="E10" i="11" s="1"/>
  <c r="D174" i="4"/>
  <c r="D175" i="4"/>
  <c r="D173" i="4"/>
  <c r="D172" i="4"/>
  <c r="D171" i="4"/>
  <c r="D168" i="4"/>
  <c r="D169" i="4"/>
  <c r="D170" i="4"/>
  <c r="D167" i="4"/>
  <c r="D126" i="4"/>
  <c r="D127" i="4"/>
  <c r="D128" i="4"/>
  <c r="D129" i="4"/>
  <c r="D130" i="4"/>
  <c r="B54" i="11" s="1"/>
  <c r="D131" i="4"/>
  <c r="D132" i="4"/>
  <c r="D133" i="4"/>
  <c r="B57" i="11" s="1"/>
  <c r="D134" i="4"/>
  <c r="D135" i="4"/>
  <c r="D136" i="4"/>
  <c r="D137" i="4"/>
  <c r="D138" i="4"/>
  <c r="D139" i="4"/>
  <c r="D140" i="4"/>
  <c r="D141" i="4"/>
  <c r="D142" i="4"/>
  <c r="D143" i="4"/>
  <c r="B67" i="11" s="1"/>
  <c r="D144" i="4"/>
  <c r="B68" i="11" s="1"/>
  <c r="D145" i="4"/>
  <c r="B69" i="11" s="1"/>
  <c r="D146" i="4"/>
  <c r="B70" i="11" s="1"/>
  <c r="D147" i="4"/>
  <c r="D148" i="4"/>
  <c r="D149" i="4"/>
  <c r="D150" i="4"/>
  <c r="D125" i="4"/>
  <c r="D122" i="4"/>
  <c r="D121"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86" i="4"/>
  <c r="D44" i="4"/>
  <c r="D45" i="4"/>
  <c r="B33" i="11" s="1"/>
  <c r="D46" i="4"/>
  <c r="D47" i="4"/>
  <c r="D48" i="4"/>
  <c r="D49" i="4"/>
  <c r="D50" i="4"/>
  <c r="D51" i="4"/>
  <c r="D52" i="4"/>
  <c r="D53" i="4"/>
  <c r="D54" i="4"/>
  <c r="B42" i="11" s="1"/>
  <c r="D55" i="4"/>
  <c r="B43" i="11" s="1"/>
  <c r="D56" i="4"/>
  <c r="B44" i="11" s="1"/>
  <c r="D57" i="4"/>
  <c r="B45" i="11" s="1"/>
  <c r="D58" i="4"/>
  <c r="D59" i="4"/>
  <c r="D60" i="4"/>
  <c r="D61" i="4"/>
  <c r="D62" i="4"/>
  <c r="D63" i="4"/>
  <c r="D64" i="4"/>
  <c r="D65" i="4"/>
  <c r="D66" i="4"/>
  <c r="D67" i="4"/>
  <c r="D68" i="4"/>
  <c r="D69" i="4"/>
  <c r="D70" i="4"/>
  <c r="D71" i="4"/>
  <c r="D72" i="4"/>
  <c r="D73" i="4"/>
  <c r="D43" i="4"/>
  <c r="D39" i="4"/>
  <c r="B29" i="11" s="1"/>
  <c r="D40" i="4"/>
  <c r="D38" i="4"/>
  <c r="D25" i="4"/>
  <c r="D26" i="4"/>
  <c r="D27" i="4"/>
  <c r="D28" i="4"/>
  <c r="D29" i="4"/>
  <c r="D30" i="4"/>
  <c r="B25" i="11" s="1"/>
  <c r="D31" i="4"/>
  <c r="D32" i="4"/>
  <c r="D33" i="4"/>
  <c r="D34" i="4"/>
  <c r="D35" i="4"/>
  <c r="D24" i="4"/>
  <c r="D17" i="4"/>
  <c r="B17" i="11" s="1"/>
  <c r="D18" i="4"/>
  <c r="B18" i="11" s="1"/>
  <c r="D19" i="4"/>
  <c r="D20" i="4"/>
  <c r="D21" i="4"/>
  <c r="D22" i="4"/>
  <c r="D23" i="4"/>
  <c r="D11" i="4"/>
  <c r="D12" i="4"/>
  <c r="D13" i="4"/>
  <c r="D14" i="4"/>
  <c r="D15" i="4"/>
  <c r="D16" i="4"/>
  <c r="D10" i="4"/>
  <c r="D253" i="3"/>
  <c r="E253" i="3"/>
  <c r="F253" i="3"/>
  <c r="G253" i="3"/>
  <c r="H253" i="3"/>
  <c r="I253" i="3"/>
  <c r="J253" i="3"/>
  <c r="K253" i="3"/>
  <c r="L253" i="3"/>
  <c r="M253" i="3"/>
  <c r="N253" i="3"/>
  <c r="O253" i="3"/>
  <c r="P253" i="3"/>
  <c r="D235" i="3"/>
  <c r="E235" i="3"/>
  <c r="F235" i="3"/>
  <c r="G235" i="3"/>
  <c r="H235" i="3"/>
  <c r="I235" i="3"/>
  <c r="J235" i="3"/>
  <c r="K235" i="3"/>
  <c r="L235" i="3"/>
  <c r="M235" i="3"/>
  <c r="N235" i="3"/>
  <c r="O235" i="3"/>
  <c r="P235" i="3"/>
  <c r="D217" i="3"/>
  <c r="E217" i="3"/>
  <c r="F217" i="3"/>
  <c r="G217" i="3"/>
  <c r="H217" i="3"/>
  <c r="I217" i="3"/>
  <c r="J217" i="3"/>
  <c r="K217" i="3"/>
  <c r="L217" i="3"/>
  <c r="M217" i="3"/>
  <c r="N217" i="3"/>
  <c r="O217" i="3"/>
  <c r="P217" i="3"/>
  <c r="D199" i="3"/>
  <c r="E199" i="3"/>
  <c r="F199" i="3"/>
  <c r="G199" i="3"/>
  <c r="H199" i="3"/>
  <c r="I199" i="3"/>
  <c r="J199" i="3"/>
  <c r="K199" i="3"/>
  <c r="L199" i="3"/>
  <c r="M199" i="3"/>
  <c r="N199" i="3"/>
  <c r="O199" i="3"/>
  <c r="P199" i="3"/>
  <c r="D172" i="3"/>
  <c r="E172" i="3"/>
  <c r="F172" i="3"/>
  <c r="G172" i="3"/>
  <c r="H172" i="3"/>
  <c r="I172" i="3"/>
  <c r="J172" i="3"/>
  <c r="K172" i="3"/>
  <c r="L172" i="3"/>
  <c r="M172" i="3"/>
  <c r="N172" i="3"/>
  <c r="O172" i="3"/>
  <c r="P172" i="3"/>
  <c r="D147" i="3"/>
  <c r="E147" i="3"/>
  <c r="F147" i="3"/>
  <c r="G147" i="3"/>
  <c r="H147" i="3"/>
  <c r="I147" i="3"/>
  <c r="J147" i="3"/>
  <c r="K147" i="3"/>
  <c r="L147" i="3"/>
  <c r="M147" i="3"/>
  <c r="N147" i="3"/>
  <c r="O147" i="3"/>
  <c r="P147" i="3"/>
  <c r="D122" i="3"/>
  <c r="E122" i="3"/>
  <c r="F122" i="3"/>
  <c r="G122" i="3"/>
  <c r="H122" i="3"/>
  <c r="I122" i="3"/>
  <c r="J122" i="3"/>
  <c r="K122" i="3"/>
  <c r="L122" i="3"/>
  <c r="M122" i="3"/>
  <c r="N122" i="3"/>
  <c r="O122" i="3"/>
  <c r="P122" i="3"/>
  <c r="D95" i="3"/>
  <c r="E95" i="3"/>
  <c r="F95" i="3"/>
  <c r="G95" i="3"/>
  <c r="H95" i="3"/>
  <c r="I95" i="3"/>
  <c r="J95" i="3"/>
  <c r="K95" i="3"/>
  <c r="L95" i="3"/>
  <c r="M95" i="3"/>
  <c r="N95" i="3"/>
  <c r="O95" i="3"/>
  <c r="P95" i="3"/>
  <c r="D62" i="3"/>
  <c r="E62" i="3"/>
  <c r="F62" i="3"/>
  <c r="G62" i="3"/>
  <c r="H62" i="3"/>
  <c r="I62" i="3"/>
  <c r="J62" i="3"/>
  <c r="K62" i="3"/>
  <c r="L62" i="3"/>
  <c r="M62" i="3"/>
  <c r="N62" i="3"/>
  <c r="O62" i="3"/>
  <c r="P62" i="3"/>
  <c r="E37" i="3"/>
  <c r="D37" i="3"/>
  <c r="F37" i="3"/>
  <c r="G37" i="3"/>
  <c r="H37" i="3"/>
  <c r="I37" i="3"/>
  <c r="J37" i="3"/>
  <c r="K37" i="3"/>
  <c r="L37" i="3"/>
  <c r="M37" i="3"/>
  <c r="N37" i="3"/>
  <c r="O37" i="3"/>
  <c r="P37" i="3"/>
  <c r="C253" i="3"/>
  <c r="R236" i="3"/>
  <c r="C217" i="3"/>
  <c r="C199" i="3"/>
  <c r="R17" i="2"/>
  <c r="R16" i="2"/>
  <c r="R15" i="2"/>
  <c r="R13" i="2"/>
  <c r="R14" i="2"/>
  <c r="R12" i="2"/>
  <c r="R10" i="2"/>
  <c r="R11" i="2"/>
  <c r="R8" i="2"/>
  <c r="S8" i="2" s="1"/>
  <c r="R7" i="2"/>
  <c r="C8" i="2"/>
  <c r="C16" i="2"/>
  <c r="C15" i="2"/>
  <c r="C14" i="2"/>
  <c r="C12" i="2"/>
  <c r="C11" i="2"/>
  <c r="C10" i="2"/>
  <c r="C9" i="2"/>
  <c r="C7" i="2"/>
  <c r="R44" i="2"/>
  <c r="Q17" i="2" s="1"/>
  <c r="R43" i="2"/>
  <c r="R42" i="2"/>
  <c r="Q15" i="2" s="1"/>
  <c r="R37" i="2"/>
  <c r="Q16" i="2"/>
  <c r="Q10" i="2"/>
  <c r="H11" i="2"/>
  <c r="H8" i="2"/>
  <c r="M8" i="2" s="1"/>
  <c r="H9" i="2"/>
  <c r="H10" i="2"/>
  <c r="M10" i="2" s="1"/>
  <c r="M11" i="2"/>
  <c r="H7" i="2"/>
  <c r="M7" i="2" s="1"/>
  <c r="H42" i="2"/>
  <c r="B15" i="2" s="1"/>
  <c r="H40" i="2"/>
  <c r="H35" i="2"/>
  <c r="H36" i="2"/>
  <c r="B9" i="2" s="1"/>
  <c r="H37" i="2"/>
  <c r="B10" i="2" s="1"/>
  <c r="H38" i="2"/>
  <c r="B11" i="2" s="1"/>
  <c r="H39" i="2"/>
  <c r="B12" i="2" s="1"/>
  <c r="H41" i="2"/>
  <c r="B14" i="2" s="1"/>
  <c r="H43" i="2"/>
  <c r="B16" i="2" s="1"/>
  <c r="H44" i="2"/>
  <c r="L25" i="12"/>
  <c r="L24" i="12"/>
  <c r="L23" i="12"/>
  <c r="L22" i="12"/>
  <c r="L21" i="12"/>
  <c r="L20" i="12"/>
  <c r="L19" i="12"/>
  <c r="L18" i="12"/>
  <c r="J20" i="11" s="1"/>
  <c r="L16" i="12"/>
  <c r="J24" i="11" s="1"/>
  <c r="L15" i="12"/>
  <c r="L14" i="12"/>
  <c r="J15" i="11" s="1"/>
  <c r="L13" i="12"/>
  <c r="L12" i="12"/>
  <c r="J14" i="11" s="1"/>
  <c r="L11" i="12"/>
  <c r="J13" i="11" s="1"/>
  <c r="L10" i="12"/>
  <c r="L9" i="12"/>
  <c r="J11" i="11" s="1"/>
  <c r="N113" i="9"/>
  <c r="C113" i="9"/>
  <c r="N112" i="9"/>
  <c r="C112" i="9"/>
  <c r="C111" i="9"/>
  <c r="AD110" i="9"/>
  <c r="AC110" i="9"/>
  <c r="AB110" i="9"/>
  <c r="AA110" i="9"/>
  <c r="Z110" i="9"/>
  <c r="Y110" i="9"/>
  <c r="X110" i="9"/>
  <c r="W110" i="9"/>
  <c r="V110" i="9"/>
  <c r="U110" i="9"/>
  <c r="N110" i="9"/>
  <c r="O110" i="9" s="1"/>
  <c r="AD109" i="9"/>
  <c r="AC109" i="9"/>
  <c r="AB109" i="9"/>
  <c r="AA109" i="9"/>
  <c r="Z109" i="9"/>
  <c r="Y109" i="9"/>
  <c r="X109" i="9"/>
  <c r="W109" i="9"/>
  <c r="V109" i="9"/>
  <c r="U109" i="9"/>
  <c r="N109" i="9"/>
  <c r="O109" i="9" s="1"/>
  <c r="AD108" i="9"/>
  <c r="AC108" i="9"/>
  <c r="AB108" i="9"/>
  <c r="AA108" i="9"/>
  <c r="Z108" i="9"/>
  <c r="Y108" i="9"/>
  <c r="X108" i="9"/>
  <c r="W108" i="9"/>
  <c r="V108" i="9"/>
  <c r="U108" i="9"/>
  <c r="N108" i="9"/>
  <c r="O108" i="9" s="1"/>
  <c r="AD107" i="9"/>
  <c r="AC107" i="9"/>
  <c r="AB107" i="9"/>
  <c r="AA107" i="9"/>
  <c r="Z107" i="9"/>
  <c r="Y107" i="9"/>
  <c r="X107" i="9"/>
  <c r="W107" i="9"/>
  <c r="V107" i="9"/>
  <c r="U107" i="9"/>
  <c r="N107" i="9"/>
  <c r="O107" i="9" s="1"/>
  <c r="AD106" i="9"/>
  <c r="AC106" i="9"/>
  <c r="AB106" i="9"/>
  <c r="AA106" i="9"/>
  <c r="Z106" i="9"/>
  <c r="Y106" i="9"/>
  <c r="X106" i="9"/>
  <c r="W106" i="9"/>
  <c r="V106" i="9"/>
  <c r="U106" i="9"/>
  <c r="N106" i="9"/>
  <c r="O106" i="9" s="1"/>
  <c r="AD105" i="9"/>
  <c r="AC105" i="9"/>
  <c r="AB105" i="9"/>
  <c r="AA105" i="9"/>
  <c r="Z105" i="9"/>
  <c r="Y105" i="9"/>
  <c r="X105" i="9"/>
  <c r="W105" i="9"/>
  <c r="V105" i="9"/>
  <c r="U105" i="9"/>
  <c r="N105" i="9"/>
  <c r="O105" i="9" s="1"/>
  <c r="AD104" i="9"/>
  <c r="AC104" i="9"/>
  <c r="AB104" i="9"/>
  <c r="AA104" i="9"/>
  <c r="Z104" i="9"/>
  <c r="Y104" i="9"/>
  <c r="X104" i="9"/>
  <c r="W104" i="9"/>
  <c r="V104" i="9"/>
  <c r="U104" i="9"/>
  <c r="N104" i="9"/>
  <c r="O104" i="9" s="1"/>
  <c r="AD103" i="9"/>
  <c r="AC103" i="9"/>
  <c r="AB103" i="9"/>
  <c r="AA103" i="9"/>
  <c r="Z103" i="9"/>
  <c r="Y103" i="9"/>
  <c r="X103" i="9"/>
  <c r="W103" i="9"/>
  <c r="V103" i="9"/>
  <c r="U103" i="9"/>
  <c r="N103" i="9"/>
  <c r="O103" i="9" s="1"/>
  <c r="AD102" i="9"/>
  <c r="AC102" i="9"/>
  <c r="AB102" i="9"/>
  <c r="AA102" i="9"/>
  <c r="Z102" i="9"/>
  <c r="Y102" i="9"/>
  <c r="X102" i="9"/>
  <c r="W102" i="9"/>
  <c r="V102" i="9"/>
  <c r="U102" i="9"/>
  <c r="N102" i="9"/>
  <c r="O102" i="9" s="1"/>
  <c r="AD101" i="9"/>
  <c r="AC101" i="9"/>
  <c r="AB101" i="9"/>
  <c r="AA101" i="9"/>
  <c r="Z101" i="9"/>
  <c r="Y101" i="9"/>
  <c r="X101" i="9"/>
  <c r="W101" i="9"/>
  <c r="V101" i="9"/>
  <c r="U101" i="9"/>
  <c r="N101" i="9"/>
  <c r="O101" i="9" s="1"/>
  <c r="AD100" i="9"/>
  <c r="AC100" i="9"/>
  <c r="AB100" i="9"/>
  <c r="AA100" i="9"/>
  <c r="Z100" i="9"/>
  <c r="Y100" i="9"/>
  <c r="X100" i="9"/>
  <c r="W100" i="9"/>
  <c r="V100" i="9"/>
  <c r="U100" i="9"/>
  <c r="N100" i="9"/>
  <c r="O100" i="9" s="1"/>
  <c r="AD99" i="9"/>
  <c r="AC99" i="9"/>
  <c r="AB99" i="9"/>
  <c r="AA99" i="9"/>
  <c r="Z99" i="9"/>
  <c r="Y99" i="9"/>
  <c r="X99" i="9"/>
  <c r="W99" i="9"/>
  <c r="V99" i="9"/>
  <c r="U99" i="9"/>
  <c r="N99" i="9"/>
  <c r="O99" i="9" s="1"/>
  <c r="AD98" i="9"/>
  <c r="AC98" i="9"/>
  <c r="AB98" i="9"/>
  <c r="AA98" i="9"/>
  <c r="Z98" i="9"/>
  <c r="Y98" i="9"/>
  <c r="X98" i="9"/>
  <c r="W98" i="9"/>
  <c r="V98" i="9"/>
  <c r="U98" i="9"/>
  <c r="N98" i="9"/>
  <c r="AD97" i="9"/>
  <c r="AC97" i="9"/>
  <c r="AB97" i="9"/>
  <c r="AA97" i="9"/>
  <c r="Z97" i="9"/>
  <c r="Y97" i="9"/>
  <c r="X97" i="9"/>
  <c r="W97" i="9"/>
  <c r="V97" i="9"/>
  <c r="U97" i="9"/>
  <c r="N97" i="9"/>
  <c r="O97" i="9" s="1"/>
  <c r="AD96" i="9"/>
  <c r="AC96" i="9"/>
  <c r="AB96" i="9"/>
  <c r="AA96" i="9"/>
  <c r="Z96" i="9"/>
  <c r="Y96" i="9"/>
  <c r="X96" i="9"/>
  <c r="W96" i="9"/>
  <c r="V96" i="9"/>
  <c r="U96" i="9"/>
  <c r="N96" i="9"/>
  <c r="O96" i="9" s="1"/>
  <c r="AD95" i="9"/>
  <c r="AC95" i="9"/>
  <c r="AB95" i="9"/>
  <c r="AA95" i="9"/>
  <c r="Z95" i="9"/>
  <c r="Y95" i="9"/>
  <c r="X95" i="9"/>
  <c r="W95" i="9"/>
  <c r="V95" i="9"/>
  <c r="U95" i="9"/>
  <c r="N95" i="9"/>
  <c r="AD94" i="9"/>
  <c r="AC94" i="9"/>
  <c r="AB94" i="9"/>
  <c r="AA94" i="9"/>
  <c r="Z94" i="9"/>
  <c r="Y94" i="9"/>
  <c r="X94" i="9"/>
  <c r="W94" i="9"/>
  <c r="V94" i="9"/>
  <c r="U94" i="9"/>
  <c r="N94" i="9"/>
  <c r="O94" i="9" s="1"/>
  <c r="AD93" i="9"/>
  <c r="AC93" i="9"/>
  <c r="AB93" i="9"/>
  <c r="AA93" i="9"/>
  <c r="Z93" i="9"/>
  <c r="Y93" i="9"/>
  <c r="X93" i="9"/>
  <c r="W93" i="9"/>
  <c r="V93" i="9"/>
  <c r="U93" i="9"/>
  <c r="N93" i="9"/>
  <c r="O93" i="9" s="1"/>
  <c r="AD92" i="9"/>
  <c r="AC92" i="9"/>
  <c r="AB92" i="9"/>
  <c r="AA92" i="9"/>
  <c r="Z92" i="9"/>
  <c r="Y92" i="9"/>
  <c r="X92" i="9"/>
  <c r="W92" i="9"/>
  <c r="V92" i="9"/>
  <c r="U92" i="9"/>
  <c r="O92" i="9"/>
  <c r="AD91" i="9"/>
  <c r="AC91" i="9"/>
  <c r="AB91" i="9"/>
  <c r="AA91" i="9"/>
  <c r="Z91" i="9"/>
  <c r="Y91" i="9"/>
  <c r="X91" i="9"/>
  <c r="W91" i="9"/>
  <c r="V91" i="9"/>
  <c r="U91" i="9"/>
  <c r="N91" i="9"/>
  <c r="G34" i="11" s="1"/>
  <c r="AD90" i="9"/>
  <c r="AC90" i="9"/>
  <c r="AB90" i="9"/>
  <c r="AA90" i="9"/>
  <c r="Z90" i="9"/>
  <c r="Y90" i="9"/>
  <c r="X90" i="9"/>
  <c r="W90" i="9"/>
  <c r="V90" i="9"/>
  <c r="U90" i="9"/>
  <c r="N90" i="9"/>
  <c r="AD89" i="9"/>
  <c r="AC89" i="9"/>
  <c r="AB89" i="9"/>
  <c r="AA89" i="9"/>
  <c r="Z89" i="9"/>
  <c r="Y89" i="9"/>
  <c r="X89" i="9"/>
  <c r="W89" i="9"/>
  <c r="V89" i="9"/>
  <c r="U89" i="9"/>
  <c r="N89" i="9"/>
  <c r="G32" i="11" s="1"/>
  <c r="C89" i="9"/>
  <c r="AD88" i="9"/>
  <c r="AC88" i="9"/>
  <c r="AB88" i="9"/>
  <c r="AA88" i="9"/>
  <c r="Z88" i="9"/>
  <c r="Y88" i="9"/>
  <c r="X88" i="9"/>
  <c r="W88" i="9"/>
  <c r="V88" i="9"/>
  <c r="U88" i="9"/>
  <c r="N88" i="9"/>
  <c r="O88" i="9" s="1"/>
  <c r="C88" i="9"/>
  <c r="AD87" i="9"/>
  <c r="AC87" i="9"/>
  <c r="AB87" i="9"/>
  <c r="AA87" i="9"/>
  <c r="Z87" i="9"/>
  <c r="Y87" i="9"/>
  <c r="X87" i="9"/>
  <c r="W87" i="9"/>
  <c r="V87" i="9"/>
  <c r="U87" i="9"/>
  <c r="N87" i="9"/>
  <c r="C87" i="9"/>
  <c r="AD86" i="9"/>
  <c r="AC86" i="9"/>
  <c r="AB86" i="9"/>
  <c r="AA86" i="9"/>
  <c r="Z86" i="9"/>
  <c r="Y86" i="9"/>
  <c r="X86" i="9"/>
  <c r="W86" i="9"/>
  <c r="V86" i="9"/>
  <c r="U86" i="9"/>
  <c r="N86" i="9"/>
  <c r="G36" i="11" s="1"/>
  <c r="C85" i="9"/>
  <c r="C83" i="9"/>
  <c r="N82" i="9"/>
  <c r="O82" i="9" s="1"/>
  <c r="N81" i="9"/>
  <c r="O81" i="9" s="1"/>
  <c r="N80" i="9"/>
  <c r="O80" i="9" s="1"/>
  <c r="N79" i="9"/>
  <c r="O79" i="9" s="1"/>
  <c r="N78" i="9"/>
  <c r="O78" i="9" s="1"/>
  <c r="N72" i="9"/>
  <c r="O72" i="9" s="1"/>
  <c r="N71" i="9"/>
  <c r="O71" i="9" s="1"/>
  <c r="N70" i="9"/>
  <c r="O70" i="9" s="1"/>
  <c r="O69" i="9"/>
  <c r="N68" i="9"/>
  <c r="N62" i="11" s="1"/>
  <c r="N67" i="9"/>
  <c r="O61" i="11" s="1"/>
  <c r="N66" i="9"/>
  <c r="N60" i="11" s="1"/>
  <c r="N65" i="9"/>
  <c r="P59" i="11" s="1"/>
  <c r="N63" i="9"/>
  <c r="O63" i="9" s="1"/>
  <c r="N62" i="9"/>
  <c r="N61" i="9"/>
  <c r="N60" i="9"/>
  <c r="N58" i="9"/>
  <c r="O58" i="9" s="1"/>
  <c r="N57" i="9"/>
  <c r="O57" i="9" s="1"/>
  <c r="N56" i="9"/>
  <c r="O56" i="9" s="1"/>
  <c r="N54" i="9"/>
  <c r="N53" i="9"/>
  <c r="N52" i="9"/>
  <c r="O52" i="9" s="1"/>
  <c r="N51" i="9"/>
  <c r="N49" i="9"/>
  <c r="N48" i="9"/>
  <c r="O48" i="9" s="1"/>
  <c r="N47" i="9"/>
  <c r="O47" i="9" s="1"/>
  <c r="N46" i="9"/>
  <c r="O46" i="9" s="1"/>
  <c r="N44" i="9"/>
  <c r="O44" i="9" s="1"/>
  <c r="N43" i="9"/>
  <c r="O43" i="9" s="1"/>
  <c r="N42" i="9"/>
  <c r="O42" i="9" s="1"/>
  <c r="N41" i="9"/>
  <c r="N38" i="9"/>
  <c r="O38" i="9" s="1"/>
  <c r="N37" i="9"/>
  <c r="O37" i="9" s="1"/>
  <c r="N36" i="9"/>
  <c r="O36" i="9" s="1"/>
  <c r="N34" i="9"/>
  <c r="O34" i="9" s="1"/>
  <c r="N32" i="9"/>
  <c r="O32" i="9" s="1"/>
  <c r="N31" i="9"/>
  <c r="N30" i="9"/>
  <c r="N29" i="9"/>
  <c r="O29" i="9" s="1"/>
  <c r="N28" i="9"/>
  <c r="O28" i="9" s="1"/>
  <c r="N27" i="9"/>
  <c r="N23" i="9"/>
  <c r="O23" i="9" s="1"/>
  <c r="N22" i="9"/>
  <c r="N21" i="9"/>
  <c r="W50" i="11" s="1"/>
  <c r="N20" i="9"/>
  <c r="S12" i="11" s="1"/>
  <c r="C20" i="9"/>
  <c r="N19" i="9"/>
  <c r="O19" i="9" s="1"/>
  <c r="C19" i="9"/>
  <c r="N18" i="9"/>
  <c r="C18" i="9"/>
  <c r="N17" i="9"/>
  <c r="G24" i="11" s="1"/>
  <c r="N51" i="11" s="1"/>
  <c r="C17" i="9"/>
  <c r="N16" i="9"/>
  <c r="C16" i="9"/>
  <c r="N15" i="9"/>
  <c r="C15" i="9"/>
  <c r="N14" i="9"/>
  <c r="O14" i="9" s="1"/>
  <c r="N13" i="9"/>
  <c r="C13" i="9"/>
  <c r="N12" i="9"/>
  <c r="C12" i="9"/>
  <c r="N11" i="9"/>
  <c r="G14" i="11" s="1"/>
  <c r="C11" i="9"/>
  <c r="N10" i="9"/>
  <c r="C10" i="9"/>
  <c r="N9" i="9"/>
  <c r="C9" i="9"/>
  <c r="AD8" i="9"/>
  <c r="AC8" i="9"/>
  <c r="AB8" i="9"/>
  <c r="AA8" i="9"/>
  <c r="Z8" i="9"/>
  <c r="Y8" i="9"/>
  <c r="X8" i="9"/>
  <c r="W8" i="9"/>
  <c r="V8" i="9"/>
  <c r="U8" i="9"/>
  <c r="N8" i="9"/>
  <c r="G11" i="11" s="1"/>
  <c r="C8" i="9"/>
  <c r="C6" i="9"/>
  <c r="N30" i="8"/>
  <c r="N29" i="8"/>
  <c r="N28" i="8"/>
  <c r="N27" i="8"/>
  <c r="N26" i="8"/>
  <c r="N24" i="8"/>
  <c r="N23" i="8"/>
  <c r="N22" i="8"/>
  <c r="N21" i="8"/>
  <c r="N20" i="8"/>
  <c r="N19" i="8"/>
  <c r="N18" i="8"/>
  <c r="N17" i="8"/>
  <c r="N16" i="8"/>
  <c r="N14" i="8"/>
  <c r="N13" i="8"/>
  <c r="N12" i="8"/>
  <c r="N11" i="8"/>
  <c r="N10" i="8"/>
  <c r="N9" i="8"/>
  <c r="D46" i="7"/>
  <c r="D42" i="7"/>
  <c r="D38" i="7"/>
  <c r="K32" i="7"/>
  <c r="D43" i="7"/>
  <c r="D39" i="7"/>
  <c r="D37" i="7"/>
  <c r="D31" i="6"/>
  <c r="D16" i="6"/>
  <c r="D4" i="2"/>
  <c r="I4" i="2" s="1"/>
  <c r="N4" i="2" s="1"/>
  <c r="D3" i="2"/>
  <c r="I3" i="2" s="1"/>
  <c r="N3" i="2" s="1"/>
  <c r="F375" i="5"/>
  <c r="F374" i="5"/>
  <c r="F373" i="5"/>
  <c r="AK175" i="4" s="1"/>
  <c r="F372" i="5"/>
  <c r="AK174" i="4" s="1"/>
  <c r="F371" i="5"/>
  <c r="AK173" i="4" s="1"/>
  <c r="F368" i="5"/>
  <c r="F367" i="5"/>
  <c r="F366" i="5"/>
  <c r="F365" i="5"/>
  <c r="F364" i="5"/>
  <c r="F363" i="5"/>
  <c r="F362" i="5"/>
  <c r="F361" i="5"/>
  <c r="F360" i="5"/>
  <c r="F359" i="5"/>
  <c r="F358" i="5"/>
  <c r="F357" i="5"/>
  <c r="F356" i="5"/>
  <c r="F355" i="5"/>
  <c r="F354" i="5"/>
  <c r="F353" i="5"/>
  <c r="F350" i="5"/>
  <c r="F349" i="5"/>
  <c r="F348" i="5"/>
  <c r="F347" i="5"/>
  <c r="AK172" i="4" s="1"/>
  <c r="F346" i="5"/>
  <c r="AK171" i="4" s="1"/>
  <c r="F343" i="5"/>
  <c r="F342" i="5"/>
  <c r="F341" i="5"/>
  <c r="AK170" i="4" s="1"/>
  <c r="F340" i="5"/>
  <c r="AK169" i="4" s="1"/>
  <c r="F339" i="5"/>
  <c r="AK168" i="4" s="1"/>
  <c r="F338" i="5"/>
  <c r="AK167" i="4" s="1"/>
  <c r="F329" i="5"/>
  <c r="F328" i="5"/>
  <c r="AK149" i="4" s="1"/>
  <c r="F327" i="5"/>
  <c r="AK148" i="4" s="1"/>
  <c r="F326" i="5"/>
  <c r="AK147" i="4" s="1"/>
  <c r="F325" i="5"/>
  <c r="AK146" i="4" s="1"/>
  <c r="F324" i="5"/>
  <c r="AK145" i="4" s="1"/>
  <c r="F323" i="5"/>
  <c r="AK144" i="4" s="1"/>
  <c r="F322" i="5"/>
  <c r="AK143" i="4" s="1"/>
  <c r="F321" i="5"/>
  <c r="AK142" i="4" s="1"/>
  <c r="F320" i="5"/>
  <c r="AK141" i="4" s="1"/>
  <c r="F319" i="5"/>
  <c r="AK140" i="4" s="1"/>
  <c r="F318" i="5"/>
  <c r="AK139" i="4" s="1"/>
  <c r="F317" i="5"/>
  <c r="AK138" i="4" s="1"/>
  <c r="F316" i="5"/>
  <c r="AK137" i="4" s="1"/>
  <c r="F315" i="5"/>
  <c r="AK136" i="4" s="1"/>
  <c r="F314" i="5"/>
  <c r="AK135" i="4" s="1"/>
  <c r="F313" i="5"/>
  <c r="AK134" i="4" s="1"/>
  <c r="F312" i="5"/>
  <c r="AK133" i="4" s="1"/>
  <c r="F311" i="5"/>
  <c r="AK132" i="4" s="1"/>
  <c r="F310" i="5"/>
  <c r="AK131" i="4" s="1"/>
  <c r="F309" i="5"/>
  <c r="AK130" i="4" s="1"/>
  <c r="F308" i="5"/>
  <c r="AK129" i="4" s="1"/>
  <c r="F307" i="5"/>
  <c r="AK128" i="4" s="1"/>
  <c r="F306" i="5"/>
  <c r="AK127" i="4" s="1"/>
  <c r="F305" i="5"/>
  <c r="AK126" i="4" s="1"/>
  <c r="F304" i="5"/>
  <c r="AK125" i="4" s="1"/>
  <c r="F302" i="5"/>
  <c r="F301" i="5"/>
  <c r="F300" i="5"/>
  <c r="F299" i="5"/>
  <c r="F298" i="5"/>
  <c r="F297" i="5"/>
  <c r="F296" i="5"/>
  <c r="F295" i="5"/>
  <c r="F294" i="5"/>
  <c r="F293" i="5"/>
  <c r="F292" i="5"/>
  <c r="F291" i="5"/>
  <c r="F290" i="5"/>
  <c r="F289" i="5"/>
  <c r="F288" i="5"/>
  <c r="F287" i="5"/>
  <c r="F286" i="5"/>
  <c r="F285" i="5"/>
  <c r="F284" i="5"/>
  <c r="F283" i="5"/>
  <c r="F282" i="5"/>
  <c r="F280" i="5"/>
  <c r="F279" i="5"/>
  <c r="F278" i="5"/>
  <c r="F277" i="5"/>
  <c r="F276" i="5"/>
  <c r="F275" i="5"/>
  <c r="F274" i="5"/>
  <c r="F273" i="5"/>
  <c r="F271" i="5"/>
  <c r="B271" i="5"/>
  <c r="F270" i="5"/>
  <c r="B270" i="5"/>
  <c r="F269" i="5"/>
  <c r="B269" i="5"/>
  <c r="F267" i="5"/>
  <c r="F266" i="5"/>
  <c r="F265" i="5"/>
  <c r="F264" i="5"/>
  <c r="B264" i="5"/>
  <c r="F263" i="5"/>
  <c r="B263" i="5"/>
  <c r="F262" i="5"/>
  <c r="B262" i="5"/>
  <c r="F261" i="5"/>
  <c r="B261" i="5"/>
  <c r="F260" i="5"/>
  <c r="B260" i="5"/>
  <c r="F259" i="5"/>
  <c r="B259" i="5"/>
  <c r="F258" i="5"/>
  <c r="B258" i="5"/>
  <c r="F257" i="5"/>
  <c r="B257" i="5"/>
  <c r="F256" i="5"/>
  <c r="B256" i="5"/>
  <c r="F255" i="5"/>
  <c r="B255" i="5"/>
  <c r="F254" i="5"/>
  <c r="B254" i="5"/>
  <c r="F253" i="5"/>
  <c r="B253" i="5"/>
  <c r="F252" i="5"/>
  <c r="B252" i="5"/>
  <c r="F251" i="5"/>
  <c r="B251" i="5"/>
  <c r="F250" i="5"/>
  <c r="B250" i="5"/>
  <c r="F249" i="5"/>
  <c r="B249" i="5"/>
  <c r="F248" i="5"/>
  <c r="B248" i="5"/>
  <c r="F247" i="5"/>
  <c r="B247" i="5"/>
  <c r="B246" i="5"/>
  <c r="B245" i="5"/>
  <c r="F244" i="5"/>
  <c r="B244" i="5"/>
  <c r="F243" i="5"/>
  <c r="B243" i="5"/>
  <c r="F242" i="5"/>
  <c r="B242" i="5"/>
  <c r="F241" i="5"/>
  <c r="B241" i="5"/>
  <c r="F240" i="5"/>
  <c r="B240" i="5"/>
  <c r="F239" i="5"/>
  <c r="B239" i="5"/>
  <c r="F238" i="5"/>
  <c r="B238" i="5"/>
  <c r="B237" i="5"/>
  <c r="F236" i="5"/>
  <c r="B236" i="5"/>
  <c r="F235" i="5"/>
  <c r="B235" i="5"/>
  <c r="F234" i="5"/>
  <c r="B234" i="5"/>
  <c r="F233" i="5"/>
  <c r="B233" i="5"/>
  <c r="F232" i="5"/>
  <c r="B232" i="5"/>
  <c r="B231" i="5"/>
  <c r="B230" i="5"/>
  <c r="B229" i="5"/>
  <c r="B228" i="5"/>
  <c r="F227" i="5"/>
  <c r="B227" i="5"/>
  <c r="F226" i="5"/>
  <c r="B226" i="5"/>
  <c r="F225" i="5"/>
  <c r="B225" i="5"/>
  <c r="F224" i="5"/>
  <c r="B224" i="5"/>
  <c r="F223" i="5"/>
  <c r="B223" i="5"/>
  <c r="F222" i="5"/>
  <c r="B222" i="5"/>
  <c r="F221" i="5"/>
  <c r="B221" i="5"/>
  <c r="F220" i="5"/>
  <c r="B220" i="5"/>
  <c r="F219" i="5"/>
  <c r="B219" i="5"/>
  <c r="F218" i="5"/>
  <c r="B218" i="5"/>
  <c r="F217" i="5"/>
  <c r="F228" i="5" s="1"/>
  <c r="B217" i="5"/>
  <c r="B216" i="5"/>
  <c r="F215" i="5"/>
  <c r="B215" i="5"/>
  <c r="F214" i="5"/>
  <c r="B214" i="5"/>
  <c r="F213" i="5"/>
  <c r="B213" i="5"/>
  <c r="F212" i="5"/>
  <c r="B212" i="5"/>
  <c r="F211" i="5"/>
  <c r="B211" i="5"/>
  <c r="F210" i="5"/>
  <c r="B210" i="5"/>
  <c r="F209" i="5"/>
  <c r="B209" i="5"/>
  <c r="F208" i="5"/>
  <c r="B208" i="5"/>
  <c r="F207" i="5"/>
  <c r="B207" i="5"/>
  <c r="F206" i="5"/>
  <c r="F216" i="5" s="1"/>
  <c r="B206" i="5"/>
  <c r="B205" i="5"/>
  <c r="F204" i="5"/>
  <c r="B204" i="5"/>
  <c r="F203" i="5"/>
  <c r="B203" i="5"/>
  <c r="F202" i="5"/>
  <c r="B202" i="5"/>
  <c r="F201" i="5"/>
  <c r="B201" i="5"/>
  <c r="F200" i="5"/>
  <c r="B200" i="5"/>
  <c r="F199" i="5"/>
  <c r="B199" i="5"/>
  <c r="F198" i="5"/>
  <c r="B198" i="5"/>
  <c r="F197" i="5"/>
  <c r="B197" i="5"/>
  <c r="F196" i="5"/>
  <c r="B196" i="5"/>
  <c r="F195" i="5"/>
  <c r="F205" i="5" s="1"/>
  <c r="B195" i="5"/>
  <c r="F194" i="5"/>
  <c r="B194" i="5"/>
  <c r="B193" i="5"/>
  <c r="F192" i="5"/>
  <c r="B192" i="5"/>
  <c r="F191" i="5"/>
  <c r="B191" i="5"/>
  <c r="F190" i="5"/>
  <c r="B190" i="5"/>
  <c r="F189" i="5"/>
  <c r="B189" i="5"/>
  <c r="F188" i="5"/>
  <c r="B188" i="5"/>
  <c r="F187" i="5"/>
  <c r="B187" i="5"/>
  <c r="F186" i="5"/>
  <c r="B186" i="5"/>
  <c r="F185" i="5"/>
  <c r="B185" i="5"/>
  <c r="F184" i="5"/>
  <c r="B184" i="5"/>
  <c r="F183" i="5"/>
  <c r="F193" i="5" s="1"/>
  <c r="B183" i="5"/>
  <c r="F182" i="5"/>
  <c r="B182" i="5"/>
  <c r="B181" i="5"/>
  <c r="F180" i="5"/>
  <c r="B180" i="5"/>
  <c r="F179" i="5"/>
  <c r="B179" i="5"/>
  <c r="F178" i="5"/>
  <c r="B178" i="5"/>
  <c r="F177" i="5"/>
  <c r="B177" i="5"/>
  <c r="F176" i="5"/>
  <c r="B176" i="5"/>
  <c r="F175" i="5"/>
  <c r="B175" i="5"/>
  <c r="F174" i="5"/>
  <c r="B174" i="5"/>
  <c r="F173" i="5"/>
  <c r="B173" i="5"/>
  <c r="F172" i="5"/>
  <c r="B172" i="5"/>
  <c r="F171" i="5"/>
  <c r="B171" i="5"/>
  <c r="F170" i="5"/>
  <c r="B170" i="5"/>
  <c r="F169" i="5"/>
  <c r="F181" i="5" s="1"/>
  <c r="B169" i="5"/>
  <c r="B168" i="5"/>
  <c r="F167" i="5"/>
  <c r="B167" i="5"/>
  <c r="F166" i="5"/>
  <c r="B166" i="5"/>
  <c r="F165" i="5"/>
  <c r="B165" i="5"/>
  <c r="F164" i="5"/>
  <c r="B164" i="5"/>
  <c r="F163" i="5"/>
  <c r="B163" i="5"/>
  <c r="F162" i="5"/>
  <c r="B162" i="5"/>
  <c r="F161" i="5"/>
  <c r="B161" i="5"/>
  <c r="F160" i="5"/>
  <c r="B160" i="5"/>
  <c r="F159" i="5"/>
  <c r="B159" i="5"/>
  <c r="F158" i="5"/>
  <c r="B158" i="5"/>
  <c r="F157" i="5"/>
  <c r="B157" i="5"/>
  <c r="F156" i="5"/>
  <c r="B156" i="5"/>
  <c r="F155" i="5"/>
  <c r="B155" i="5"/>
  <c r="F154" i="5"/>
  <c r="B154" i="5"/>
  <c r="F153" i="5"/>
  <c r="B153" i="5"/>
  <c r="F152" i="5"/>
  <c r="B152" i="5"/>
  <c r="F151" i="5"/>
  <c r="B151" i="5"/>
  <c r="F150" i="5"/>
  <c r="F168" i="5" s="1"/>
  <c r="B150" i="5"/>
  <c r="F147" i="5"/>
  <c r="AK122" i="4" s="1"/>
  <c r="F146" i="5"/>
  <c r="AK121" i="4" s="1"/>
  <c r="F142" i="5"/>
  <c r="AK119" i="4" s="1"/>
  <c r="F141" i="5"/>
  <c r="AK118" i="4" s="1"/>
  <c r="F140" i="5"/>
  <c r="AK117" i="4" s="1"/>
  <c r="F139" i="5"/>
  <c r="AK116" i="4" s="1"/>
  <c r="F138" i="5"/>
  <c r="AK115" i="4" s="1"/>
  <c r="F137" i="5"/>
  <c r="AK114" i="4" s="1"/>
  <c r="F136" i="5"/>
  <c r="AK113" i="4" s="1"/>
  <c r="F135" i="5"/>
  <c r="AK112" i="4" s="1"/>
  <c r="F134" i="5"/>
  <c r="AK111" i="4" s="1"/>
  <c r="F133" i="5"/>
  <c r="AK110" i="4" s="1"/>
  <c r="F132" i="5"/>
  <c r="AK109" i="4" s="1"/>
  <c r="F131" i="5"/>
  <c r="AK108" i="4" s="1"/>
  <c r="F130" i="5"/>
  <c r="AK107" i="4" s="1"/>
  <c r="F129" i="5"/>
  <c r="AK106" i="4" s="1"/>
  <c r="F128" i="5"/>
  <c r="AK105" i="4" s="1"/>
  <c r="F127" i="5"/>
  <c r="AK104" i="4" s="1"/>
  <c r="F126" i="5"/>
  <c r="AK103" i="4" s="1"/>
  <c r="F125" i="5"/>
  <c r="AK102" i="4" s="1"/>
  <c r="F124" i="5"/>
  <c r="AK101" i="4" s="1"/>
  <c r="F123" i="5"/>
  <c r="AK100" i="4" s="1"/>
  <c r="F122" i="5"/>
  <c r="AK99" i="4" s="1"/>
  <c r="F121" i="5"/>
  <c r="AK98" i="4" s="1"/>
  <c r="F120" i="5"/>
  <c r="AK97" i="4" s="1"/>
  <c r="F119" i="5"/>
  <c r="AK96" i="4" s="1"/>
  <c r="F118" i="5"/>
  <c r="AK95" i="4" s="1"/>
  <c r="F117" i="5"/>
  <c r="AK94" i="4" s="1"/>
  <c r="F116" i="5"/>
  <c r="AK93" i="4" s="1"/>
  <c r="F115" i="5"/>
  <c r="AK92" i="4" s="1"/>
  <c r="F114" i="5"/>
  <c r="AK91" i="4" s="1"/>
  <c r="F113" i="5"/>
  <c r="AK90" i="4" s="1"/>
  <c r="F112" i="5"/>
  <c r="AK89" i="4" s="1"/>
  <c r="F111" i="5"/>
  <c r="AK88" i="4" s="1"/>
  <c r="F110" i="5"/>
  <c r="AK87" i="4" s="1"/>
  <c r="F109" i="5"/>
  <c r="AK86" i="4" s="1"/>
  <c r="F106" i="5"/>
  <c r="AK73" i="4" s="1"/>
  <c r="F105" i="5"/>
  <c r="AK72" i="4" s="1"/>
  <c r="F104" i="5"/>
  <c r="AK71" i="4" s="1"/>
  <c r="F103" i="5"/>
  <c r="AK70" i="4" s="1"/>
  <c r="F102" i="5"/>
  <c r="AK69" i="4" s="1"/>
  <c r="F101" i="5"/>
  <c r="AK68" i="4" s="1"/>
  <c r="F100" i="5"/>
  <c r="AK67" i="4" s="1"/>
  <c r="F99" i="5"/>
  <c r="AK66" i="4" s="1"/>
  <c r="F98" i="5"/>
  <c r="AK65" i="4" s="1"/>
  <c r="F97" i="5"/>
  <c r="AK64" i="4" s="1"/>
  <c r="F96" i="5"/>
  <c r="AK63" i="4" s="1"/>
  <c r="F95" i="5"/>
  <c r="AK62" i="4" s="1"/>
  <c r="F94" i="5"/>
  <c r="AK61" i="4" s="1"/>
  <c r="F93" i="5"/>
  <c r="AK60" i="4" s="1"/>
  <c r="F92" i="5"/>
  <c r="AK59" i="4" s="1"/>
  <c r="F91" i="5"/>
  <c r="AK58" i="4" s="1"/>
  <c r="F90" i="5"/>
  <c r="AK57" i="4" s="1"/>
  <c r="F89" i="5"/>
  <c r="AK56" i="4" s="1"/>
  <c r="F88" i="5"/>
  <c r="AK55" i="4" s="1"/>
  <c r="F87" i="5"/>
  <c r="AK54" i="4" s="1"/>
  <c r="F86" i="5"/>
  <c r="AK53" i="4" s="1"/>
  <c r="F85" i="5"/>
  <c r="AK52" i="4" s="1"/>
  <c r="F84" i="5"/>
  <c r="AK51" i="4" s="1"/>
  <c r="F83" i="5"/>
  <c r="AK50" i="4" s="1"/>
  <c r="F82" i="5"/>
  <c r="AK49" i="4" s="1"/>
  <c r="F81" i="5"/>
  <c r="AK48" i="4" s="1"/>
  <c r="F80" i="5"/>
  <c r="AK47" i="4" s="1"/>
  <c r="F79" i="5"/>
  <c r="AK46" i="4" s="1"/>
  <c r="F78" i="5"/>
  <c r="AK45" i="4" s="1"/>
  <c r="F77" i="5"/>
  <c r="AK44" i="4" s="1"/>
  <c r="F76" i="5"/>
  <c r="AK43" i="4" s="1"/>
  <c r="F68" i="5"/>
  <c r="F67" i="5"/>
  <c r="F66" i="5"/>
  <c r="F65" i="5"/>
  <c r="F64" i="5"/>
  <c r="F63" i="5"/>
  <c r="F62" i="5"/>
  <c r="F61" i="5"/>
  <c r="F60" i="5"/>
  <c r="F59" i="5"/>
  <c r="AK40" i="4" s="1"/>
  <c r="F58" i="5"/>
  <c r="AK39" i="4" s="1"/>
  <c r="F57" i="5"/>
  <c r="AK38" i="4" s="1"/>
  <c r="F53" i="5"/>
  <c r="F52" i="5"/>
  <c r="F51" i="5"/>
  <c r="F50" i="5"/>
  <c r="F49" i="5"/>
  <c r="F48" i="5"/>
  <c r="F47" i="5"/>
  <c r="F46" i="5"/>
  <c r="F45" i="5"/>
  <c r="F44" i="5"/>
  <c r="F43" i="5"/>
  <c r="F42" i="5"/>
  <c r="F41" i="5"/>
  <c r="F40" i="5"/>
  <c r="F38" i="5"/>
  <c r="AK35" i="4" s="1"/>
  <c r="F37" i="5"/>
  <c r="AK34" i="4" s="1"/>
  <c r="F36" i="5"/>
  <c r="AK33" i="4" s="1"/>
  <c r="F35" i="5"/>
  <c r="AK32" i="4" s="1"/>
  <c r="F34" i="5"/>
  <c r="AK31" i="4" s="1"/>
  <c r="F33" i="5"/>
  <c r="AK30" i="4" s="1"/>
  <c r="F31" i="5"/>
  <c r="AK28" i="4" s="1"/>
  <c r="F30" i="5"/>
  <c r="AK27" i="4" s="1"/>
  <c r="F29" i="5"/>
  <c r="AK26" i="4" s="1"/>
  <c r="F28" i="5"/>
  <c r="AK25" i="4" s="1"/>
  <c r="F27" i="5"/>
  <c r="AK24" i="4" s="1"/>
  <c r="F24" i="5"/>
  <c r="AK23" i="4" s="1"/>
  <c r="F23" i="5"/>
  <c r="AK22" i="4" s="1"/>
  <c r="F22" i="5"/>
  <c r="AK21" i="4" s="1"/>
  <c r="F21" i="5"/>
  <c r="AK20" i="4" s="1"/>
  <c r="F20" i="5"/>
  <c r="AK19" i="4" s="1"/>
  <c r="F19" i="5"/>
  <c r="AK18" i="4" s="1"/>
  <c r="F18" i="5"/>
  <c r="AK17" i="4" s="1"/>
  <c r="F17" i="5"/>
  <c r="AK16" i="4" s="1"/>
  <c r="F15" i="5"/>
  <c r="AK14" i="4" s="1"/>
  <c r="F14" i="5"/>
  <c r="AK13" i="4" s="1"/>
  <c r="F13" i="5"/>
  <c r="AK12" i="4" s="1"/>
  <c r="F12" i="5"/>
  <c r="AK11" i="4" s="1"/>
  <c r="F11" i="5"/>
  <c r="AG215" i="4"/>
  <c r="AE215" i="4"/>
  <c r="AC215" i="4"/>
  <c r="AA215" i="4"/>
  <c r="Y215" i="4"/>
  <c r="W215" i="4"/>
  <c r="U215" i="4"/>
  <c r="S215" i="4"/>
  <c r="Q215" i="4"/>
  <c r="O215" i="4"/>
  <c r="M215" i="4"/>
  <c r="K215" i="4"/>
  <c r="I215" i="4"/>
  <c r="G215" i="4"/>
  <c r="AI214" i="4"/>
  <c r="AI213" i="4"/>
  <c r="AI212" i="4"/>
  <c r="AI211" i="4"/>
  <c r="AI210" i="4"/>
  <c r="AI215" i="4" s="1"/>
  <c r="AM209" i="4"/>
  <c r="AK209" i="4"/>
  <c r="AG209" i="4"/>
  <c r="AC209" i="4"/>
  <c r="AA209" i="4"/>
  <c r="Y209" i="4"/>
  <c r="W209" i="4"/>
  <c r="U209" i="4"/>
  <c r="S209" i="4"/>
  <c r="Q209" i="4"/>
  <c r="O209" i="4"/>
  <c r="M209" i="4"/>
  <c r="K209" i="4"/>
  <c r="I209" i="4"/>
  <c r="G209" i="4"/>
  <c r="AI208" i="4"/>
  <c r="AI207" i="4"/>
  <c r="AI206" i="4"/>
  <c r="AI209" i="4" s="1"/>
  <c r="AG205" i="4"/>
  <c r="AC205" i="4"/>
  <c r="Y205" i="4"/>
  <c r="W205" i="4"/>
  <c r="U205" i="4"/>
  <c r="S205" i="4"/>
  <c r="Q205" i="4"/>
  <c r="O205" i="4"/>
  <c r="M205" i="4"/>
  <c r="K205" i="4"/>
  <c r="I205" i="4"/>
  <c r="G205" i="4"/>
  <c r="E205" i="4"/>
  <c r="AJ204" i="4"/>
  <c r="AN204" i="4" s="1"/>
  <c r="AI204" i="4"/>
  <c r="AM204" i="4" s="1"/>
  <c r="AJ203" i="4"/>
  <c r="AN203" i="4" s="1"/>
  <c r="AI203" i="4"/>
  <c r="AM203" i="4" s="1"/>
  <c r="AJ202" i="4"/>
  <c r="AN202" i="4" s="1"/>
  <c r="AI202" i="4"/>
  <c r="AM202" i="4" s="1"/>
  <c r="AJ201" i="4"/>
  <c r="AN201" i="4" s="1"/>
  <c r="AI201" i="4"/>
  <c r="AM201" i="4" s="1"/>
  <c r="AJ200" i="4"/>
  <c r="AN200" i="4" s="1"/>
  <c r="AI200" i="4"/>
  <c r="AM200" i="4" s="1"/>
  <c r="AJ199" i="4"/>
  <c r="AN199" i="4" s="1"/>
  <c r="AI199" i="4"/>
  <c r="AM199" i="4" s="1"/>
  <c r="AJ198" i="4"/>
  <c r="AN198" i="4" s="1"/>
  <c r="AI198" i="4"/>
  <c r="AM198" i="4" s="1"/>
  <c r="AJ197" i="4"/>
  <c r="AN197" i="4" s="1"/>
  <c r="AI197" i="4"/>
  <c r="AM197" i="4" s="1"/>
  <c r="AJ196" i="4"/>
  <c r="AN196" i="4" s="1"/>
  <c r="AI196" i="4"/>
  <c r="AM196" i="4" s="1"/>
  <c r="AJ195" i="4"/>
  <c r="AN195" i="4" s="1"/>
  <c r="AI195" i="4"/>
  <c r="AM195" i="4" s="1"/>
  <c r="AJ194" i="4"/>
  <c r="AN194" i="4" s="1"/>
  <c r="AI194" i="4"/>
  <c r="AM194" i="4" s="1"/>
  <c r="AJ193" i="4"/>
  <c r="AN193" i="4" s="1"/>
  <c r="AI193" i="4"/>
  <c r="AM193" i="4" s="1"/>
  <c r="AJ192" i="4"/>
  <c r="AN192" i="4" s="1"/>
  <c r="AI192" i="4"/>
  <c r="AM192" i="4" s="1"/>
  <c r="AJ191" i="4"/>
  <c r="AN191" i="4" s="1"/>
  <c r="AI191" i="4"/>
  <c r="AM191" i="4" s="1"/>
  <c r="AJ190" i="4"/>
  <c r="AN190" i="4" s="1"/>
  <c r="AI190" i="4"/>
  <c r="AM190" i="4" s="1"/>
  <c r="AJ189" i="4"/>
  <c r="AN189" i="4" s="1"/>
  <c r="AI189" i="4"/>
  <c r="AM189" i="4" s="1"/>
  <c r="AJ188" i="4"/>
  <c r="AN188" i="4" s="1"/>
  <c r="AI188" i="4"/>
  <c r="AM188" i="4" s="1"/>
  <c r="AJ187" i="4"/>
  <c r="AN187" i="4" s="1"/>
  <c r="AI187" i="4"/>
  <c r="AM187" i="4" s="1"/>
  <c r="AJ186" i="4"/>
  <c r="AN186" i="4" s="1"/>
  <c r="AI186" i="4"/>
  <c r="AM186" i="4" s="1"/>
  <c r="AJ185" i="4"/>
  <c r="AN185" i="4" s="1"/>
  <c r="AI185" i="4"/>
  <c r="AM185" i="4" s="1"/>
  <c r="AJ184" i="4"/>
  <c r="AN184" i="4" s="1"/>
  <c r="AI184" i="4"/>
  <c r="AM184" i="4" s="1"/>
  <c r="AJ183" i="4"/>
  <c r="AN183" i="4" s="1"/>
  <c r="AJ182" i="4"/>
  <c r="AN182" i="4" s="1"/>
  <c r="AI182" i="4"/>
  <c r="AM182" i="4" s="1"/>
  <c r="AJ181" i="4"/>
  <c r="AN181" i="4" s="1"/>
  <c r="AI181" i="4"/>
  <c r="AM181" i="4" s="1"/>
  <c r="AJ180" i="4"/>
  <c r="AN180" i="4" s="1"/>
  <c r="AI180" i="4"/>
  <c r="AM180" i="4" s="1"/>
  <c r="AJ179" i="4"/>
  <c r="AN179" i="4" s="1"/>
  <c r="AI179" i="4"/>
  <c r="AM179" i="4" s="1"/>
  <c r="AJ178" i="4"/>
  <c r="AN178" i="4" s="1"/>
  <c r="AI178" i="4"/>
  <c r="AM178" i="4" s="1"/>
  <c r="AJ177" i="4"/>
  <c r="AN177" i="4" s="1"/>
  <c r="AI177" i="4"/>
  <c r="AM177" i="4" s="1"/>
  <c r="AJ176" i="4"/>
  <c r="AN176" i="4" s="1"/>
  <c r="AI176" i="4"/>
  <c r="AJ175" i="4"/>
  <c r="AN175" i="4" s="1"/>
  <c r="AJ174" i="4"/>
  <c r="AI174" i="4"/>
  <c r="AJ173" i="4"/>
  <c r="AI173" i="4"/>
  <c r="AJ172" i="4"/>
  <c r="AI172" i="4"/>
  <c r="AJ171" i="4"/>
  <c r="AN171" i="4" s="1"/>
  <c r="AI171" i="4"/>
  <c r="AJ170" i="4"/>
  <c r="AI170" i="4"/>
  <c r="AJ169" i="4"/>
  <c r="AN169" i="4" s="1"/>
  <c r="AI169" i="4"/>
  <c r="AJ168" i="4"/>
  <c r="AN168" i="4" s="1"/>
  <c r="AI168" i="4"/>
  <c r="AJ167" i="4"/>
  <c r="AN167" i="4" s="1"/>
  <c r="AI167" i="4"/>
  <c r="AA165" i="4"/>
  <c r="Y165" i="4"/>
  <c r="W165" i="4"/>
  <c r="U165" i="4"/>
  <c r="S165" i="4"/>
  <c r="Q165" i="4"/>
  <c r="O165" i="4"/>
  <c r="M165" i="4"/>
  <c r="K165" i="4"/>
  <c r="I165" i="4"/>
  <c r="AA163" i="4"/>
  <c r="Y163" i="4"/>
  <c r="W163" i="4"/>
  <c r="U163" i="4"/>
  <c r="S163" i="4"/>
  <c r="Q163" i="4"/>
  <c r="O163" i="4"/>
  <c r="M163" i="4"/>
  <c r="K163" i="4"/>
  <c r="I163" i="4"/>
  <c r="AA156" i="4"/>
  <c r="Y156" i="4"/>
  <c r="W156" i="4"/>
  <c r="U156" i="4"/>
  <c r="S156" i="4"/>
  <c r="Q156" i="4"/>
  <c r="O156" i="4"/>
  <c r="M156" i="4"/>
  <c r="K156" i="4"/>
  <c r="I156" i="4"/>
  <c r="G156" i="4"/>
  <c r="AA155" i="4"/>
  <c r="Y155" i="4"/>
  <c r="W155" i="4"/>
  <c r="U155" i="4"/>
  <c r="S155" i="4"/>
  <c r="Q155" i="4"/>
  <c r="O155" i="4"/>
  <c r="M155" i="4"/>
  <c r="K155" i="4"/>
  <c r="I155" i="4"/>
  <c r="G155" i="4"/>
  <c r="AA151" i="4"/>
  <c r="Y151" i="4"/>
  <c r="W151" i="4"/>
  <c r="U151" i="4"/>
  <c r="S151" i="4"/>
  <c r="Q151" i="4"/>
  <c r="O151" i="4"/>
  <c r="M151" i="4"/>
  <c r="K151" i="4"/>
  <c r="I151" i="4"/>
  <c r="G151" i="4"/>
  <c r="E151" i="4"/>
  <c r="E74" i="11"/>
  <c r="AJ150" i="4"/>
  <c r="D74" i="11" s="1"/>
  <c r="AI150" i="4"/>
  <c r="AM150" i="4" s="1"/>
  <c r="E73" i="11"/>
  <c r="AJ149" i="4"/>
  <c r="D73" i="11" s="1"/>
  <c r="AI149" i="4"/>
  <c r="AJ148" i="4"/>
  <c r="AN148" i="4" s="1"/>
  <c r="AI148" i="4"/>
  <c r="AM148" i="4" s="1"/>
  <c r="AO148" i="4" s="1"/>
  <c r="E71" i="11"/>
  <c r="AJ147" i="4"/>
  <c r="AN147" i="4" s="1"/>
  <c r="AI147" i="4"/>
  <c r="AM147" i="4" s="1"/>
  <c r="AO147" i="4" s="1"/>
  <c r="E70" i="11"/>
  <c r="AJ146" i="4"/>
  <c r="D70" i="11" s="1"/>
  <c r="AI146" i="4"/>
  <c r="E69" i="11"/>
  <c r="AJ145" i="4"/>
  <c r="D69" i="11" s="1"/>
  <c r="AI145" i="4"/>
  <c r="AJ144" i="4"/>
  <c r="AN144" i="4" s="1"/>
  <c r="AI144" i="4"/>
  <c r="E67" i="11"/>
  <c r="AJ143" i="4"/>
  <c r="AN143" i="4" s="1"/>
  <c r="E66" i="11"/>
  <c r="AJ142" i="4"/>
  <c r="D66" i="11" s="1"/>
  <c r="AI142" i="4"/>
  <c r="E65" i="11"/>
  <c r="AJ141" i="4"/>
  <c r="D65" i="11" s="1"/>
  <c r="AI141" i="4"/>
  <c r="AJ140" i="4"/>
  <c r="AN140" i="4" s="1"/>
  <c r="AI140" i="4"/>
  <c r="AJ139" i="4"/>
  <c r="AN139" i="4" s="1"/>
  <c r="AI139" i="4"/>
  <c r="E62" i="11"/>
  <c r="AJ138" i="4"/>
  <c r="D62" i="11" s="1"/>
  <c r="AI138" i="4"/>
  <c r="E61" i="11"/>
  <c r="AJ137" i="4"/>
  <c r="D61" i="11" s="1"/>
  <c r="AI137" i="4"/>
  <c r="E60" i="11"/>
  <c r="AJ136" i="4"/>
  <c r="AN136" i="4" s="1"/>
  <c r="AI136" i="4"/>
  <c r="AJ135" i="4"/>
  <c r="AN135" i="4" s="1"/>
  <c r="AI135" i="4"/>
  <c r="E58" i="11"/>
  <c r="AJ134" i="4"/>
  <c r="D58" i="11" s="1"/>
  <c r="E57" i="11"/>
  <c r="AJ133" i="4"/>
  <c r="D57" i="11" s="1"/>
  <c r="AI133" i="4"/>
  <c r="E56" i="11"/>
  <c r="AJ132" i="4"/>
  <c r="AN132" i="4" s="1"/>
  <c r="AI132" i="4"/>
  <c r="AJ131" i="4"/>
  <c r="AN131" i="4" s="1"/>
  <c r="AI131" i="4"/>
  <c r="E54" i="11"/>
  <c r="AJ130" i="4"/>
  <c r="D54" i="11" s="1"/>
  <c r="AI130" i="4"/>
  <c r="E53" i="11"/>
  <c r="AJ129" i="4"/>
  <c r="D53" i="11" s="1"/>
  <c r="AI129" i="4"/>
  <c r="E52" i="11"/>
  <c r="AJ128" i="4"/>
  <c r="AN128" i="4" s="1"/>
  <c r="AI128" i="4"/>
  <c r="AJ127" i="4"/>
  <c r="AN127" i="4" s="1"/>
  <c r="AI127" i="4"/>
  <c r="AJ126" i="4"/>
  <c r="AI126" i="4"/>
  <c r="AH125" i="4"/>
  <c r="AJ125" i="4" s="1"/>
  <c r="AG125" i="4"/>
  <c r="AG151" i="4" s="1"/>
  <c r="AJ124" i="4"/>
  <c r="AN124" i="4" s="1"/>
  <c r="AJ123" i="4"/>
  <c r="AN123" i="4" s="1"/>
  <c r="AJ122" i="4"/>
  <c r="AI122" i="4"/>
  <c r="AJ121" i="4"/>
  <c r="D47" i="11" s="1"/>
  <c r="AI121" i="4"/>
  <c r="AG120" i="4"/>
  <c r="AC120" i="4"/>
  <c r="AJ119" i="4"/>
  <c r="AN119" i="4" s="1"/>
  <c r="AI119" i="4"/>
  <c r="AJ118" i="4"/>
  <c r="AN118" i="4" s="1"/>
  <c r="AI118" i="4"/>
  <c r="AJ117" i="4"/>
  <c r="AN117" i="4" s="1"/>
  <c r="AI117" i="4"/>
  <c r="AJ116" i="4"/>
  <c r="AN116" i="4" s="1"/>
  <c r="AI116" i="4"/>
  <c r="AJ115" i="4"/>
  <c r="AN115" i="4" s="1"/>
  <c r="AI115" i="4"/>
  <c r="AJ114" i="4"/>
  <c r="AN114" i="4" s="1"/>
  <c r="AI114" i="4"/>
  <c r="AJ113" i="4"/>
  <c r="AN113" i="4" s="1"/>
  <c r="AI113" i="4"/>
  <c r="AJ112" i="4"/>
  <c r="AI112" i="4"/>
  <c r="AJ111" i="4"/>
  <c r="AN111" i="4" s="1"/>
  <c r="AI111" i="4"/>
  <c r="AO110" i="4"/>
  <c r="AJ110" i="4"/>
  <c r="AI110" i="4"/>
  <c r="AJ109" i="4"/>
  <c r="AI109" i="4"/>
  <c r="AJ108" i="4"/>
  <c r="AI108" i="4"/>
  <c r="AJ107" i="4"/>
  <c r="AN107" i="4" s="1"/>
  <c r="AI107" i="4"/>
  <c r="AJ106" i="4"/>
  <c r="AN106" i="4" s="1"/>
  <c r="AI106" i="4"/>
  <c r="AJ105" i="4"/>
  <c r="AI105" i="4"/>
  <c r="AJ104" i="4"/>
  <c r="AI104" i="4"/>
  <c r="AJ103" i="4"/>
  <c r="AN103" i="4" s="1"/>
  <c r="AJ102" i="4"/>
  <c r="AJ101" i="4"/>
  <c r="AN101" i="4" s="1"/>
  <c r="AJ100" i="4"/>
  <c r="AI100" i="4"/>
  <c r="AJ99" i="4"/>
  <c r="AN99" i="4" s="1"/>
  <c r="AI99" i="4"/>
  <c r="AJ98" i="4"/>
  <c r="AN98" i="4" s="1"/>
  <c r="AJ97" i="4"/>
  <c r="AN97" i="4" s="1"/>
  <c r="AI97" i="4"/>
  <c r="AJ96" i="4"/>
  <c r="AI96" i="4"/>
  <c r="AJ95" i="4"/>
  <c r="AN95" i="4" s="1"/>
  <c r="AI95" i="4"/>
  <c r="AJ94" i="4"/>
  <c r="AJ93" i="4"/>
  <c r="AI93" i="4"/>
  <c r="AJ92" i="4"/>
  <c r="AI92" i="4"/>
  <c r="AJ91" i="4"/>
  <c r="AN91" i="4" s="1"/>
  <c r="AI91" i="4"/>
  <c r="AJ90" i="4"/>
  <c r="AN90" i="4" s="1"/>
  <c r="AI90" i="4"/>
  <c r="AJ89" i="4"/>
  <c r="AJ88" i="4"/>
  <c r="AN88" i="4" s="1"/>
  <c r="AJ87" i="4"/>
  <c r="AN87" i="4" s="1"/>
  <c r="AI87" i="4"/>
  <c r="AJ86" i="4"/>
  <c r="AI86" i="4"/>
  <c r="AA84" i="4"/>
  <c r="Y84" i="4"/>
  <c r="W84" i="4"/>
  <c r="U84" i="4"/>
  <c r="S84" i="4"/>
  <c r="Q84" i="4"/>
  <c r="O84" i="4"/>
  <c r="M84" i="4"/>
  <c r="K84" i="4"/>
  <c r="I84" i="4"/>
  <c r="AA82" i="4"/>
  <c r="Y82" i="4"/>
  <c r="W82" i="4"/>
  <c r="U82" i="4"/>
  <c r="S82" i="4"/>
  <c r="Q82" i="4"/>
  <c r="O82" i="4"/>
  <c r="M82" i="4"/>
  <c r="K82" i="4"/>
  <c r="I82" i="4"/>
  <c r="AE74" i="4"/>
  <c r="AA74" i="4"/>
  <c r="AA152" i="4" s="1"/>
  <c r="Y74" i="4"/>
  <c r="W74" i="4"/>
  <c r="W152" i="4" s="1"/>
  <c r="U74" i="4"/>
  <c r="S74" i="4"/>
  <c r="Q74" i="4"/>
  <c r="O74" i="4"/>
  <c r="M74" i="4"/>
  <c r="K74" i="4"/>
  <c r="I74" i="4"/>
  <c r="G74" i="4"/>
  <c r="E74" i="4"/>
  <c r="AJ73" i="4"/>
  <c r="AN73" i="4" s="1"/>
  <c r="AI73" i="4"/>
  <c r="AJ72" i="4"/>
  <c r="AN72" i="4" s="1"/>
  <c r="AI72" i="4"/>
  <c r="AJ71" i="4"/>
  <c r="AI71" i="4"/>
  <c r="AJ70" i="4"/>
  <c r="AN70" i="4" s="1"/>
  <c r="AI70" i="4"/>
  <c r="AJ69" i="4"/>
  <c r="AN69" i="4" s="1"/>
  <c r="AI69" i="4"/>
  <c r="AJ68" i="4"/>
  <c r="AN68" i="4" s="1"/>
  <c r="AI68" i="4"/>
  <c r="AJ67" i="4"/>
  <c r="AI67" i="4"/>
  <c r="AJ66" i="4"/>
  <c r="AN66" i="4" s="1"/>
  <c r="AI66" i="4"/>
  <c r="AJ65" i="4"/>
  <c r="AN65" i="4" s="1"/>
  <c r="AI65" i="4"/>
  <c r="AJ64" i="4"/>
  <c r="AN64" i="4" s="1"/>
  <c r="AI64" i="4"/>
  <c r="AJ63" i="4"/>
  <c r="AN63" i="4" s="1"/>
  <c r="AI63" i="4"/>
  <c r="AJ62" i="4"/>
  <c r="AN62" i="4" s="1"/>
  <c r="AI62" i="4"/>
  <c r="AJ61" i="4"/>
  <c r="AN61" i="4" s="1"/>
  <c r="AI61" i="4"/>
  <c r="AJ60" i="4"/>
  <c r="AN60" i="4" s="1"/>
  <c r="AI60" i="4"/>
  <c r="AJ59" i="4"/>
  <c r="AI59" i="4"/>
  <c r="AN58" i="4"/>
  <c r="AJ58" i="4"/>
  <c r="D46" i="11" s="1"/>
  <c r="F46" i="11" s="1"/>
  <c r="I46" i="11" s="1"/>
  <c r="AI58" i="4"/>
  <c r="AJ57" i="4"/>
  <c r="AN57" i="4" s="1"/>
  <c r="AI57" i="4"/>
  <c r="AJ56" i="4"/>
  <c r="D44" i="11" s="1"/>
  <c r="F44" i="11" s="1"/>
  <c r="I44" i="11" s="1"/>
  <c r="AI56" i="4"/>
  <c r="AJ55" i="4"/>
  <c r="AN55" i="4" s="1"/>
  <c r="AI55" i="4"/>
  <c r="AJ54" i="4"/>
  <c r="AI54" i="4"/>
  <c r="AJ53" i="4"/>
  <c r="AN53" i="4" s="1"/>
  <c r="AI53" i="4"/>
  <c r="AJ52" i="4"/>
  <c r="D40" i="11" s="1"/>
  <c r="AI52" i="4"/>
  <c r="AJ51" i="4"/>
  <c r="D39" i="11" s="1"/>
  <c r="AI51" i="4"/>
  <c r="AJ50" i="4"/>
  <c r="AI50" i="4"/>
  <c r="AJ49" i="4"/>
  <c r="AN49" i="4" s="1"/>
  <c r="AI49" i="4"/>
  <c r="AJ48" i="4"/>
  <c r="D36" i="11" s="1"/>
  <c r="AI48" i="4"/>
  <c r="AJ47" i="4"/>
  <c r="D35" i="11" s="1"/>
  <c r="AI47" i="4"/>
  <c r="AJ46" i="4"/>
  <c r="AI46" i="4"/>
  <c r="AJ45" i="4"/>
  <c r="AN45" i="4" s="1"/>
  <c r="AI45" i="4"/>
  <c r="AJ44" i="4"/>
  <c r="D32" i="11" s="1"/>
  <c r="AI44" i="4"/>
  <c r="AJ43" i="4"/>
  <c r="D31" i="11" s="1"/>
  <c r="AI43" i="4"/>
  <c r="AJ41" i="4"/>
  <c r="AN41" i="4" s="1"/>
  <c r="AI41" i="4"/>
  <c r="AJ40" i="4"/>
  <c r="AN40" i="4" s="1"/>
  <c r="AI40" i="4"/>
  <c r="AJ39" i="4"/>
  <c r="AN39" i="4" s="1"/>
  <c r="AI39" i="4"/>
  <c r="AJ38" i="4"/>
  <c r="AN38" i="4" s="1"/>
  <c r="AI38" i="4"/>
  <c r="AJ37" i="4"/>
  <c r="AN37" i="4" s="1"/>
  <c r="AI37" i="4"/>
  <c r="AM37" i="4" s="1"/>
  <c r="AJ36" i="4"/>
  <c r="AN36" i="4" s="1"/>
  <c r="AJ35" i="4"/>
  <c r="AI35" i="4"/>
  <c r="AJ34" i="4"/>
  <c r="AN34" i="4" s="1"/>
  <c r="AI34" i="4"/>
  <c r="AJ33" i="4"/>
  <c r="AN33" i="4" s="1"/>
  <c r="AI33" i="4"/>
  <c r="AJ32" i="4"/>
  <c r="D27" i="11" s="1"/>
  <c r="AI32" i="4"/>
  <c r="AJ31" i="4"/>
  <c r="AI31" i="4"/>
  <c r="AJ30" i="4"/>
  <c r="AN30" i="4" s="1"/>
  <c r="AI30" i="4"/>
  <c r="AJ29" i="4"/>
  <c r="AN29" i="4" s="1"/>
  <c r="AJ28" i="4"/>
  <c r="AN28" i="4" s="1"/>
  <c r="AI28" i="4"/>
  <c r="AJ27" i="4"/>
  <c r="AI27" i="4"/>
  <c r="AJ26" i="4"/>
  <c r="AI26" i="4"/>
  <c r="AJ25" i="4"/>
  <c r="AN25" i="4" s="1"/>
  <c r="AJ24" i="4"/>
  <c r="AN24" i="4" s="1"/>
  <c r="AI24" i="4"/>
  <c r="AJ23" i="4"/>
  <c r="AN23" i="4" s="1"/>
  <c r="AI23" i="4"/>
  <c r="AJ22" i="4"/>
  <c r="AI22" i="4"/>
  <c r="AJ21" i="4"/>
  <c r="AN21" i="4" s="1"/>
  <c r="AI21" i="4"/>
  <c r="AJ20" i="4"/>
  <c r="AI20" i="4"/>
  <c r="AJ19" i="4"/>
  <c r="AN19" i="4" s="1"/>
  <c r="AI19" i="4"/>
  <c r="AJ18" i="4"/>
  <c r="D18" i="11" s="1"/>
  <c r="AI18" i="4"/>
  <c r="AJ17" i="4"/>
  <c r="AN17" i="4" s="1"/>
  <c r="AI17" i="4"/>
  <c r="AJ16" i="4"/>
  <c r="AN16" i="4" s="1"/>
  <c r="AI16" i="4"/>
  <c r="AJ15" i="4"/>
  <c r="BC9" i="4"/>
  <c r="BA9" i="4"/>
  <c r="AY9" i="4"/>
  <c r="AW9" i="4"/>
  <c r="AU9" i="4"/>
  <c r="AS9" i="4"/>
  <c r="AQ9" i="4"/>
  <c r="R252" i="3"/>
  <c r="R251" i="3"/>
  <c r="R250" i="3"/>
  <c r="R249" i="3"/>
  <c r="R248" i="3"/>
  <c r="R247" i="3"/>
  <c r="R246" i="3"/>
  <c r="R245" i="3"/>
  <c r="R244" i="3"/>
  <c r="R243" i="3"/>
  <c r="R242" i="3"/>
  <c r="R241" i="3"/>
  <c r="R240" i="3"/>
  <c r="R239" i="3"/>
  <c r="R238" i="3"/>
  <c r="R237" i="3"/>
  <c r="C235" i="3"/>
  <c r="R234" i="3"/>
  <c r="R233" i="3"/>
  <c r="R232" i="3"/>
  <c r="R231" i="3"/>
  <c r="R230" i="3"/>
  <c r="R229" i="3"/>
  <c r="R228" i="3"/>
  <c r="R227" i="3"/>
  <c r="R226" i="3"/>
  <c r="R225" i="3"/>
  <c r="R224" i="3"/>
  <c r="R223" i="3"/>
  <c r="R222" i="3"/>
  <c r="R221" i="3"/>
  <c r="R220" i="3"/>
  <c r="R219" i="3"/>
  <c r="Q217" i="3"/>
  <c r="R216" i="3"/>
  <c r="R215" i="3"/>
  <c r="R214" i="3"/>
  <c r="R213" i="3"/>
  <c r="R212" i="3"/>
  <c r="R211" i="3"/>
  <c r="R210" i="3"/>
  <c r="R209" i="3"/>
  <c r="R208" i="3"/>
  <c r="R207" i="3"/>
  <c r="R206" i="3"/>
  <c r="R205" i="3"/>
  <c r="R204" i="3"/>
  <c r="R203" i="3"/>
  <c r="R202" i="3"/>
  <c r="R201" i="3"/>
  <c r="R198" i="3"/>
  <c r="R197" i="3"/>
  <c r="R196" i="3"/>
  <c r="R195" i="3"/>
  <c r="R194" i="3"/>
  <c r="R193" i="3"/>
  <c r="R192" i="3"/>
  <c r="R191" i="3"/>
  <c r="R190" i="3"/>
  <c r="R189" i="3"/>
  <c r="R188" i="3"/>
  <c r="R187" i="3"/>
  <c r="R186" i="3"/>
  <c r="R185" i="3"/>
  <c r="R184" i="3"/>
  <c r="R183" i="3"/>
  <c r="R179" i="3"/>
  <c r="R178" i="3"/>
  <c r="R177" i="3"/>
  <c r="R176" i="3"/>
  <c r="R175" i="3"/>
  <c r="R174" i="3"/>
  <c r="R173" i="3"/>
  <c r="C172" i="3"/>
  <c r="R171" i="3"/>
  <c r="R170" i="3"/>
  <c r="R169" i="3"/>
  <c r="R168" i="3"/>
  <c r="R167" i="3"/>
  <c r="R166" i="3"/>
  <c r="R165" i="3"/>
  <c r="R164" i="3"/>
  <c r="R163" i="3"/>
  <c r="R162" i="3"/>
  <c r="R161" i="3"/>
  <c r="R160" i="3"/>
  <c r="R159" i="3"/>
  <c r="R158" i="3"/>
  <c r="R157" i="3"/>
  <c r="R154" i="3"/>
  <c r="R153" i="3"/>
  <c r="R152" i="3"/>
  <c r="R151" i="3"/>
  <c r="R150" i="3"/>
  <c r="R149" i="3"/>
  <c r="R148" i="3"/>
  <c r="C147" i="3"/>
  <c r="R146" i="3"/>
  <c r="R145" i="3"/>
  <c r="R144" i="3"/>
  <c r="R143" i="3"/>
  <c r="R142" i="3"/>
  <c r="R141" i="3"/>
  <c r="R140" i="3"/>
  <c r="R139" i="3"/>
  <c r="R138" i="3"/>
  <c r="R137" i="3"/>
  <c r="R136" i="3"/>
  <c r="R135" i="3"/>
  <c r="R134" i="3"/>
  <c r="R133" i="3"/>
  <c r="R132" i="3"/>
  <c r="R128" i="3"/>
  <c r="R127" i="3"/>
  <c r="R126" i="3"/>
  <c r="R125" i="3"/>
  <c r="R124" i="3"/>
  <c r="R123" i="3"/>
  <c r="C122" i="3"/>
  <c r="R121" i="3"/>
  <c r="R120" i="3"/>
  <c r="R119" i="3"/>
  <c r="R118" i="3"/>
  <c r="R117" i="3"/>
  <c r="R116" i="3"/>
  <c r="R115" i="3"/>
  <c r="R114" i="3"/>
  <c r="R113" i="3"/>
  <c r="R112" i="3"/>
  <c r="R111" i="3"/>
  <c r="R110" i="3"/>
  <c r="R109" i="3"/>
  <c r="R108" i="3"/>
  <c r="R107" i="3"/>
  <c r="R97" i="3"/>
  <c r="R96" i="3"/>
  <c r="C95" i="3"/>
  <c r="R94" i="3"/>
  <c r="R93" i="3"/>
  <c r="R92" i="3"/>
  <c r="R91" i="3"/>
  <c r="R90" i="3"/>
  <c r="R89" i="3"/>
  <c r="R88" i="3"/>
  <c r="R87" i="3"/>
  <c r="R86" i="3"/>
  <c r="R85" i="3"/>
  <c r="R84" i="3"/>
  <c r="R83" i="3"/>
  <c r="R82" i="3"/>
  <c r="R81" i="3"/>
  <c r="R80" i="3"/>
  <c r="R79" i="3"/>
  <c r="R78" i="3"/>
  <c r="R77" i="3"/>
  <c r="R76" i="3"/>
  <c r="R75" i="3"/>
  <c r="R74" i="3"/>
  <c r="R73" i="3"/>
  <c r="R71" i="3"/>
  <c r="R70" i="3"/>
  <c r="R69" i="3"/>
  <c r="R68" i="3"/>
  <c r="R67" i="3"/>
  <c r="R66" i="3"/>
  <c r="R65" i="3"/>
  <c r="R64" i="3"/>
  <c r="R63" i="3"/>
  <c r="C62" i="3"/>
  <c r="R61" i="3"/>
  <c r="R60" i="3"/>
  <c r="R59" i="3"/>
  <c r="R58" i="3"/>
  <c r="R57" i="3"/>
  <c r="R56" i="3"/>
  <c r="R55" i="3"/>
  <c r="R54" i="3"/>
  <c r="R53" i="3"/>
  <c r="R52" i="3"/>
  <c r="R51" i="3"/>
  <c r="R50" i="3"/>
  <c r="R49" i="3"/>
  <c r="R48" i="3"/>
  <c r="R45" i="3"/>
  <c r="R44" i="3"/>
  <c r="R43" i="3"/>
  <c r="R42" i="3"/>
  <c r="R41" i="3"/>
  <c r="R40" i="3"/>
  <c r="R39" i="3"/>
  <c r="R38" i="3"/>
  <c r="C37" i="3"/>
  <c r="R36" i="3"/>
  <c r="R35" i="3"/>
  <c r="R34" i="3"/>
  <c r="R33" i="3"/>
  <c r="R32" i="3"/>
  <c r="R31" i="3"/>
  <c r="R30" i="3"/>
  <c r="R29" i="3"/>
  <c r="R28" i="3"/>
  <c r="R27" i="3"/>
  <c r="R26" i="3"/>
  <c r="R25" i="3"/>
  <c r="R24" i="3"/>
  <c r="R23" i="3"/>
  <c r="R22" i="3"/>
  <c r="R18" i="3"/>
  <c r="R10" i="3"/>
  <c r="M9" i="2"/>
  <c r="M12" i="2"/>
  <c r="M13" i="2"/>
  <c r="M14" i="2"/>
  <c r="M15" i="2"/>
  <c r="M16" i="2"/>
  <c r="M17" i="2"/>
  <c r="M18" i="2"/>
  <c r="M19" i="2"/>
  <c r="L21" i="2"/>
  <c r="N16" i="2" s="1"/>
  <c r="R41" i="2"/>
  <c r="Q14" i="2" s="1"/>
  <c r="R40" i="2"/>
  <c r="Q13" i="2" s="1"/>
  <c r="R39" i="2"/>
  <c r="Q12" i="2" s="1"/>
  <c r="R38" i="2"/>
  <c r="Q11" i="2" s="1"/>
  <c r="H34" i="2"/>
  <c r="B7" i="2" s="1"/>
  <c r="Y21" i="2"/>
  <c r="G20" i="2"/>
  <c r="I17" i="2" s="1"/>
  <c r="S9" i="2"/>
  <c r="D8" i="2"/>
  <c r="S7" i="2"/>
  <c r="H33" i="1"/>
  <c r="AG11" i="4" s="1"/>
  <c r="H34" i="1"/>
  <c r="H35" i="1"/>
  <c r="H32" i="1"/>
  <c r="AG10" i="4" s="1"/>
  <c r="G29" i="1"/>
  <c r="G28" i="1"/>
  <c r="G24" i="1"/>
  <c r="AI143" i="4" s="1"/>
  <c r="G23" i="1"/>
  <c r="AI154" i="4" s="1"/>
  <c r="D19" i="6" s="1"/>
  <c r="G22" i="1"/>
  <c r="AI88" i="4" s="1"/>
  <c r="G21" i="1"/>
  <c r="AI89" i="4" s="1"/>
  <c r="G20" i="1"/>
  <c r="AI102" i="4" s="1"/>
  <c r="G19" i="1"/>
  <c r="AI98" i="4" s="1"/>
  <c r="G18" i="1"/>
  <c r="AI103" i="4" s="1"/>
  <c r="G17" i="1"/>
  <c r="AI101" i="4" s="1"/>
  <c r="G16" i="1"/>
  <c r="AI94" i="4" s="1"/>
  <c r="G15" i="1"/>
  <c r="G14" i="1"/>
  <c r="AI175" i="4" s="1"/>
  <c r="G13" i="1"/>
  <c r="AI134" i="4" s="1"/>
  <c r="N17" i="2" l="1"/>
  <c r="F54" i="11"/>
  <c r="I54" i="11" s="1"/>
  <c r="S15" i="11"/>
  <c r="W216" i="4"/>
  <c r="H44" i="7" s="1"/>
  <c r="AN173" i="4"/>
  <c r="AM172" i="4"/>
  <c r="AN172" i="4"/>
  <c r="AN170" i="4"/>
  <c r="AN100" i="4"/>
  <c r="AN96" i="4"/>
  <c r="AN104" i="4"/>
  <c r="AN108" i="4"/>
  <c r="AN92" i="4"/>
  <c r="AN112" i="4"/>
  <c r="AN46" i="4"/>
  <c r="AN54" i="4"/>
  <c r="AN31" i="4"/>
  <c r="AN35" i="4"/>
  <c r="AN15" i="4"/>
  <c r="AM18" i="4"/>
  <c r="AM20" i="4"/>
  <c r="AM17" i="4"/>
  <c r="AM19" i="4"/>
  <c r="AM21" i="4"/>
  <c r="D25" i="11"/>
  <c r="AN56" i="4"/>
  <c r="D42" i="11"/>
  <c r="F42" i="11" s="1"/>
  <c r="I42" i="11" s="1"/>
  <c r="N9" i="2"/>
  <c r="AN174" i="4"/>
  <c r="AN122" i="4"/>
  <c r="AN109" i="4"/>
  <c r="AN105" i="4"/>
  <c r="AN93" i="4"/>
  <c r="AN89" i="4"/>
  <c r="AN86" i="4"/>
  <c r="F40" i="11"/>
  <c r="AN50" i="4"/>
  <c r="F36" i="11"/>
  <c r="F32" i="11"/>
  <c r="I32" i="11" s="1"/>
  <c r="F31" i="11"/>
  <c r="AM170" i="4"/>
  <c r="F27" i="11"/>
  <c r="AN27" i="4"/>
  <c r="AN26" i="4"/>
  <c r="AN13" i="4"/>
  <c r="AN12" i="4"/>
  <c r="AN11" i="4"/>
  <c r="AN10" i="4"/>
  <c r="E152" i="4"/>
  <c r="N13" i="2"/>
  <c r="W48" i="11"/>
  <c r="G65" i="11"/>
  <c r="G60" i="11"/>
  <c r="O53" i="9"/>
  <c r="B42" i="6"/>
  <c r="S18" i="11"/>
  <c r="U18" i="11" s="1"/>
  <c r="G40" i="11" s="1"/>
  <c r="I40" i="11" s="1"/>
  <c r="I36" i="11"/>
  <c r="N42" i="11"/>
  <c r="N21" i="11"/>
  <c r="P21" i="11" s="1"/>
  <c r="G38" i="11" s="1"/>
  <c r="S38" i="11"/>
  <c r="U38" i="11" s="1"/>
  <c r="S35" i="11" s="1"/>
  <c r="U35" i="11" s="1"/>
  <c r="O29" i="11"/>
  <c r="O62" i="9"/>
  <c r="S28" i="11"/>
  <c r="U28" i="11" s="1"/>
  <c r="N20" i="11"/>
  <c r="P20" i="11" s="1"/>
  <c r="O54" i="9"/>
  <c r="G31" i="11"/>
  <c r="G15" i="11"/>
  <c r="N50" i="11" s="1"/>
  <c r="G21" i="11"/>
  <c r="N52" i="11" s="1"/>
  <c r="P52" i="11" s="1"/>
  <c r="U26" i="11"/>
  <c r="N12" i="11"/>
  <c r="N48" i="11" s="1"/>
  <c r="P48" i="11" s="1"/>
  <c r="O30" i="9"/>
  <c r="S21" i="11"/>
  <c r="U21" i="11" s="1"/>
  <c r="G39" i="11" s="1"/>
  <c r="W49" i="11"/>
  <c r="S24" i="11"/>
  <c r="U24" i="11" s="1"/>
  <c r="G13" i="11"/>
  <c r="D59" i="11"/>
  <c r="AC10" i="4"/>
  <c r="AI10" i="4" s="1"/>
  <c r="AM26" i="4"/>
  <c r="AO26" i="4" s="1"/>
  <c r="AM33" i="4"/>
  <c r="AO33" i="4" s="1"/>
  <c r="AM35" i="4"/>
  <c r="AO35" i="4" s="1"/>
  <c r="AM39" i="4"/>
  <c r="AM168" i="4"/>
  <c r="AM169" i="4"/>
  <c r="F344" i="5"/>
  <c r="AM127" i="4"/>
  <c r="AO127" i="4" s="1"/>
  <c r="AM130" i="4"/>
  <c r="AO130" i="4" s="1"/>
  <c r="AM133" i="4"/>
  <c r="AO133" i="4" s="1"/>
  <c r="AM139" i="4"/>
  <c r="AO139" i="4" s="1"/>
  <c r="AM141" i="4"/>
  <c r="AO141" i="4" s="1"/>
  <c r="AM126" i="4"/>
  <c r="AO126" i="4" s="1"/>
  <c r="AM132" i="4"/>
  <c r="AO132" i="4" s="1"/>
  <c r="AM135" i="4"/>
  <c r="AO135" i="4" s="1"/>
  <c r="AM146" i="4"/>
  <c r="AO146" i="4" s="1"/>
  <c r="AM134" i="4"/>
  <c r="AO134" i="4" s="1"/>
  <c r="AM96" i="4"/>
  <c r="AO96" i="4" s="1"/>
  <c r="AM108" i="4"/>
  <c r="AO108" i="4" s="1"/>
  <c r="AM114" i="4"/>
  <c r="AO114" i="4" s="1"/>
  <c r="AM116" i="4"/>
  <c r="AO116" i="4" s="1"/>
  <c r="AM118" i="4"/>
  <c r="AM97" i="4"/>
  <c r="AO97" i="4" s="1"/>
  <c r="AM86" i="4"/>
  <c r="AO86" i="4" s="1"/>
  <c r="AM93" i="4"/>
  <c r="AO93" i="4" s="1"/>
  <c r="AM113" i="4"/>
  <c r="AO113" i="4" s="1"/>
  <c r="AM115" i="4"/>
  <c r="AO115" i="4" s="1"/>
  <c r="AM117" i="4"/>
  <c r="AO117" i="4" s="1"/>
  <c r="AM43" i="4"/>
  <c r="AO43" i="4" s="1"/>
  <c r="AM45" i="4"/>
  <c r="AO45" i="4" s="1"/>
  <c r="AM47" i="4"/>
  <c r="AO47" i="4" s="1"/>
  <c r="AM49" i="4"/>
  <c r="AO49" i="4" s="1"/>
  <c r="AM53" i="4"/>
  <c r="AO53" i="4" s="1"/>
  <c r="AM62" i="4"/>
  <c r="AO62" i="4" s="1"/>
  <c r="AM64" i="4"/>
  <c r="AO64" i="4" s="1"/>
  <c r="AM66" i="4"/>
  <c r="AM57" i="4"/>
  <c r="AO57" i="4" s="1"/>
  <c r="AM46" i="4"/>
  <c r="AO46" i="4" s="1"/>
  <c r="AM48" i="4"/>
  <c r="AO48" i="4" s="1"/>
  <c r="AM54" i="4"/>
  <c r="AO54" i="4" s="1"/>
  <c r="AM56" i="4"/>
  <c r="AO56" i="4" s="1"/>
  <c r="AM59" i="4"/>
  <c r="AO59" i="4" s="1"/>
  <c r="AM61" i="4"/>
  <c r="AO61" i="4" s="1"/>
  <c r="AM63" i="4"/>
  <c r="AO63" i="4" s="1"/>
  <c r="AM65" i="4"/>
  <c r="AM67" i="4"/>
  <c r="AM69" i="4"/>
  <c r="AM71" i="4"/>
  <c r="AM73" i="4"/>
  <c r="AM58" i="4"/>
  <c r="AO58" i="4" s="1"/>
  <c r="D52" i="11"/>
  <c r="D72" i="11"/>
  <c r="F72" i="11" s="1"/>
  <c r="I72" i="11" s="1"/>
  <c r="D33" i="11"/>
  <c r="D63" i="11"/>
  <c r="F63" i="11" s="1"/>
  <c r="F47" i="11"/>
  <c r="D71" i="11"/>
  <c r="F71" i="11" s="1"/>
  <c r="I71" i="11" s="1"/>
  <c r="D56" i="11"/>
  <c r="F56" i="11" s="1"/>
  <c r="I56" i="11" s="1"/>
  <c r="F52" i="11"/>
  <c r="F59" i="11"/>
  <c r="I59" i="11" s="1"/>
  <c r="D60" i="11"/>
  <c r="F60" i="11" s="1"/>
  <c r="I60" i="11" s="1"/>
  <c r="D29" i="11"/>
  <c r="F29" i="11" s="1"/>
  <c r="I29" i="11" s="1"/>
  <c r="AN52" i="4"/>
  <c r="F19" i="11"/>
  <c r="I19" i="11" s="1"/>
  <c r="D41" i="11"/>
  <c r="F41" i="11" s="1"/>
  <c r="D37" i="11"/>
  <c r="F37" i="11" s="1"/>
  <c r="I37" i="11" s="1"/>
  <c r="D38" i="11"/>
  <c r="F38" i="11" s="1"/>
  <c r="F33" i="11"/>
  <c r="I33" i="11" s="1"/>
  <c r="F25" i="11"/>
  <c r="I25" i="11" s="1"/>
  <c r="D45" i="11"/>
  <c r="F45" i="11" s="1"/>
  <c r="D17" i="11"/>
  <c r="F17" i="11" s="1"/>
  <c r="I17" i="11" s="1"/>
  <c r="D30" i="11"/>
  <c r="F30" i="11" s="1"/>
  <c r="I30" i="11" s="1"/>
  <c r="D34" i="11"/>
  <c r="F34" i="11" s="1"/>
  <c r="I34" i="11" s="1"/>
  <c r="AE120" i="4"/>
  <c r="AI120" i="4" s="1"/>
  <c r="AE205" i="4"/>
  <c r="G30" i="1"/>
  <c r="J34" i="1"/>
  <c r="AG12" i="4"/>
  <c r="AM50" i="4"/>
  <c r="AO50" i="4" s="1"/>
  <c r="AM51" i="4"/>
  <c r="AO51" i="4" s="1"/>
  <c r="AM128" i="4"/>
  <c r="AO128" i="4" s="1"/>
  <c r="AM137" i="4"/>
  <c r="AO137" i="4" s="1"/>
  <c r="AM136" i="4"/>
  <c r="AO136" i="4" s="1"/>
  <c r="AM138" i="4"/>
  <c r="AO138" i="4" s="1"/>
  <c r="AM142" i="4"/>
  <c r="AO142" i="4" s="1"/>
  <c r="AM144" i="4"/>
  <c r="AO144" i="4" s="1"/>
  <c r="AM143" i="4"/>
  <c r="AO143" i="4" s="1"/>
  <c r="AM87" i="4"/>
  <c r="AO87" i="4" s="1"/>
  <c r="AM88" i="4"/>
  <c r="AO88" i="4" s="1"/>
  <c r="AM89" i="4"/>
  <c r="AO89" i="4" s="1"/>
  <c r="AM102" i="4"/>
  <c r="AO102" i="4" s="1"/>
  <c r="AM98" i="4"/>
  <c r="AO98" i="4" s="1"/>
  <c r="AM101" i="4"/>
  <c r="AO101" i="4" s="1"/>
  <c r="AM92" i="4"/>
  <c r="AO92" i="4" s="1"/>
  <c r="AM175" i="4"/>
  <c r="AM44" i="4"/>
  <c r="AO44" i="4" s="1"/>
  <c r="F107" i="5"/>
  <c r="F351" i="5"/>
  <c r="AM171" i="4"/>
  <c r="AP171" i="4" s="1"/>
  <c r="AM105" i="4"/>
  <c r="AO105" i="4" s="1"/>
  <c r="F369" i="5"/>
  <c r="AK176" i="4" s="1"/>
  <c r="AK205" i="4" s="1"/>
  <c r="AM173" i="4"/>
  <c r="S17" i="2"/>
  <c r="I281" i="5"/>
  <c r="AK123" i="4" s="1"/>
  <c r="AM24" i="4"/>
  <c r="AM140" i="4"/>
  <c r="AO140" i="4" s="1"/>
  <c r="AM27" i="4"/>
  <c r="AO27" i="4" s="1"/>
  <c r="AM106" i="4"/>
  <c r="AO106" i="4" s="1"/>
  <c r="S10" i="2"/>
  <c r="S11" i="2"/>
  <c r="AM174" i="4"/>
  <c r="F376" i="5"/>
  <c r="AM94" i="4"/>
  <c r="AO94" i="4" s="1"/>
  <c r="AM112" i="4"/>
  <c r="AO112" i="4" s="1"/>
  <c r="AM104" i="4"/>
  <c r="AO104" i="4" s="1"/>
  <c r="AM90" i="4"/>
  <c r="AO90" i="4" s="1"/>
  <c r="AM31" i="4"/>
  <c r="AO31" i="4" s="1"/>
  <c r="AM131" i="4"/>
  <c r="AO131" i="4" s="1"/>
  <c r="AM100" i="4"/>
  <c r="AO100" i="4" s="1"/>
  <c r="AM122" i="4"/>
  <c r="AM121" i="4"/>
  <c r="AP121" i="4" s="1"/>
  <c r="F148" i="5"/>
  <c r="D15" i="2"/>
  <c r="AM55" i="4"/>
  <c r="AO55" i="4" s="1"/>
  <c r="D12" i="2"/>
  <c r="I69" i="5"/>
  <c r="AK41" i="4" s="1"/>
  <c r="AM41" i="4" s="1"/>
  <c r="I303" i="5"/>
  <c r="AK124" i="4" s="1"/>
  <c r="AK151" i="4" s="1"/>
  <c r="S13" i="2"/>
  <c r="F143" i="5"/>
  <c r="F334" i="5" s="1"/>
  <c r="D33" i="6" s="1"/>
  <c r="F330" i="5"/>
  <c r="AM40" i="4"/>
  <c r="AM16" i="4"/>
  <c r="AK10" i="4"/>
  <c r="AN102" i="4"/>
  <c r="G27" i="1"/>
  <c r="D43" i="11"/>
  <c r="F43" i="11" s="1"/>
  <c r="I43" i="11" s="1"/>
  <c r="Y152" i="4"/>
  <c r="Y216" i="4" s="1"/>
  <c r="H45" i="7" s="1"/>
  <c r="F74" i="11"/>
  <c r="I74" i="11" s="1"/>
  <c r="F73" i="11"/>
  <c r="I73" i="11" s="1"/>
  <c r="F69" i="11"/>
  <c r="I69" i="11" s="1"/>
  <c r="D68" i="11"/>
  <c r="F68" i="11" s="1"/>
  <c r="I68" i="11" s="1"/>
  <c r="D67" i="11"/>
  <c r="F67" i="11" s="1"/>
  <c r="I67" i="11" s="1"/>
  <c r="U152" i="4"/>
  <c r="U216" i="4" s="1"/>
  <c r="H43" i="7" s="1"/>
  <c r="F58" i="11"/>
  <c r="I58" i="11" s="1"/>
  <c r="S152" i="4"/>
  <c r="S216" i="4" s="1"/>
  <c r="H42" i="7" s="1"/>
  <c r="O65" i="9"/>
  <c r="O87" i="9"/>
  <c r="O68" i="9"/>
  <c r="O67" i="9"/>
  <c r="O66" i="9"/>
  <c r="N63" i="11"/>
  <c r="N54" i="11" s="1"/>
  <c r="O61" i="9"/>
  <c r="O60" i="9"/>
  <c r="O95" i="9"/>
  <c r="O41" i="9"/>
  <c r="O51" i="9"/>
  <c r="O31" i="9"/>
  <c r="P25" i="11"/>
  <c r="O27" i="9"/>
  <c r="G63" i="11"/>
  <c r="O49" i="9"/>
  <c r="O16" i="9"/>
  <c r="Q152" i="4"/>
  <c r="Q216" i="4" s="1"/>
  <c r="H41" i="7" s="1"/>
  <c r="O152" i="4"/>
  <c r="O216" i="4" s="1"/>
  <c r="H40" i="7" s="1"/>
  <c r="AN94" i="4"/>
  <c r="D55" i="11"/>
  <c r="F55" i="11" s="1"/>
  <c r="M152" i="4"/>
  <c r="M216" i="4" s="1"/>
  <c r="H39" i="7" s="1"/>
  <c r="AN110" i="4"/>
  <c r="D21" i="11"/>
  <c r="F21" i="11" s="1"/>
  <c r="F53" i="11"/>
  <c r="D48" i="11"/>
  <c r="F48" i="11" s="1"/>
  <c r="K152" i="4"/>
  <c r="K216" i="4" s="1"/>
  <c r="H38" i="7" s="1"/>
  <c r="AI156" i="4"/>
  <c r="D20" i="6" s="1"/>
  <c r="D21" i="6" s="1"/>
  <c r="D23" i="6" s="1"/>
  <c r="D26" i="11"/>
  <c r="F26" i="11" s="1"/>
  <c r="D23" i="11"/>
  <c r="F23" i="11" s="1"/>
  <c r="D22" i="11"/>
  <c r="F22" i="11" s="1"/>
  <c r="D28" i="11"/>
  <c r="F28" i="11" s="1"/>
  <c r="I28" i="11" s="1"/>
  <c r="K254" i="3"/>
  <c r="G254" i="3"/>
  <c r="R62" i="3"/>
  <c r="R95" i="3"/>
  <c r="AI155" i="4"/>
  <c r="B20" i="6" s="1"/>
  <c r="D16" i="11"/>
  <c r="F16" i="11" s="1"/>
  <c r="R37" i="3"/>
  <c r="G152" i="4"/>
  <c r="G216" i="4" s="1"/>
  <c r="J35" i="1"/>
  <c r="J32" i="1"/>
  <c r="J33" i="1"/>
  <c r="F254" i="3"/>
  <c r="M254" i="3"/>
  <c r="E254" i="3"/>
  <c r="N254" i="3"/>
  <c r="J254" i="3"/>
  <c r="D254" i="3"/>
  <c r="H254" i="3"/>
  <c r="O254" i="3"/>
  <c r="I254" i="3"/>
  <c r="L254" i="3"/>
  <c r="P254" i="3"/>
  <c r="O13" i="9"/>
  <c r="O9" i="9"/>
  <c r="O8" i="9"/>
  <c r="AI183" i="4"/>
  <c r="AM183" i="4" s="1"/>
  <c r="AA205" i="4"/>
  <c r="O89" i="9"/>
  <c r="N31" i="8"/>
  <c r="W111" i="9"/>
  <c r="F111" i="9" s="1"/>
  <c r="AA111" i="9"/>
  <c r="J111" i="9" s="1"/>
  <c r="O86" i="9"/>
  <c r="X111" i="9"/>
  <c r="G111" i="9" s="1"/>
  <c r="AB111" i="9"/>
  <c r="K111" i="9" s="1"/>
  <c r="O90" i="9"/>
  <c r="O91" i="9"/>
  <c r="O98" i="9"/>
  <c r="O15" i="9"/>
  <c r="O10" i="9"/>
  <c r="O17" i="9"/>
  <c r="P51" i="11"/>
  <c r="AA83" i="9"/>
  <c r="J83" i="9" s="1"/>
  <c r="O12" i="9"/>
  <c r="W83" i="9"/>
  <c r="F83" i="9" s="1"/>
  <c r="O21" i="9"/>
  <c r="Y50" i="11"/>
  <c r="O22" i="9"/>
  <c r="O11" i="9"/>
  <c r="O18" i="9"/>
  <c r="P15" i="11"/>
  <c r="Y48" i="11"/>
  <c r="O20" i="9"/>
  <c r="F69" i="5"/>
  <c r="X83" i="9"/>
  <c r="G83" i="9" s="1"/>
  <c r="AB83" i="9"/>
  <c r="K83" i="9" s="1"/>
  <c r="Y15" i="14"/>
  <c r="F32" i="13" s="1"/>
  <c r="G32" i="13" s="1"/>
  <c r="Q33" i="9" s="1"/>
  <c r="AC15" i="14"/>
  <c r="F35" i="13" s="1"/>
  <c r="G35" i="13" s="1"/>
  <c r="Q36" i="9" s="1"/>
  <c r="D9" i="2"/>
  <c r="D10" i="2"/>
  <c r="D14" i="2"/>
  <c r="D16" i="2"/>
  <c r="S15" i="2"/>
  <c r="D24" i="11"/>
  <c r="F24" i="11" s="1"/>
  <c r="I24" i="11" s="1"/>
  <c r="D20" i="11"/>
  <c r="F20" i="11" s="1"/>
  <c r="D15" i="11"/>
  <c r="F15" i="11" s="1"/>
  <c r="I15" i="11" s="1"/>
  <c r="D13" i="11"/>
  <c r="F13" i="11" s="1"/>
  <c r="D12" i="11"/>
  <c r="F12" i="11" s="1"/>
  <c r="D11" i="11"/>
  <c r="F11" i="11" s="1"/>
  <c r="D10" i="11"/>
  <c r="F10" i="11" s="1"/>
  <c r="AN126" i="4"/>
  <c r="AN130" i="4"/>
  <c r="AN134" i="4"/>
  <c r="AN138" i="4"/>
  <c r="AN142" i="4"/>
  <c r="AN146" i="4"/>
  <c r="AN150" i="4"/>
  <c r="F61" i="11"/>
  <c r="F57" i="11"/>
  <c r="I57" i="11" s="1"/>
  <c r="AN129" i="4"/>
  <c r="AN133" i="4"/>
  <c r="AN137" i="4"/>
  <c r="AN141" i="4"/>
  <c r="AN145" i="4"/>
  <c r="AN149" i="4"/>
  <c r="F70" i="11"/>
  <c r="I70" i="11" s="1"/>
  <c r="F66" i="11"/>
  <c r="F35" i="11"/>
  <c r="I35" i="11" s="1"/>
  <c r="F18" i="11"/>
  <c r="I18" i="11" s="1"/>
  <c r="F14" i="11"/>
  <c r="I14" i="11" s="1"/>
  <c r="F62" i="11"/>
  <c r="F65" i="11"/>
  <c r="I65" i="11" s="1"/>
  <c r="F39" i="11"/>
  <c r="AN22" i="4"/>
  <c r="AA216" i="4"/>
  <c r="H46" i="7" s="1"/>
  <c r="AM129" i="4"/>
  <c r="AO129" i="4" s="1"/>
  <c r="AM145" i="4"/>
  <c r="AO145" i="4" s="1"/>
  <c r="AM149" i="4"/>
  <c r="AO149" i="4" s="1"/>
  <c r="AM91" i="4"/>
  <c r="AO91" i="4" s="1"/>
  <c r="AM99" i="4"/>
  <c r="AO99" i="4" s="1"/>
  <c r="AM107" i="4"/>
  <c r="AO107" i="4" s="1"/>
  <c r="AM95" i="4"/>
  <c r="AO95" i="4" s="1"/>
  <c r="AM103" i="4"/>
  <c r="AO103" i="4" s="1"/>
  <c r="AM111" i="4"/>
  <c r="AO111" i="4" s="1"/>
  <c r="AN51" i="4"/>
  <c r="AN59" i="4"/>
  <c r="AN71" i="4"/>
  <c r="AM68" i="4"/>
  <c r="AM52" i="4"/>
  <c r="AO52" i="4" s="1"/>
  <c r="AM60" i="4"/>
  <c r="AO60" i="4" s="1"/>
  <c r="AM72" i="4"/>
  <c r="AN32" i="4"/>
  <c r="AM28" i="4"/>
  <c r="AO28" i="4" s="1"/>
  <c r="AN14" i="4"/>
  <c r="AN18" i="4"/>
  <c r="AM22" i="4"/>
  <c r="C254" i="3"/>
  <c r="R253" i="3"/>
  <c r="AA217" i="4" s="1"/>
  <c r="R235" i="3"/>
  <c r="Y217" i="4" s="1"/>
  <c r="R217" i="3"/>
  <c r="W217" i="4" s="1"/>
  <c r="R147" i="3"/>
  <c r="Q217" i="4" s="1"/>
  <c r="R122" i="3"/>
  <c r="O217" i="4" s="1"/>
  <c r="R172" i="3"/>
  <c r="S217" i="4" s="1"/>
  <c r="S16" i="2"/>
  <c r="S14" i="2"/>
  <c r="D7" i="2"/>
  <c r="U83" i="9"/>
  <c r="D83" i="9" s="1"/>
  <c r="Y83" i="9"/>
  <c r="H83" i="9" s="1"/>
  <c r="AC83" i="9"/>
  <c r="L83" i="9" s="1"/>
  <c r="AD83" i="9"/>
  <c r="M83" i="9" s="1"/>
  <c r="V83" i="9"/>
  <c r="E83" i="9" s="1"/>
  <c r="Z83" i="9"/>
  <c r="I83" i="9" s="1"/>
  <c r="V111" i="9"/>
  <c r="E111" i="9" s="1"/>
  <c r="Z111" i="9"/>
  <c r="I111" i="9" s="1"/>
  <c r="AD111" i="9"/>
  <c r="M111" i="9" s="1"/>
  <c r="U111" i="9"/>
  <c r="D111" i="9" s="1"/>
  <c r="Y111" i="9"/>
  <c r="H111" i="9" s="1"/>
  <c r="AC111" i="9"/>
  <c r="L111" i="9" s="1"/>
  <c r="I54" i="5"/>
  <c r="AK36" i="4" s="1"/>
  <c r="AO24" i="4"/>
  <c r="AJ161" i="4"/>
  <c r="AJ81" i="4"/>
  <c r="AN20" i="4"/>
  <c r="AM23" i="4"/>
  <c r="AM30" i="4"/>
  <c r="AO30" i="4" s="1"/>
  <c r="AM32" i="4"/>
  <c r="AO32" i="4" s="1"/>
  <c r="AM34" i="4"/>
  <c r="AO34" i="4" s="1"/>
  <c r="AM38" i="4"/>
  <c r="AN43" i="4"/>
  <c r="AN47" i="4"/>
  <c r="I152" i="4"/>
  <c r="I216" i="4" s="1"/>
  <c r="AJ80" i="4"/>
  <c r="AN44" i="4"/>
  <c r="AN48" i="4"/>
  <c r="AN67" i="4"/>
  <c r="AM70" i="4"/>
  <c r="AK120" i="4"/>
  <c r="AM109" i="4"/>
  <c r="AO109" i="4" s="1"/>
  <c r="AM119" i="4"/>
  <c r="AN121" i="4"/>
  <c r="AN125" i="4"/>
  <c r="AM167" i="4"/>
  <c r="R199" i="3"/>
  <c r="U217" i="4" s="1"/>
  <c r="I11" i="2"/>
  <c r="I12" i="2"/>
  <c r="N19" i="2"/>
  <c r="N11" i="2"/>
  <c r="I19" i="2"/>
  <c r="N18" i="2"/>
  <c r="N14" i="2"/>
  <c r="N8" i="2"/>
  <c r="N15" i="2"/>
  <c r="N10" i="2"/>
  <c r="N7" i="2"/>
  <c r="N12" i="2"/>
  <c r="I8" i="2"/>
  <c r="I9" i="2"/>
  <c r="AC13" i="4" s="1"/>
  <c r="AI13" i="4" s="1"/>
  <c r="AM13" i="4" s="1"/>
  <c r="AO13" i="4" s="1"/>
  <c r="I7" i="2"/>
  <c r="I16" i="2"/>
  <c r="S12" i="2"/>
  <c r="S3" i="2"/>
  <c r="D11" i="2"/>
  <c r="S4" i="2"/>
  <c r="I14" i="2"/>
  <c r="I18" i="2"/>
  <c r="I10" i="2"/>
  <c r="I13" i="2"/>
  <c r="I15" i="2"/>
  <c r="N18" i="11" l="1"/>
  <c r="P18" i="11" s="1"/>
  <c r="AC124" i="4"/>
  <c r="AI124" i="4" s="1"/>
  <c r="AM124" i="4" s="1"/>
  <c r="AO124" i="4" s="1"/>
  <c r="AM176" i="4"/>
  <c r="AM205" i="4" s="1"/>
  <c r="AP122" i="4"/>
  <c r="P11" i="11"/>
  <c r="N49" i="11"/>
  <c r="P49" i="11" s="1"/>
  <c r="I23" i="11"/>
  <c r="N53" i="11"/>
  <c r="G22" i="11"/>
  <c r="I21" i="11"/>
  <c r="N47" i="11"/>
  <c r="P47" i="11" s="1"/>
  <c r="N38" i="11"/>
  <c r="P40" i="11" s="1"/>
  <c r="I16" i="11"/>
  <c r="P12" i="11"/>
  <c r="G43" i="1"/>
  <c r="N46" i="11"/>
  <c r="P46" i="11" s="1"/>
  <c r="I11" i="11"/>
  <c r="I39" i="11"/>
  <c r="O28" i="11"/>
  <c r="O30" i="11" s="1"/>
  <c r="N35" i="11" s="1"/>
  <c r="I13" i="11"/>
  <c r="K13" i="11" s="1"/>
  <c r="G61" i="11"/>
  <c r="I61" i="11" s="1"/>
  <c r="W46" i="11"/>
  <c r="Y46" i="11" s="1"/>
  <c r="I45" i="11"/>
  <c r="I63" i="11"/>
  <c r="I38" i="11"/>
  <c r="AE151" i="4"/>
  <c r="AE152" i="4" s="1"/>
  <c r="AI125" i="4"/>
  <c r="AM125" i="4" s="1"/>
  <c r="AO125" i="4" s="1"/>
  <c r="G42" i="1"/>
  <c r="D35" i="6"/>
  <c r="F331" i="5"/>
  <c r="G41" i="11"/>
  <c r="I41" i="11" s="1"/>
  <c r="G20" i="11"/>
  <c r="I20" i="11" s="1"/>
  <c r="O62" i="11"/>
  <c r="O63" i="11" s="1"/>
  <c r="P62" i="11"/>
  <c r="P63" i="11" s="1"/>
  <c r="Y49" i="11"/>
  <c r="U12" i="11"/>
  <c r="AM120" i="4"/>
  <c r="AI216" i="4"/>
  <c r="H37" i="7"/>
  <c r="K50" i="7" s="1"/>
  <c r="K217" i="4"/>
  <c r="M217" i="4"/>
  <c r="AP73" i="4"/>
  <c r="AI153" i="4"/>
  <c r="B19" i="6" s="1"/>
  <c r="B21" i="6" s="1"/>
  <c r="AG74" i="4"/>
  <c r="AG152" i="4" s="1"/>
  <c r="S37" i="3"/>
  <c r="S62" i="3" s="1"/>
  <c r="S95" i="3" s="1"/>
  <c r="S122" i="3" s="1"/>
  <c r="S147" i="3" s="1"/>
  <c r="S172" i="3" s="1"/>
  <c r="S199" i="3" s="1"/>
  <c r="S217" i="3" s="1"/>
  <c r="S235" i="3" s="1"/>
  <c r="S253" i="3" s="1"/>
  <c r="I217" i="4"/>
  <c r="K112" i="9"/>
  <c r="K8" i="8" s="1"/>
  <c r="K15" i="8" s="1"/>
  <c r="K25" i="8" s="1"/>
  <c r="AI205" i="4"/>
  <c r="P54" i="11"/>
  <c r="G112" i="9"/>
  <c r="G8" i="8" s="1"/>
  <c r="G15" i="8" s="1"/>
  <c r="G25" i="8" s="1"/>
  <c r="AC14" i="4"/>
  <c r="AI14" i="4" s="1"/>
  <c r="AM14" i="4" s="1"/>
  <c r="AO14" i="4" s="1"/>
  <c r="J112" i="9"/>
  <c r="J8" i="8" s="1"/>
  <c r="J15" i="8" s="1"/>
  <c r="J25" i="8" s="1"/>
  <c r="F112" i="9"/>
  <c r="F8" i="8" s="1"/>
  <c r="F15" i="8" s="1"/>
  <c r="F25" i="8" s="1"/>
  <c r="AC11" i="4"/>
  <c r="AI11" i="4" s="1"/>
  <c r="AM11" i="4" s="1"/>
  <c r="AO11" i="4" s="1"/>
  <c r="P53" i="11"/>
  <c r="AC12" i="4"/>
  <c r="AI12" i="4" s="1"/>
  <c r="AM12" i="4" s="1"/>
  <c r="AO12" i="4" s="1"/>
  <c r="AC25" i="4"/>
  <c r="AI25" i="4" s="1"/>
  <c r="AM25" i="4" s="1"/>
  <c r="AO25" i="4" s="1"/>
  <c r="P42" i="11"/>
  <c r="U15" i="11"/>
  <c r="O111" i="9"/>
  <c r="E112" i="9"/>
  <c r="E8" i="8" s="1"/>
  <c r="E15" i="8" s="1"/>
  <c r="E25" i="8" s="1"/>
  <c r="U25" i="14"/>
  <c r="F40" i="13" s="1"/>
  <c r="G40" i="13" s="1"/>
  <c r="Q41" i="9" s="1"/>
  <c r="D18" i="2"/>
  <c r="H71" i="14" s="1"/>
  <c r="F16" i="13" s="1"/>
  <c r="G16" i="13" s="1"/>
  <c r="Q17" i="9" s="1"/>
  <c r="AC36" i="4"/>
  <c r="AI36" i="4" s="1"/>
  <c r="AM36" i="4" s="1"/>
  <c r="S19" i="2"/>
  <c r="H113" i="14" s="1"/>
  <c r="H114" i="14" s="1"/>
  <c r="H120" i="14" s="1"/>
  <c r="H130" i="14" s="1"/>
  <c r="AC123" i="4"/>
  <c r="S254" i="3"/>
  <c r="N21" i="2"/>
  <c r="I112" i="9"/>
  <c r="I8" i="8" s="1"/>
  <c r="I15" i="8" s="1"/>
  <c r="I25" i="8" s="1"/>
  <c r="L112" i="9"/>
  <c r="L8" i="8" s="1"/>
  <c r="L15" i="8" s="1"/>
  <c r="L25" i="8" s="1"/>
  <c r="M112" i="9"/>
  <c r="M8" i="8" s="1"/>
  <c r="M15" i="8" s="1"/>
  <c r="M25" i="8" s="1"/>
  <c r="H112" i="9"/>
  <c r="H8" i="8" s="1"/>
  <c r="H15" i="8" s="1"/>
  <c r="H25" i="8" s="1"/>
  <c r="O83" i="9"/>
  <c r="D112" i="9"/>
  <c r="D8" i="8" s="1"/>
  <c r="AP41" i="4"/>
  <c r="AO38" i="4"/>
  <c r="AM10" i="4"/>
  <c r="AP119" i="4"/>
  <c r="I20" i="2"/>
  <c r="AP176" i="4" l="1"/>
  <c r="N55" i="11"/>
  <c r="P55" i="11" s="1"/>
  <c r="G27" i="11"/>
  <c r="I27" i="11" s="1"/>
  <c r="P39" i="11"/>
  <c r="G52" i="11" s="1"/>
  <c r="I52" i="11" s="1"/>
  <c r="N56" i="11"/>
  <c r="P56" i="11" s="1"/>
  <c r="G26" i="11"/>
  <c r="I26" i="11" s="1"/>
  <c r="S30" i="11"/>
  <c r="U30" i="11" s="1"/>
  <c r="N32" i="11"/>
  <c r="P32" i="11" s="1"/>
  <c r="G66" i="11" s="1"/>
  <c r="I66" i="11" s="1"/>
  <c r="P10" i="11"/>
  <c r="G10" i="11" s="1"/>
  <c r="I10" i="11" s="1"/>
  <c r="K11" i="11" s="1"/>
  <c r="D15" i="8"/>
  <c r="D25" i="8" s="1"/>
  <c r="N8" i="8"/>
  <c r="AE216" i="4"/>
  <c r="AA50" i="11"/>
  <c r="AB50" i="11" s="1"/>
  <c r="G48" i="11" s="1"/>
  <c r="B26" i="6"/>
  <c r="H146" i="14"/>
  <c r="H149" i="14" s="1"/>
  <c r="H152" i="14" s="1"/>
  <c r="F18" i="13" s="1"/>
  <c r="G18" i="13" s="1"/>
  <c r="Q19" i="9" s="1"/>
  <c r="H133" i="14"/>
  <c r="H136" i="14" s="1"/>
  <c r="D20" i="2"/>
  <c r="F32" i="5" s="1"/>
  <c r="P35" i="11"/>
  <c r="G62" i="11"/>
  <c r="I62" i="11" s="1"/>
  <c r="O112" i="9"/>
  <c r="P80" i="9" s="1"/>
  <c r="R80" i="9" s="1"/>
  <c r="AA25" i="14"/>
  <c r="F43" i="13" s="1"/>
  <c r="G43" i="13" s="1"/>
  <c r="Q44" i="9" s="1"/>
  <c r="AC29" i="4"/>
  <c r="AI29" i="4" s="1"/>
  <c r="B28" i="6"/>
  <c r="B14" i="6"/>
  <c r="AO36" i="4"/>
  <c r="AC151" i="4"/>
  <c r="AI151" i="4" s="1"/>
  <c r="AI123" i="4"/>
  <c r="AM123" i="4" s="1"/>
  <c r="AC15" i="4"/>
  <c r="B13" i="6"/>
  <c r="AI157" i="4"/>
  <c r="B27" i="6"/>
  <c r="AL157" i="4"/>
  <c r="S21" i="2"/>
  <c r="F16" i="5" s="1"/>
  <c r="AO10" i="4"/>
  <c r="AK29" i="4" l="1"/>
  <c r="F54" i="5"/>
  <c r="AK15" i="4"/>
  <c r="F25" i="5"/>
  <c r="AM29" i="4"/>
  <c r="AO29" i="4" s="1"/>
  <c r="W157" i="4"/>
  <c r="H19" i="7"/>
  <c r="Y157" i="4"/>
  <c r="H18" i="7"/>
  <c r="H12" i="7"/>
  <c r="K157" i="4"/>
  <c r="H20" i="7"/>
  <c r="AA157" i="4"/>
  <c r="H16" i="7"/>
  <c r="S157" i="4"/>
  <c r="H11" i="7"/>
  <c r="I157" i="4"/>
  <c r="H14" i="7"/>
  <c r="O157" i="4"/>
  <c r="P16" i="9"/>
  <c r="P99" i="9"/>
  <c r="P61" i="9"/>
  <c r="H17" i="7"/>
  <c r="U11" i="14"/>
  <c r="U14" i="14" s="1"/>
  <c r="F30" i="13" s="1"/>
  <c r="G30" i="13" s="1"/>
  <c r="Q31" i="9" s="1"/>
  <c r="F17" i="13"/>
  <c r="G17" i="13" s="1"/>
  <c r="Q18" i="9" s="1"/>
  <c r="P14" i="9"/>
  <c r="P94" i="9"/>
  <c r="R94" i="9" s="1"/>
  <c r="P54" i="9"/>
  <c r="R54" i="9" s="1"/>
  <c r="P15" i="9"/>
  <c r="R15" i="9" s="1"/>
  <c r="P63" i="9"/>
  <c r="R63" i="9" s="1"/>
  <c r="P20" i="9"/>
  <c r="R20" i="9" s="1"/>
  <c r="P19" i="9"/>
  <c r="R19" i="9" s="1"/>
  <c r="P106" i="9"/>
  <c r="R106" i="9" s="1"/>
  <c r="P22" i="9"/>
  <c r="R22" i="9" s="1"/>
  <c r="P96" i="9"/>
  <c r="P10" i="9"/>
  <c r="R10" i="9" s="1"/>
  <c r="P90" i="9"/>
  <c r="P101" i="9"/>
  <c r="R101" i="9" s="1"/>
  <c r="P66" i="9"/>
  <c r="P47" i="9"/>
  <c r="P71" i="9"/>
  <c r="R71" i="9" s="1"/>
  <c r="P42" i="9"/>
  <c r="P11" i="9"/>
  <c r="R11" i="9" s="1"/>
  <c r="P91" i="9"/>
  <c r="R91" i="9" s="1"/>
  <c r="P45" i="9"/>
  <c r="R45" i="9" s="1"/>
  <c r="P64" i="9"/>
  <c r="R64" i="9" s="1"/>
  <c r="P107" i="9"/>
  <c r="R107" i="9" s="1"/>
  <c r="P37" i="9"/>
  <c r="P65" i="9"/>
  <c r="P67" i="9"/>
  <c r="P69" i="9"/>
  <c r="R69" i="9" s="1"/>
  <c r="P51" i="9"/>
  <c r="P48" i="9"/>
  <c r="P108" i="9"/>
  <c r="R108" i="9" s="1"/>
  <c r="P103" i="9"/>
  <c r="R103" i="9" s="1"/>
  <c r="P73" i="9"/>
  <c r="R73" i="9" s="1"/>
  <c r="P27" i="9"/>
  <c r="P98" i="9"/>
  <c r="P93" i="9"/>
  <c r="P59" i="9"/>
  <c r="R59" i="9" s="1"/>
  <c r="P23" i="9"/>
  <c r="P70" i="9"/>
  <c r="R70" i="9" s="1"/>
  <c r="P82" i="9"/>
  <c r="R82" i="9" s="1"/>
  <c r="P62" i="9"/>
  <c r="P41" i="9"/>
  <c r="P28" i="9"/>
  <c r="P52" i="9"/>
  <c r="P68" i="9"/>
  <c r="P86" i="9"/>
  <c r="R86" i="9" s="1"/>
  <c r="P88" i="9"/>
  <c r="P79" i="9"/>
  <c r="R79" i="9" s="1"/>
  <c r="P105" i="9"/>
  <c r="R105" i="9" s="1"/>
  <c r="P34" i="9"/>
  <c r="P77" i="9"/>
  <c r="R77" i="9" s="1"/>
  <c r="P110" i="9"/>
  <c r="R110" i="9" s="1"/>
  <c r="P100" i="9"/>
  <c r="R100" i="9" s="1"/>
  <c r="P95" i="9"/>
  <c r="P40" i="9"/>
  <c r="R40" i="9" s="1"/>
  <c r="P8" i="9"/>
  <c r="P87" i="9"/>
  <c r="P89" i="9"/>
  <c r="R89" i="9" s="1"/>
  <c r="P21" i="9"/>
  <c r="P81" i="9"/>
  <c r="R81" i="9" s="1"/>
  <c r="P30" i="9"/>
  <c r="P13" i="9"/>
  <c r="P78" i="9"/>
  <c r="R78" i="9" s="1"/>
  <c r="P58" i="9"/>
  <c r="P38" i="9"/>
  <c r="P56" i="9"/>
  <c r="P72" i="9"/>
  <c r="R72" i="9" s="1"/>
  <c r="P9" i="9"/>
  <c r="P104" i="9"/>
  <c r="R104" i="9" s="1"/>
  <c r="P17" i="9"/>
  <c r="P57" i="9"/>
  <c r="P46" i="9"/>
  <c r="P97" i="9"/>
  <c r="P75" i="9"/>
  <c r="R75" i="9" s="1"/>
  <c r="P44" i="9"/>
  <c r="P102" i="9"/>
  <c r="R102" i="9" s="1"/>
  <c r="P92" i="9"/>
  <c r="R92" i="9" s="1"/>
  <c r="P55" i="9"/>
  <c r="R55" i="9" s="1"/>
  <c r="P31" i="9"/>
  <c r="P29" i="9"/>
  <c r="P109" i="9"/>
  <c r="R109" i="9" s="1"/>
  <c r="P53" i="9"/>
  <c r="P12" i="9"/>
  <c r="P18" i="9"/>
  <c r="P49" i="9"/>
  <c r="P26" i="9"/>
  <c r="P36" i="9"/>
  <c r="P74" i="9"/>
  <c r="R74" i="9" s="1"/>
  <c r="P43" i="9"/>
  <c r="P60" i="9"/>
  <c r="P76" i="9"/>
  <c r="R76" i="9" s="1"/>
  <c r="B31" i="6"/>
  <c r="G55" i="11"/>
  <c r="I55" i="11" s="1"/>
  <c r="P25" i="9"/>
  <c r="P24" i="9"/>
  <c r="P50" i="9"/>
  <c r="R50" i="9" s="1"/>
  <c r="P39" i="9"/>
  <c r="R39" i="9" s="1"/>
  <c r="P35" i="9"/>
  <c r="R35" i="9" s="1"/>
  <c r="P33" i="9"/>
  <c r="P32" i="9"/>
  <c r="H13" i="7"/>
  <c r="M157" i="4"/>
  <c r="U157" i="4"/>
  <c r="H15" i="7"/>
  <c r="Q157" i="4"/>
  <c r="N15" i="8"/>
  <c r="B16" i="6"/>
  <c r="B23" i="6" s="1"/>
  <c r="AI15" i="4"/>
  <c r="AC74" i="4"/>
  <c r="AO123" i="4"/>
  <c r="AM151" i="4"/>
  <c r="AP150" i="4"/>
  <c r="AP37" i="4" l="1"/>
  <c r="AM15" i="4"/>
  <c r="AK74" i="4"/>
  <c r="AK152" i="4" s="1"/>
  <c r="F70" i="5"/>
  <c r="F332" i="5"/>
  <c r="F333" i="5" s="1"/>
  <c r="B33" i="6" s="1"/>
  <c r="B35" i="6" s="1"/>
  <c r="B47" i="6" s="1"/>
  <c r="B39" i="6"/>
  <c r="B44" i="6" s="1"/>
  <c r="R16" i="9"/>
  <c r="R14" i="9"/>
  <c r="R61" i="9"/>
  <c r="P111" i="9"/>
  <c r="R44" i="9"/>
  <c r="R60" i="9"/>
  <c r="R95" i="9"/>
  <c r="R34" i="9"/>
  <c r="R99" i="9"/>
  <c r="R28" i="9"/>
  <c r="R98" i="9"/>
  <c r="R67" i="9"/>
  <c r="R47" i="9"/>
  <c r="R32" i="9"/>
  <c r="R43" i="9"/>
  <c r="R49" i="9"/>
  <c r="R97" i="9"/>
  <c r="R38" i="9"/>
  <c r="R30" i="9"/>
  <c r="R87" i="9"/>
  <c r="R41" i="9"/>
  <c r="R27" i="9"/>
  <c r="R48" i="9"/>
  <c r="R65" i="9"/>
  <c r="R66" i="9"/>
  <c r="R96" i="9"/>
  <c r="R53" i="9"/>
  <c r="R56" i="9"/>
  <c r="R33" i="9"/>
  <c r="R24" i="9"/>
  <c r="R26" i="9"/>
  <c r="R29" i="9"/>
  <c r="R46" i="9"/>
  <c r="R68" i="9"/>
  <c r="R62" i="9"/>
  <c r="R51" i="9"/>
  <c r="R37" i="9"/>
  <c r="R42" i="9"/>
  <c r="R25" i="9"/>
  <c r="R36" i="9"/>
  <c r="R31" i="9"/>
  <c r="R88" i="9"/>
  <c r="R52" i="9"/>
  <c r="R93" i="9"/>
  <c r="R90" i="9"/>
  <c r="P83" i="9"/>
  <c r="R18" i="9"/>
  <c r="R8" i="9"/>
  <c r="R12" i="9"/>
  <c r="R21" i="9"/>
  <c r="R9" i="9"/>
  <c r="R17" i="9"/>
  <c r="R13" i="9"/>
  <c r="R23" i="9"/>
  <c r="K23" i="7"/>
  <c r="K34" i="7" s="1"/>
  <c r="K52" i="7" s="1"/>
  <c r="AE157" i="4"/>
  <c r="N25" i="8"/>
  <c r="AE25" i="14"/>
  <c r="AG25" i="14"/>
  <c r="AC152" i="4"/>
  <c r="AI74" i="4"/>
  <c r="AI152" i="4" s="1"/>
  <c r="AL156" i="4" s="1"/>
  <c r="AO15" i="4"/>
  <c r="AP23" i="4"/>
  <c r="AM74" i="4"/>
  <c r="AL155" i="4" s="1"/>
  <c r="D36" i="6" l="1"/>
  <c r="B48" i="6"/>
  <c r="D47" i="6" s="1"/>
  <c r="P112" i="9"/>
  <c r="B36" i="6"/>
  <c r="R111" i="9"/>
  <c r="F56" i="13"/>
  <c r="G56" i="13" s="1"/>
  <c r="Q57" i="9" s="1"/>
  <c r="R57" i="9" s="1"/>
  <c r="F57" i="13"/>
  <c r="G57" i="13" s="1"/>
  <c r="Q58" i="9" s="1"/>
  <c r="R58" i="9" s="1"/>
  <c r="R83" i="9" l="1"/>
  <c r="R112" i="9" s="1"/>
  <c r="S32" i="11"/>
  <c r="U32" i="11" s="1"/>
  <c r="I22" i="11"/>
  <c r="P50" i="11"/>
  <c r="R52" i="11" s="1"/>
  <c r="S52" i="11" s="1"/>
  <c r="G47" i="11" s="1"/>
  <c r="I47" i="11" s="1"/>
  <c r="G53" i="11" l="1"/>
  <c r="I53" i="11" s="1"/>
  <c r="I31" i="11"/>
</calcChain>
</file>

<file path=xl/sharedStrings.xml><?xml version="1.0" encoding="utf-8"?>
<sst xmlns="http://schemas.openxmlformats.org/spreadsheetml/2006/main" count="2776" uniqueCount="1089">
  <si>
    <t>LAPORAN PEMBELIAN BAHAN ( KREDIT )</t>
  </si>
  <si>
    <t>CABANG</t>
  </si>
  <si>
    <t>:</t>
  </si>
  <si>
    <t>PERIODE</t>
  </si>
  <si>
    <t>TANGGAL</t>
  </si>
  <si>
    <t>NAMA SUPLIER</t>
  </si>
  <si>
    <t>NAMA BAHAN</t>
  </si>
  <si>
    <t>NOMOR</t>
  </si>
  <si>
    <t>JUMLAH</t>
  </si>
  <si>
    <t>HARGA</t>
  </si>
  <si>
    <t>TOTAL</t>
  </si>
  <si>
    <t>TOTAL PPN</t>
  </si>
  <si>
    <t>UNIT PPN</t>
  </si>
  <si>
    <t>FAKTUR</t>
  </si>
  <si>
    <t>( UNIT )</t>
  </si>
  <si>
    <t>JTH TEMPO</t>
  </si>
  <si>
    <t>DIBAYAR</t>
  </si>
  <si>
    <t>SUB TOTAL KREDIT BARGUD</t>
  </si>
  <si>
    <t>SUB TOTAL KREDIT SUPLAYER</t>
  </si>
  <si>
    <t>SUB TOTAL KREDIT BARGUD &amp; AYAM</t>
  </si>
  <si>
    <t>Paraf Supervisor</t>
  </si>
  <si>
    <t>BERAT PCS</t>
  </si>
  <si>
    <t>BERAT EKOR</t>
  </si>
  <si>
    <t>HARGA TOTAL</t>
  </si>
  <si>
    <t>HARGA PER PCS</t>
  </si>
  <si>
    <t>NOMER FAKTUR</t>
  </si>
  <si>
    <t>NAMA UNIT</t>
  </si>
  <si>
    <t>MENTOK</t>
  </si>
  <si>
    <t>DADA</t>
  </si>
  <si>
    <t>PAHA ATAS</t>
  </si>
  <si>
    <t>PAHA BAWAH</t>
  </si>
  <si>
    <t>SAYAP</t>
  </si>
  <si>
    <t>UNIT</t>
  </si>
  <si>
    <t>HARGA PER UNIT</t>
  </si>
  <si>
    <t xml:space="preserve">TO / TI   PERKEDEL </t>
  </si>
  <si>
    <t>TO / TI   CATTERING STAFF</t>
  </si>
  <si>
    <t xml:space="preserve">TO / TI   FREE </t>
  </si>
  <si>
    <t>TO / TI   CHICKEN PATTY</t>
  </si>
  <si>
    <t>CABANG             :</t>
  </si>
  <si>
    <t>PERIODE / TGL :</t>
  </si>
  <si>
    <t>QTY</t>
  </si>
  <si>
    <t>HARGA BELI</t>
  </si>
  <si>
    <t>NAMA PRODUCT</t>
  </si>
  <si>
    <t>HARGA JUAL</t>
  </si>
  <si>
    <t>DAGING / MENTOK</t>
  </si>
  <si>
    <t>DAGING AYAM/MENTOK</t>
  </si>
  <si>
    <t>P.ATAS</t>
  </si>
  <si>
    <t>P.BAWAH</t>
  </si>
  <si>
    <t>DAGING GILING</t>
  </si>
  <si>
    <t>BAWANG MERAH</t>
  </si>
  <si>
    <t>ROTI TAWAR</t>
  </si>
  <si>
    <t>BAWANG PUTIH</t>
  </si>
  <si>
    <t>NASI</t>
  </si>
  <si>
    <t>SUSU ULTRA</t>
  </si>
  <si>
    <t>PREMIK PERKEDEL</t>
  </si>
  <si>
    <t>BAWANG BOMBAY</t>
  </si>
  <si>
    <t>BATANG SLEDRI</t>
  </si>
  <si>
    <t>KUNING TELUR</t>
  </si>
  <si>
    <t>KENTANG MANUAL</t>
  </si>
  <si>
    <t>TELUR</t>
  </si>
  <si>
    <t>SUB TOTAL</t>
  </si>
  <si>
    <t>MARGARIN</t>
  </si>
  <si>
    <t>Perkedel Jadi</t>
  </si>
  <si>
    <t>HPP</t>
  </si>
  <si>
    <t>FOOD COST</t>
  </si>
  <si>
    <t>Chicken Patty Jadi</t>
  </si>
  <si>
    <t>PARAF</t>
  </si>
  <si>
    <t>BUAT BERAPA RESEP</t>
  </si>
  <si>
    <t>FOOD COST PERIODE KEMARIN</t>
  </si>
  <si>
    <t>TOLONG DIBACA SEBELUM MENGISI TO/TI</t>
  </si>
  <si>
    <t>RUMUS PERKEDEL</t>
  </si>
  <si>
    <t>RUMUS C. PATTY</t>
  </si>
  <si>
    <t>CATATAN :</t>
  </si>
  <si>
    <t xml:space="preserve">1. TO/TI PERKEDEL TINGGAL MENGISI MANUAL KOLOM </t>
  </si>
  <si>
    <t>BUAT BERPA RESEP DAN PERKEDEL JADI .</t>
  </si>
  <si>
    <t xml:space="preserve">2. TO/TI PERKEDEL KOLOM AYAM DI ISI MANUAL </t>
  </si>
  <si>
    <t>3. TO/TI FREE DIISI MANUAL</t>
  </si>
  <si>
    <r>
      <t xml:space="preserve">4. </t>
    </r>
    <r>
      <rPr>
        <b/>
        <sz val="12"/>
        <rFont val="Calibri"/>
        <family val="2"/>
      </rPr>
      <t>FOOD COST PERIODE KEMARIN DIISI DAN DISESUAIKAN</t>
    </r>
  </si>
  <si>
    <t>5. TO/TI CATTERING STAFF DIISI MANUAL</t>
  </si>
  <si>
    <r>
      <t xml:space="preserve">6. TO/TI CHICKEN PATTY DIISI MANUAL </t>
    </r>
    <r>
      <rPr>
        <b/>
        <sz val="12"/>
        <rFont val="Calibri"/>
        <family val="2"/>
      </rPr>
      <t>PAHA BAWAH</t>
    </r>
    <r>
      <rPr>
        <sz val="10"/>
        <rFont val="Calibri"/>
        <family val="2"/>
      </rPr>
      <t xml:space="preserve"> ATAU </t>
    </r>
  </si>
  <si>
    <r>
      <rPr>
        <b/>
        <sz val="11"/>
        <rFont val="Calibri"/>
        <family val="2"/>
      </rPr>
      <t>MENTOK</t>
    </r>
    <r>
      <rPr>
        <sz val="10"/>
        <rFont val="Calibri"/>
        <family val="2"/>
      </rPr>
      <t xml:space="preserve"> YG DIGUNAKAN DAN BERAPA RESEP</t>
    </r>
  </si>
  <si>
    <t>7. TO/TI JUAL BARANG GUDANG DAN TO/TI FREE DIMASUKAN</t>
  </si>
  <si>
    <t>MANUAL DI VENDOR</t>
  </si>
  <si>
    <t>8. KALO TIDAK BIKIN TO/TI PERKEDEL DAN CHCIKEN PATTY</t>
  </si>
  <si>
    <t>MAKA KOLOM BUAT BERAPA RESEP DI HAPUS SAJA</t>
  </si>
  <si>
    <t>LAPORAN PENGELUARAN KAS KECIL</t>
  </si>
  <si>
    <t>CABANG :</t>
  </si>
  <si>
    <t>PERIODE :</t>
  </si>
  <si>
    <t>TGL</t>
  </si>
  <si>
    <t>NO</t>
  </si>
  <si>
    <t xml:space="preserve">BAHAN </t>
  </si>
  <si>
    <t>BAHAN</t>
  </si>
  <si>
    <t>MINYAK</t>
  </si>
  <si>
    <t xml:space="preserve">GROCERIES / </t>
  </si>
  <si>
    <t>TRANSPORT</t>
  </si>
  <si>
    <t>FOTO COPY /</t>
  </si>
  <si>
    <t>NO ACC</t>
  </si>
  <si>
    <t>LAIN - LAIN</t>
  </si>
  <si>
    <t xml:space="preserve">SALDO </t>
  </si>
  <si>
    <t>NOTA</t>
  </si>
  <si>
    <t>AYAM</t>
  </si>
  <si>
    <t>PELENGKAP</t>
  </si>
  <si>
    <t>ES</t>
  </si>
  <si>
    <t>MINUMAN</t>
  </si>
  <si>
    <t>PEMBUNGKUS</t>
  </si>
  <si>
    <t>GORENG</t>
  </si>
  <si>
    <t>BUMBU</t>
  </si>
  <si>
    <t>PEMBERSIH</t>
  </si>
  <si>
    <t>ATK</t>
  </si>
  <si>
    <t>( Rp )</t>
  </si>
  <si>
    <t>KETERANGAN</t>
  </si>
  <si>
    <t>TOTAL PERIODE</t>
  </si>
  <si>
    <t xml:space="preserve"> </t>
  </si>
  <si>
    <t>VENDOR REPORT</t>
  </si>
  <si>
    <t xml:space="preserve">PENCATATAN PEMBELIAN AYAM KREDIT </t>
  </si>
  <si>
    <t>TGL FAKTUR</t>
  </si>
  <si>
    <t>PEMAKAIAN</t>
  </si>
  <si>
    <t>PERSEDIAAN</t>
  </si>
  <si>
    <t>KHUSUS TO/TI ( - )</t>
  </si>
  <si>
    <t>KREDIT BARGUD</t>
  </si>
  <si>
    <t>KREDIT BAHAN BAKU</t>
  </si>
  <si>
    <t>KETERANGAN BAHAN</t>
  </si>
  <si>
    <t>MINGGU LALU</t>
  </si>
  <si>
    <t>AWAL</t>
  </si>
  <si>
    <t>C.PATTY/CATTERING STAFF( - )</t>
  </si>
  <si>
    <t>PEMBELIAN</t>
  </si>
  <si>
    <t>AKHIR</t>
  </si>
  <si>
    <t>MINGGU INI</t>
  </si>
  <si>
    <t>HARI</t>
  </si>
  <si>
    <t>DLM SATUAN</t>
  </si>
  <si>
    <t>PERKEDEL/BARGUD</t>
  </si>
  <si>
    <t>AYAM DLL</t>
  </si>
  <si>
    <t xml:space="preserve">HARI </t>
  </si>
  <si>
    <t>SABTU</t>
  </si>
  <si>
    <t>Rp</t>
  </si>
  <si>
    <t>Unit</t>
  </si>
  <si>
    <t>RP.</t>
  </si>
  <si>
    <t xml:space="preserve">UNIT </t>
  </si>
  <si>
    <t>DADA MENTOK</t>
  </si>
  <si>
    <t xml:space="preserve">DADA </t>
  </si>
  <si>
    <t>A</t>
  </si>
  <si>
    <t>Y</t>
  </si>
  <si>
    <t>MARINADE</t>
  </si>
  <si>
    <t>M</t>
  </si>
  <si>
    <t>P</t>
  </si>
  <si>
    <t>E</t>
  </si>
  <si>
    <t>L</t>
  </si>
  <si>
    <t>N</t>
  </si>
  <si>
    <t>G</t>
  </si>
  <si>
    <t>K</t>
  </si>
  <si>
    <t>BAHAN ROTI</t>
  </si>
  <si>
    <t>BA</t>
  </si>
  <si>
    <t>HA</t>
  </si>
  <si>
    <t xml:space="preserve">BAHAN ES </t>
  </si>
  <si>
    <t>DESSERT</t>
  </si>
  <si>
    <t>I</t>
  </si>
  <si>
    <t>U</t>
  </si>
  <si>
    <t>TOTAL LEMBAR 1</t>
  </si>
  <si>
    <t xml:space="preserve">    NB : PEMBELIAN AYAM CASH DIMASUKAN MANUAL  DAN PEMBELIAN AYAM KREDIT WAJIB DIISI DI KOLOM PEMBELIAN KREDIT KHUSUS AYAM DAN MARINADE</t>
  </si>
  <si>
    <t xml:space="preserve">    NB : KREDIT BARANG GUDANG DIMASUKAN MANUAL SENDIRI DAN PEMAKAIAN MINGGU LALU ATAU PERSEDIAAN AWAL DIISI MANUAL DAN TO/TI DIISI MANUAL JUGA .TO TANDA ( - )</t>
  </si>
  <si>
    <t>KHUSUS TO/TI</t>
  </si>
  <si>
    <t>C.PATTY/CATTERING STAFF</t>
  </si>
  <si>
    <t>B</t>
  </si>
  <si>
    <t>S</t>
  </si>
  <si>
    <t>PAPPER</t>
  </si>
  <si>
    <t xml:space="preserve">TOTAL </t>
  </si>
  <si>
    <t>BAHAN PERKEDEL</t>
  </si>
  <si>
    <t>BAHAN NASGOR DLL</t>
  </si>
  <si>
    <t>R</t>
  </si>
  <si>
    <t>O</t>
  </si>
  <si>
    <t>C</t>
  </si>
  <si>
    <t>GROCERIES</t>
  </si>
  <si>
    <t>TOTAL LEMBAR KE 2</t>
  </si>
  <si>
    <t>SUB TOTAL LEMBAR 1 &amp; 2</t>
  </si>
  <si>
    <t>TOTAL PEM. FOOD KREDIT</t>
  </si>
  <si>
    <t>P. FOOD KREDIT</t>
  </si>
  <si>
    <t>TOTAL PEMAKAIAN</t>
  </si>
  <si>
    <t>TOTAL PEM. PAPER KREDIT</t>
  </si>
  <si>
    <t>P. PAPER KREDIT</t>
  </si>
  <si>
    <t>TOTAL PEM. FOOD CASH</t>
  </si>
  <si>
    <t>P. FOOD CASH</t>
  </si>
  <si>
    <t>TOTAL PEM. PAPER CASH</t>
  </si>
  <si>
    <t>P. PAPER CASH</t>
  </si>
  <si>
    <t>TOTAL  PENJ. BERSIH</t>
  </si>
  <si>
    <t>TO/TI</t>
  </si>
  <si>
    <t>TOPI ULTAH</t>
  </si>
  <si>
    <t>GAS FIRE TORCH</t>
  </si>
  <si>
    <t>GAS ELPIJI</t>
  </si>
  <si>
    <t>STRUK REGISTER</t>
  </si>
  <si>
    <t>PLASTIK SAMPAH</t>
  </si>
  <si>
    <t>OTHERS</t>
  </si>
  <si>
    <t>BAHAN PEMBERSIH</t>
  </si>
  <si>
    <t>FOTOCOPY &amp; ATK</t>
  </si>
  <si>
    <t>TF GRAB</t>
  </si>
  <si>
    <t>WIFI</t>
  </si>
  <si>
    <t>ASSET RESTO</t>
  </si>
  <si>
    <t>ASSET DAPUR</t>
  </si>
  <si>
    <t>GAJI STAFF</t>
  </si>
  <si>
    <t>BPJS(KESEJAHTERAAN KARYAWAN)</t>
  </si>
  <si>
    <t>PDAM</t>
  </si>
  <si>
    <t>TOTAL LEMBAR KE 3</t>
  </si>
  <si>
    <t>+</t>
  </si>
  <si>
    <t>TRANSFER IN    -----------</t>
  </si>
  <si>
    <t>-</t>
  </si>
  <si>
    <t>TRANSFER OUT   ---------</t>
  </si>
  <si>
    <t>TO. CATTERING STAFF</t>
  </si>
  <si>
    <t>TO. VOUCHER / PROMOSI</t>
  </si>
  <si>
    <t>SUB TOTAL PEMBELIAN</t>
  </si>
  <si>
    <t>NB.</t>
  </si>
  <si>
    <t>PENAMBAHAN BAHAN BAKU PADA KOLOM KETERANGAN BAHAN DI VENDOR BISA DI TAMBAHKAN PADA LAPORAN WEEKLY SESUIA DENGAN PENGELOMPOKAN BAHAN BAKU .</t>
  </si>
  <si>
    <t>HASIL PRINT OUT VENDOR REPORT JADI 3 LEMBAR / 5 LEMBAR</t>
  </si>
  <si>
    <t xml:space="preserve">  </t>
  </si>
  <si>
    <t>WEEKLY / MONTHLY INVENTORI</t>
  </si>
  <si>
    <t>Cabang    :</t>
  </si>
  <si>
    <t>Periode    :</t>
  </si>
  <si>
    <t>PRICE</t>
  </si>
  <si>
    <t>TOTAL (Rp)</t>
  </si>
  <si>
    <t>BAHAN AYAM</t>
  </si>
  <si>
    <t>Pcs</t>
  </si>
  <si>
    <t>CHICKEN PATTY</t>
  </si>
  <si>
    <t>AYAM WHOLE</t>
  </si>
  <si>
    <t>II</t>
  </si>
  <si>
    <t>BAHAN PELENGKAP</t>
  </si>
  <si>
    <t xml:space="preserve">VEGETABLE MIX </t>
  </si>
  <si>
    <t>Kg</t>
  </si>
  <si>
    <t>BERAS</t>
  </si>
  <si>
    <t>FRENCH FRIES</t>
  </si>
  <si>
    <t>ROTI BURGER</t>
  </si>
  <si>
    <t>SOSIS</t>
  </si>
  <si>
    <t>PERKEDEL</t>
  </si>
  <si>
    <t>pcs</t>
  </si>
  <si>
    <t>kg</t>
  </si>
  <si>
    <t xml:space="preserve">NUGGET COIN </t>
  </si>
  <si>
    <t>BAKSO</t>
  </si>
  <si>
    <t>SLICED CHEESE</t>
  </si>
  <si>
    <t>KEJU BATANG (170 GR )</t>
  </si>
  <si>
    <t>Pack</t>
  </si>
  <si>
    <t>TEPUNG ROTI (PANIR)</t>
  </si>
  <si>
    <t>CUKA DIXI 150 ML</t>
  </si>
  <si>
    <t>Botol</t>
  </si>
  <si>
    <t>DRESSING BURGER</t>
  </si>
  <si>
    <t>Resep</t>
  </si>
  <si>
    <t xml:space="preserve">   </t>
  </si>
  <si>
    <t>MARGARINE( 200 GR )</t>
  </si>
  <si>
    <t>TOMAT</t>
  </si>
  <si>
    <t>SELADA</t>
  </si>
  <si>
    <t>GULA HALUS 250 GR</t>
  </si>
  <si>
    <t>SUSU ULTRA( 250 ML )</t>
  </si>
  <si>
    <t>TOTAL BAHAN ROTI</t>
  </si>
  <si>
    <t>III</t>
  </si>
  <si>
    <t>BAHAN ES</t>
  </si>
  <si>
    <t>GULA PASIR</t>
  </si>
  <si>
    <t>ICE CREAM EMBER</t>
  </si>
  <si>
    <t>SUSU PUTIH</t>
  </si>
  <si>
    <t xml:space="preserve">AIR GALON </t>
  </si>
  <si>
    <t>Gln</t>
  </si>
  <si>
    <t>ES BATU</t>
  </si>
  <si>
    <t>pack</t>
  </si>
  <si>
    <t>SIMPLE SYRUP</t>
  </si>
  <si>
    <t>Ltr</t>
  </si>
  <si>
    <t xml:space="preserve">TOTAL BAHAN ES </t>
  </si>
  <si>
    <t>IV</t>
  </si>
  <si>
    <t>BAHAN MINUMAN</t>
  </si>
  <si>
    <t>TEH BOTOL SOSRO (TBS)</t>
  </si>
  <si>
    <t>TEH SOSRO POUCH (TBO)</t>
  </si>
  <si>
    <t>S-TEE</t>
  </si>
  <si>
    <t>CAPPUCINO</t>
  </si>
  <si>
    <t>AIR MINERAL BOTOL (AMB)</t>
  </si>
  <si>
    <t>AIR MINERAL CUP (AMC)</t>
  </si>
  <si>
    <t>MILO</t>
  </si>
  <si>
    <t>NESTEA</t>
  </si>
  <si>
    <t>ORANGE</t>
  </si>
  <si>
    <t>TEH GOPEK</t>
  </si>
  <si>
    <t>V</t>
  </si>
  <si>
    <t>BAHAN PEMBUNGKUS</t>
  </si>
  <si>
    <t>PLASTIK JAGUNG</t>
  </si>
  <si>
    <t>PLASTIK SEDANG SC</t>
  </si>
  <si>
    <t>PLASTIK KECIL SC</t>
  </si>
  <si>
    <t>PLASTIK BESAR SC</t>
  </si>
  <si>
    <t>SEDOTAN PLASTIK</t>
  </si>
  <si>
    <t>KERTAS MINYAK</t>
  </si>
  <si>
    <t>Lbr</t>
  </si>
  <si>
    <t>BOX CATT KECIL</t>
  </si>
  <si>
    <t>BOX AW (AYAM WHOLE)</t>
  </si>
  <si>
    <t>COVER NASI</t>
  </si>
  <si>
    <t>COVER BURGER</t>
  </si>
  <si>
    <t>ROLL CUP SEALER</t>
  </si>
  <si>
    <t>Roll</t>
  </si>
  <si>
    <t>TISSUE</t>
  </si>
  <si>
    <t>KANTONG KERTAS</t>
  </si>
  <si>
    <t>CUP MINUMAN</t>
  </si>
  <si>
    <t>PAPER FRENCH FRIES</t>
  </si>
  <si>
    <t>CUP PUDING 35 ML</t>
  </si>
  <si>
    <t>PLASTIK KLIP KECIL (TAKE AWAY)</t>
  </si>
  <si>
    <t>PLASTIK JUMBO POLOS</t>
  </si>
  <si>
    <t>PLASTIK SEDANG POLOS</t>
  </si>
  <si>
    <t>VI</t>
  </si>
  <si>
    <t>BAHAN MINYAK</t>
  </si>
  <si>
    <t>MINYAK FREYER</t>
  </si>
  <si>
    <t>MINYAK WAJAN</t>
  </si>
  <si>
    <t>VII</t>
  </si>
  <si>
    <t>BAHAN GROCERIES / BUMBU</t>
  </si>
  <si>
    <t>Peck</t>
  </si>
  <si>
    <t>Btl</t>
  </si>
  <si>
    <t>Rso</t>
  </si>
  <si>
    <t>Jrg</t>
  </si>
  <si>
    <t>Klg</t>
  </si>
  <si>
    <t>Gr</t>
  </si>
  <si>
    <t>GRAND TOTAL</t>
  </si>
  <si>
    <t>Tab</t>
  </si>
  <si>
    <t>Glg</t>
  </si>
  <si>
    <t>Dus</t>
  </si>
  <si>
    <t>Total Lembar 1</t>
  </si>
  <si>
    <t>GARAM(250 gr)</t>
  </si>
  <si>
    <t xml:space="preserve">DAUN SELEDRI </t>
  </si>
  <si>
    <t>BAHAN NASGOR</t>
  </si>
  <si>
    <t>JUMLAH BAHAN PERKEDEL</t>
  </si>
  <si>
    <t>DAUNG BAWANG</t>
  </si>
  <si>
    <t>CABE MERAH BESAR / TEROPONG</t>
  </si>
  <si>
    <t>CABE RAWIT MERAH</t>
  </si>
  <si>
    <t>CABE RAWIT HIJAU</t>
  </si>
  <si>
    <t>TIMUN</t>
  </si>
  <si>
    <t>KOBIS /KOL</t>
  </si>
  <si>
    <t>SAWI</t>
  </si>
  <si>
    <t>BUNCIS</t>
  </si>
  <si>
    <t>WORTEL</t>
  </si>
  <si>
    <t>JUMLAH BAHAN NASGOR</t>
  </si>
  <si>
    <t>BUTTER MIX</t>
  </si>
  <si>
    <t>MAYONASE</t>
  </si>
  <si>
    <t>TEPUNG CAKRA</t>
  </si>
  <si>
    <t>SAMBAL SACHET</t>
  </si>
  <si>
    <t>TOMATO SACHET</t>
  </si>
  <si>
    <t>PREMIX MIE GORENG</t>
  </si>
  <si>
    <t>PREMIX GEPREK</t>
  </si>
  <si>
    <t>PREMIK STEAK</t>
  </si>
  <si>
    <t>PREMIK NASGOR</t>
  </si>
  <si>
    <t>MASAKO AYAM</t>
  </si>
  <si>
    <t>MIE GORENG CAP 3</t>
  </si>
  <si>
    <t>TOTAL LEMBAR 2</t>
  </si>
  <si>
    <t>TOTAL FOOD DAN PAPER</t>
  </si>
  <si>
    <t>TOTAL FOOD</t>
  </si>
  <si>
    <t>TOTAL PAPER</t>
  </si>
  <si>
    <t>BIAYA</t>
  </si>
  <si>
    <t>VIII</t>
  </si>
  <si>
    <t>PROMO</t>
  </si>
  <si>
    <t xml:space="preserve">BALON </t>
  </si>
  <si>
    <t>UNDANGAN</t>
  </si>
  <si>
    <t>MOBIL - MOBILAN (PAKET PROMO)</t>
  </si>
  <si>
    <t>IX</t>
  </si>
  <si>
    <t>GAS</t>
  </si>
  <si>
    <t>X</t>
  </si>
  <si>
    <t>PEMBERSIH KACA</t>
  </si>
  <si>
    <t>SABUN TANGAN</t>
  </si>
  <si>
    <t>SABUN LANTAI</t>
  </si>
  <si>
    <t>PENCUCI PIRING</t>
  </si>
  <si>
    <t>DETERJEN BUBUK</t>
  </si>
  <si>
    <t>Bks</t>
  </si>
  <si>
    <t>XI</t>
  </si>
  <si>
    <t>PARAF SUPERVISOR</t>
  </si>
  <si>
    <t>#  HASIL  PRINT WEKLLY JADI 5 LEMBAR.</t>
  </si>
  <si>
    <t>LAPORAN IKHTISAR FOOD COST</t>
  </si>
  <si>
    <t xml:space="preserve">CABANG : </t>
  </si>
  <si>
    <t xml:space="preserve">PERIODE: </t>
  </si>
  <si>
    <t>FOOD  &amp; BEVERAGE</t>
  </si>
  <si>
    <t>PAPER</t>
  </si>
  <si>
    <t>PERSEDIAAN AWAL</t>
  </si>
  <si>
    <t>TRANSFER IN (+) =</t>
  </si>
  <si>
    <t>C. PATTY</t>
  </si>
  <si>
    <t>TOTAL TRANSFER IN</t>
  </si>
  <si>
    <t>PEMBELIAN KREDIT</t>
  </si>
  <si>
    <t>PEMBELIAN KONTAN</t>
  </si>
  <si>
    <t>TOTAL PEMBELIAN</t>
  </si>
  <si>
    <t>JUMLAH YANG TERSEDIA</t>
  </si>
  <si>
    <t>TRANSFER OUT (-) =</t>
  </si>
  <si>
    <t>TO CATERING STAFF / FREE</t>
  </si>
  <si>
    <t>TOTAL TRANSFER OUT</t>
  </si>
  <si>
    <t>PERSEDIAAN AKHIR</t>
  </si>
  <si>
    <t>JUMLAH YANG DIPAKAI</t>
  </si>
  <si>
    <t xml:space="preserve"> (%)</t>
  </si>
  <si>
    <t>PENJUALAN KOTOR</t>
  </si>
  <si>
    <t>KOREKSI (-)</t>
  </si>
  <si>
    <t>DISCOUNT (-)</t>
  </si>
  <si>
    <t>KOMISI PENJUALAN ONLINE (-)</t>
  </si>
  <si>
    <t>TAX ( - )</t>
  </si>
  <si>
    <t>PENJUALAN BERSIH</t>
  </si>
  <si>
    <t>JUMLAH BAHAN YANG DIPAKAI</t>
  </si>
  <si>
    <t>JUMLAH PENJUALAN BERSIH</t>
  </si>
  <si>
    <t>LAPORAN CASH FLOW</t>
  </si>
  <si>
    <t>Periode  :</t>
  </si>
  <si>
    <t>SALDO AWAL PER ………………………..</t>
  </si>
  <si>
    <t>Penerimaan :</t>
  </si>
  <si>
    <t xml:space="preserve">Rp. </t>
  </si>
  <si>
    <t>Sales tanggal,</t>
  </si>
  <si>
    <t>Rp.</t>
  </si>
  <si>
    <t>Total Penerimaan Sales</t>
  </si>
  <si>
    <t>…..................................</t>
  </si>
  <si>
    <t>Penerimaan Lain - lain :</t>
  </si>
  <si>
    <t>…....................................</t>
  </si>
  <si>
    <t>Total Uang Yang Ada</t>
  </si>
  <si>
    <t>…...................................</t>
  </si>
  <si>
    <t>Pengeluaran :</t>
  </si>
  <si>
    <t>Belanja Tgl</t>
  </si>
  <si>
    <t>Total Pengeluaran</t>
  </si>
  <si>
    <t>SALDO AKHIR PER …………………..</t>
  </si>
  <si>
    <t>LAPORAN KAS &amp; PENJUALAN PER PERIODE</t>
  </si>
  <si>
    <t>Penjualan Kotor</t>
  </si>
  <si>
    <t>Komisi grab food</t>
  </si>
  <si>
    <t>Komisi shopee food</t>
  </si>
  <si>
    <t>Koreksi</t>
  </si>
  <si>
    <t xml:space="preserve">Discount </t>
  </si>
  <si>
    <t>Tax/ pajak  ( FULL PPN)</t>
  </si>
  <si>
    <t>Penjualan Bersih</t>
  </si>
  <si>
    <t>Transferan grab food</t>
  </si>
  <si>
    <t>Tax/Pajak ( SEBAGIAN PPN)</t>
  </si>
  <si>
    <t>Selisih Kas</t>
  </si>
  <si>
    <t>Kas yang harus disetor</t>
  </si>
  <si>
    <t>No.Rizet PLU / TTL</t>
  </si>
  <si>
    <t>Penjualan Mikas</t>
  </si>
  <si>
    <t>Penjualan Lain - lain</t>
  </si>
  <si>
    <t>Setor Bank</t>
  </si>
  <si>
    <t>Setor Pihak Gedung</t>
  </si>
  <si>
    <t>Jumlah Pembeli</t>
  </si>
  <si>
    <t>LAPORAN PENJUALAN</t>
  </si>
  <si>
    <t>Cabang  :</t>
  </si>
  <si>
    <t>Periode :</t>
  </si>
  <si>
    <t>PRODUCT</t>
  </si>
  <si>
    <t>%</t>
  </si>
  <si>
    <t>FC ITEM</t>
  </si>
  <si>
    <t>CON FC</t>
  </si>
  <si>
    <t>Harga</t>
  </si>
  <si>
    <t>( Unit )</t>
  </si>
  <si>
    <t>Dada</t>
  </si>
  <si>
    <t>Paha Atas</t>
  </si>
  <si>
    <t>Paha Bawah</t>
  </si>
  <si>
    <t>Sayap</t>
  </si>
  <si>
    <t>Chicken Strips</t>
  </si>
  <si>
    <t>Chicken Steak</t>
  </si>
  <si>
    <t>Dada Lembut</t>
  </si>
  <si>
    <t>French Fries</t>
  </si>
  <si>
    <t xml:space="preserve">Nasi </t>
  </si>
  <si>
    <t xml:space="preserve">Perkedel </t>
  </si>
  <si>
    <t>Chicken Burger</t>
  </si>
  <si>
    <t xml:space="preserve">Cheese Burger </t>
  </si>
  <si>
    <t xml:space="preserve">Nasi Goreng </t>
  </si>
  <si>
    <t>Telor Ceplok</t>
  </si>
  <si>
    <t>Nasi Goreng Spesial</t>
  </si>
  <si>
    <t>Nasi Goreng Telor Ceplok</t>
  </si>
  <si>
    <t>Mie Goreng</t>
  </si>
  <si>
    <t>Chicken 2 Pcs</t>
  </si>
  <si>
    <t>Paket Rocket 1</t>
  </si>
  <si>
    <t>Paket Sonic 1</t>
  </si>
  <si>
    <t>Paket Rocket 2</t>
  </si>
  <si>
    <t>Paket Sonic 2</t>
  </si>
  <si>
    <t>Paket Rocket 3</t>
  </si>
  <si>
    <t>Paket Sonic 3</t>
  </si>
  <si>
    <t>Paket Rocket 4</t>
  </si>
  <si>
    <t>Paket Sonic 4</t>
  </si>
  <si>
    <t>Paket Rocket 5</t>
  </si>
  <si>
    <t>Paket Sonic 5</t>
  </si>
  <si>
    <t>Paket Rocket 6</t>
  </si>
  <si>
    <t>Paket Sonic 6</t>
  </si>
  <si>
    <t>Paket Rocket 7</t>
  </si>
  <si>
    <t>Paket Sonic 7</t>
  </si>
  <si>
    <t>Paket Rocket 8</t>
  </si>
  <si>
    <t>Paket Rocket 9</t>
  </si>
  <si>
    <t>Paket Gepso 1</t>
  </si>
  <si>
    <t>Paket Rocket 10</t>
  </si>
  <si>
    <t>Paket Gepso 2</t>
  </si>
  <si>
    <t>Paket Roma 1</t>
  </si>
  <si>
    <t>Paket Roma 2</t>
  </si>
  <si>
    <t>Paket Prenic 1</t>
  </si>
  <si>
    <t>Paket Roma 3</t>
  </si>
  <si>
    <t>Paket Prenic 2</t>
  </si>
  <si>
    <t>Paket Roma 4</t>
  </si>
  <si>
    <t>Paket Prenic 3</t>
  </si>
  <si>
    <t>Paket Roma 5</t>
  </si>
  <si>
    <t>Paket Prenic 4</t>
  </si>
  <si>
    <t>Paket Geprek 1</t>
  </si>
  <si>
    <t>Geprek Sayap</t>
  </si>
  <si>
    <t>Paket Geprek 2</t>
  </si>
  <si>
    <t>Geprek Paha Bawah</t>
  </si>
  <si>
    <t>Paket Geprek 3</t>
  </si>
  <si>
    <t>Geprek Dada/Paha Atas</t>
  </si>
  <si>
    <t>Sambel Geprek</t>
  </si>
  <si>
    <t>Paket Panic 1</t>
  </si>
  <si>
    <t>Geprek Paha Atas / Dada</t>
  </si>
  <si>
    <t>Paket Panic 2</t>
  </si>
  <si>
    <t>Sambal Geprek</t>
  </si>
  <si>
    <t>Paket Panic 3</t>
  </si>
  <si>
    <t>Paket Panic 4</t>
  </si>
  <si>
    <t>Paket Geprek Matah 1</t>
  </si>
  <si>
    <t>Paket Geprek Matah 2</t>
  </si>
  <si>
    <t>Cattring 1</t>
  </si>
  <si>
    <t>Paket Geprek Matah 3</t>
  </si>
  <si>
    <t>Cattring 2</t>
  </si>
  <si>
    <t>Geprek Matah Sayap</t>
  </si>
  <si>
    <t>Cattring 3</t>
  </si>
  <si>
    <t>Geprek Matah Paha Bawah</t>
  </si>
  <si>
    <t>Geprek Matah Paha Atas / Dada</t>
  </si>
  <si>
    <t>Super Sonic 1</t>
  </si>
  <si>
    <t>Sambal Geprek Matah</t>
  </si>
  <si>
    <t>Super Sonic 2</t>
  </si>
  <si>
    <t>Super Sonic 3</t>
  </si>
  <si>
    <t>Paket Geprek Terasi 1</t>
  </si>
  <si>
    <t>Super Sonic 4</t>
  </si>
  <si>
    <t>Paket Geprek Terasi 2</t>
  </si>
  <si>
    <t>Paket Geprek Terasi 3</t>
  </si>
  <si>
    <t>Paket Ceria 1</t>
  </si>
  <si>
    <t>Paket Ceria 2</t>
  </si>
  <si>
    <t>Paket Ceria 3</t>
  </si>
  <si>
    <t>Paket Ceria 4</t>
  </si>
  <si>
    <t>BEVERAGES</t>
  </si>
  <si>
    <t xml:space="preserve">Air Mineral Botol </t>
  </si>
  <si>
    <t>Air Mineral Cup</t>
  </si>
  <si>
    <t>Teh Botol</t>
  </si>
  <si>
    <t>Teh Sosro Genggam</t>
  </si>
  <si>
    <t>Fruit Tea Botol</t>
  </si>
  <si>
    <t>Teh Pucuk Harum</t>
  </si>
  <si>
    <t xml:space="preserve">Fuit Tea Genggam </t>
  </si>
  <si>
    <t>S-tee</t>
  </si>
  <si>
    <t>Tebs</t>
  </si>
  <si>
    <t>STEE</t>
  </si>
  <si>
    <t>Millo</t>
  </si>
  <si>
    <t>Nestea</t>
  </si>
  <si>
    <t>Juice Durian Float</t>
  </si>
  <si>
    <t>Orange Juice</t>
  </si>
  <si>
    <t xml:space="preserve">Juice Durian </t>
  </si>
  <si>
    <t>Orange Float</t>
  </si>
  <si>
    <t>Juice Melon Float</t>
  </si>
  <si>
    <t>Avocado Float</t>
  </si>
  <si>
    <t>Juice Melon</t>
  </si>
  <si>
    <t>Cappucino</t>
  </si>
  <si>
    <t>Juice Strawberry Float</t>
  </si>
  <si>
    <t>Es The</t>
  </si>
  <si>
    <t xml:space="preserve">Juice Stawbery </t>
  </si>
  <si>
    <t>Ice Cream</t>
  </si>
  <si>
    <t>Juice Mangga Float</t>
  </si>
  <si>
    <t xml:space="preserve">Juice Mangga </t>
  </si>
  <si>
    <t>Juice Jambu Float</t>
  </si>
  <si>
    <t xml:space="preserve">Juice Jambu </t>
  </si>
  <si>
    <t>Juice Sirsak Float</t>
  </si>
  <si>
    <t xml:space="preserve">Juice Sirsak </t>
  </si>
  <si>
    <t>Milkshake Mangga</t>
  </si>
  <si>
    <t>Milkshake Mangga Float</t>
  </si>
  <si>
    <t>TOTAL BEVERAGES</t>
  </si>
  <si>
    <t>TOTAL SALES</t>
  </si>
  <si>
    <t>TOTAL CUSTOMER</t>
  </si>
  <si>
    <t>COST ANALYSIS</t>
  </si>
  <si>
    <t>ITEM</t>
  </si>
  <si>
    <t>Stock Awal</t>
  </si>
  <si>
    <t>Pembelian</t>
  </si>
  <si>
    <t>Stock Akhir</t>
  </si>
  <si>
    <t>Pemakaian</t>
  </si>
  <si>
    <t>( + / - )</t>
  </si>
  <si>
    <t>LO</t>
  </si>
  <si>
    <t>ket</t>
  </si>
  <si>
    <t>C.STRIP</t>
  </si>
  <si>
    <t>NASGOR</t>
  </si>
  <si>
    <t>C.STEAK</t>
  </si>
  <si>
    <t>TEH POCI</t>
  </si>
  <si>
    <t>PENJUALAN AYAM</t>
  </si>
  <si>
    <t>CAKRA</t>
  </si>
  <si>
    <t>BIANG BRIDER</t>
  </si>
  <si>
    <t>P. GEPREK</t>
  </si>
  <si>
    <t>P. STEAK</t>
  </si>
  <si>
    <t>M. FREYER</t>
  </si>
  <si>
    <t>JUAL</t>
  </si>
  <si>
    <t>M. WAJAN</t>
  </si>
  <si>
    <t>RESEP</t>
  </si>
  <si>
    <t>GEPREK</t>
  </si>
  <si>
    <t>C. STEAK</t>
  </si>
  <si>
    <t>C. STRIP (3)</t>
  </si>
  <si>
    <t>C. STRIP (2)</t>
  </si>
  <si>
    <t>LITER</t>
  </si>
  <si>
    <t>PATTY</t>
  </si>
  <si>
    <t>TELOR CEPLOK</t>
  </si>
  <si>
    <t>FRENCFRIES</t>
  </si>
  <si>
    <t>NB. KOLOM PENJUALAN DI ISI MANUAL DAN BISA DIBUAT RUMUS SESUAI KELAS MASING - MASING</t>
  </si>
  <si>
    <t>HASIL PRINT OUT 2 LEMBAR</t>
  </si>
  <si>
    <t>LEFT OVER AND SPOILAGE PRODUCT</t>
  </si>
  <si>
    <t>STORE  :</t>
  </si>
  <si>
    <t xml:space="preserve">PERIODE : </t>
  </si>
  <si>
    <t>CHICKEN STRIPS</t>
  </si>
  <si>
    <t>CHICKEN STEAK</t>
  </si>
  <si>
    <t>SAYURAN</t>
  </si>
  <si>
    <t>LEMON TEA</t>
  </si>
  <si>
    <t xml:space="preserve">NESTLE ORANGE </t>
  </si>
  <si>
    <t>ICE CREAM</t>
  </si>
  <si>
    <t>PARAF MANAGER</t>
  </si>
  <si>
    <t>VETSIN</t>
  </si>
  <si>
    <t>LADA</t>
  </si>
  <si>
    <t>GARAM</t>
  </si>
  <si>
    <t>ROTI</t>
  </si>
  <si>
    <t>MIE GORENG</t>
  </si>
  <si>
    <t>MIEGOR</t>
  </si>
  <si>
    <t>BASO</t>
  </si>
  <si>
    <t>NUGGET</t>
  </si>
  <si>
    <t>CERIA 1</t>
  </si>
  <si>
    <t>CERIA 2</t>
  </si>
  <si>
    <t>CERIA 3</t>
  </si>
  <si>
    <t>CERIA 4</t>
  </si>
  <si>
    <t>FOOD COST ITEM</t>
  </si>
  <si>
    <t>KOMPOSISI PAKET</t>
  </si>
  <si>
    <t xml:space="preserve">HPP </t>
  </si>
  <si>
    <t xml:space="preserve">MILO </t>
  </si>
  <si>
    <t xml:space="preserve">FOOD COST ITEM </t>
  </si>
  <si>
    <t>AIR GALON</t>
  </si>
  <si>
    <t xml:space="preserve">PAKET </t>
  </si>
  <si>
    <t xml:space="preserve">1 LITER </t>
  </si>
  <si>
    <t xml:space="preserve">1 PCS DADA </t>
  </si>
  <si>
    <t>GEPREK 1</t>
  </si>
  <si>
    <t>GEPREK 2</t>
  </si>
  <si>
    <t>GEPREK 3</t>
  </si>
  <si>
    <t>ES BATU ( 1 GRAM )</t>
  </si>
  <si>
    <t>ES TEH</t>
  </si>
  <si>
    <t>DADA/PA</t>
  </si>
  <si>
    <t>TEPUNG BRIDER</t>
  </si>
  <si>
    <t xml:space="preserve">SIMPLE SIRUP </t>
  </si>
  <si>
    <t>HPP 1 PORSI</t>
  </si>
  <si>
    <t xml:space="preserve">1 KG GULA </t>
  </si>
  <si>
    <t>AIR</t>
  </si>
  <si>
    <t xml:space="preserve">1 LITER  AIR </t>
  </si>
  <si>
    <t>SAOS SASET</t>
  </si>
  <si>
    <t>HPP 1 RESEP ( 1500 ML )</t>
  </si>
  <si>
    <t>HPP DADA</t>
  </si>
  <si>
    <t>HPP 1 LITER</t>
  </si>
  <si>
    <t>CATT 1</t>
  </si>
  <si>
    <t>CATT 2</t>
  </si>
  <si>
    <t>CATT 3</t>
  </si>
  <si>
    <t xml:space="preserve">HPP 1 PORSI </t>
  </si>
  <si>
    <t>1 PCS P.ATAS</t>
  </si>
  <si>
    <t>TEH BOTOL</t>
  </si>
  <si>
    <t xml:space="preserve">HPP 1 RESEP  </t>
  </si>
  <si>
    <t>HPP P.ATAS</t>
  </si>
  <si>
    <t xml:space="preserve">BUTTER MIX </t>
  </si>
  <si>
    <t>SAMBAL</t>
  </si>
  <si>
    <t>1 PCS P. BAWAH</t>
  </si>
  <si>
    <t xml:space="preserve">NESTEA </t>
  </si>
  <si>
    <t xml:space="preserve">1 PACK / 1KG NESTEA </t>
  </si>
  <si>
    <t xml:space="preserve">10 LITER AIR </t>
  </si>
  <si>
    <t xml:space="preserve">700 ML SIMPLE SIRUP </t>
  </si>
  <si>
    <t xml:space="preserve">HPP 1 RESEP </t>
  </si>
  <si>
    <t xml:space="preserve">SAMBAL KOSEK </t>
  </si>
  <si>
    <t>COOKING CLASS 1</t>
  </si>
  <si>
    <t>COOKING CLASS 2</t>
  </si>
  <si>
    <t>COOKING CLASS 3</t>
  </si>
  <si>
    <t>COOKING CLASS 4</t>
  </si>
  <si>
    <t>COOKING CLASS 5</t>
  </si>
  <si>
    <t>HPP P.BAWAH</t>
  </si>
  <si>
    <t xml:space="preserve">ES BATU </t>
  </si>
  <si>
    <t xml:space="preserve">HPP 1 PORSI LEMON TEA </t>
  </si>
  <si>
    <t>1 PCS SAYAP</t>
  </si>
  <si>
    <t xml:space="preserve">TAKE AWAY </t>
  </si>
  <si>
    <t xml:space="preserve">CUP MINUMAN </t>
  </si>
  <si>
    <t xml:space="preserve">HPP 1 PORSI+ CUP </t>
  </si>
  <si>
    <t xml:space="preserve">SEALER </t>
  </si>
  <si>
    <t xml:space="preserve">SEDOTAN </t>
  </si>
  <si>
    <t xml:space="preserve">NASI PUTIH </t>
  </si>
  <si>
    <t>HPP LEMON TEA  TAKE AWAY</t>
  </si>
  <si>
    <t>HPP SAYAP</t>
  </si>
  <si>
    <t xml:space="preserve"> BERAS ( 1 KG )</t>
  </si>
  <si>
    <t>HPP 1  RESEP</t>
  </si>
  <si>
    <t xml:space="preserve"> 1 PACK MILO ( 960 GR)</t>
  </si>
  <si>
    <t xml:space="preserve">CHICKEN STEAK </t>
  </si>
  <si>
    <t>AIR PANAS ( 1 LTR)</t>
  </si>
  <si>
    <t xml:space="preserve"> MENTOK ( FILET 55 GR  ) </t>
  </si>
  <si>
    <t>AIR DINGIN ( 9 LITER)</t>
  </si>
  <si>
    <t>SIMPLE SIRUP ( 1.600 ML)</t>
  </si>
  <si>
    <t xml:space="preserve">TELOR </t>
  </si>
  <si>
    <t xml:space="preserve">MINYAK </t>
  </si>
  <si>
    <t>HPP 1 RESEP MILO</t>
  </si>
  <si>
    <t xml:space="preserve">TEPUNG CAKRA </t>
  </si>
  <si>
    <t xml:space="preserve">FRENCH FRIES </t>
  </si>
  <si>
    <t xml:space="preserve"> HPP 1 PORSI </t>
  </si>
  <si>
    <t>FRENCH FREIS( 100 GR )</t>
  </si>
  <si>
    <t xml:space="preserve">1 PCS CHICKEN STEAK </t>
  </si>
  <si>
    <t xml:space="preserve">HPP 1 PORSI ES MILO </t>
  </si>
  <si>
    <t>KERTAS FF</t>
  </si>
  <si>
    <t xml:space="preserve">1 PORSI  SAOS STEAK </t>
  </si>
  <si>
    <t>MARGARIN ( 5 gram )</t>
  </si>
  <si>
    <t xml:space="preserve">HPP CHICKEN STEAK 1 PORSI </t>
  </si>
  <si>
    <t xml:space="preserve">NASI GORENG </t>
  </si>
  <si>
    <t xml:space="preserve"> NASI PUTIH ( 200 GR )</t>
  </si>
  <si>
    <t xml:space="preserve">1 PCS FILET  MENTOK </t>
  </si>
  <si>
    <t xml:space="preserve"> TELOR ( 0,5 )</t>
  </si>
  <si>
    <t xml:space="preserve">BOX STEAK </t>
  </si>
  <si>
    <t xml:space="preserve">CABE MERAH </t>
  </si>
  <si>
    <t xml:space="preserve">1 PORSI MILO TAKE AWAY </t>
  </si>
  <si>
    <t xml:space="preserve">SAOS SACHET </t>
  </si>
  <si>
    <t>DAUN BAWANG (10 GR)</t>
  </si>
  <si>
    <t xml:space="preserve">PLASTIK SEDANG </t>
  </si>
  <si>
    <t xml:space="preserve"> BAWANG PUTIH ( 2,5 GR )</t>
  </si>
  <si>
    <t xml:space="preserve">1 PORSI CHICKEN STEAK </t>
  </si>
  <si>
    <t xml:space="preserve"> 1 PACK PREMIX NASGOR ( 10 GR )</t>
  </si>
  <si>
    <t xml:space="preserve"> MINYAK  ( 10 GR )</t>
  </si>
  <si>
    <t>1 PACK NESTLE ORANGE( 560 GR )</t>
  </si>
  <si>
    <t xml:space="preserve">HPP STEAK TAKE AWAY </t>
  </si>
  <si>
    <t>AIR (8 LITER )</t>
  </si>
  <si>
    <t xml:space="preserve">10 GR KECAP BANGAU </t>
  </si>
  <si>
    <t>SIMPLE (200 ML )</t>
  </si>
  <si>
    <t xml:space="preserve">CHICKEN STRIP </t>
  </si>
  <si>
    <t xml:space="preserve">TIMUN </t>
  </si>
  <si>
    <t xml:space="preserve">HPP NASI GORENG </t>
  </si>
  <si>
    <t xml:space="preserve">HPP 1 PORSI ES ORANGE </t>
  </si>
  <si>
    <t>TELOR</t>
  </si>
  <si>
    <t xml:space="preserve">BOX NASGOR </t>
  </si>
  <si>
    <t xml:space="preserve">ORANGE </t>
  </si>
  <si>
    <t xml:space="preserve">KANTONG KERTAS </t>
  </si>
  <si>
    <t xml:space="preserve">PLASTIK KECIL </t>
  </si>
  <si>
    <t xml:space="preserve">1 PORSI ORANGE TAKE AWAY </t>
  </si>
  <si>
    <t xml:space="preserve">CHICKEN STRIP TAKE AWAY </t>
  </si>
  <si>
    <t xml:space="preserve">DRESSING BURGER </t>
  </si>
  <si>
    <t xml:space="preserve"> MAYONESE ( 1LTR)</t>
  </si>
  <si>
    <t>SAOS TOMAT (300 GR)</t>
  </si>
  <si>
    <t xml:space="preserve">LHYCHEE TEA </t>
  </si>
  <si>
    <t>CREAM CHESSE ( 100 GR)</t>
  </si>
  <si>
    <t xml:space="preserve">560 GR / 1 PACK LHYCHEE TEA </t>
  </si>
  <si>
    <t xml:space="preserve">3 PCS FILET  MENTOK </t>
  </si>
  <si>
    <t xml:space="preserve"> CUKA DIXI (  17 GR )</t>
  </si>
  <si>
    <t>GULA HALUS (  17 GR )</t>
  </si>
  <si>
    <t xml:space="preserve">1 LITER SIMPLE </t>
  </si>
  <si>
    <t xml:space="preserve"> LADA (5 GR)</t>
  </si>
  <si>
    <t xml:space="preserve"> GARAM (5 GR)</t>
  </si>
  <si>
    <t xml:space="preserve">46 PORSI </t>
  </si>
  <si>
    <t xml:space="preserve">1 PORSI </t>
  </si>
  <si>
    <t>HPP 1 RESEP ( 70 PORSI)</t>
  </si>
  <si>
    <t xml:space="preserve">1 PORSI ES LHYCHEE TEA </t>
  </si>
  <si>
    <t xml:space="preserve"> CHICKEN PATTY </t>
  </si>
  <si>
    <t xml:space="preserve">1 P0RSI LHYCHEE TEA TAKE AWAY </t>
  </si>
  <si>
    <t>BIANG TEH ( 175 ML )</t>
  </si>
  <si>
    <t>SIMPLE ( 75 ML )</t>
  </si>
  <si>
    <t xml:space="preserve"> ES BATU ( 100 GR )</t>
  </si>
  <si>
    <t xml:space="preserve">CHICKEN BURGER </t>
  </si>
  <si>
    <t xml:space="preserve">BURGER BUN </t>
  </si>
  <si>
    <t>MARGARIN 5 GR</t>
  </si>
  <si>
    <t xml:space="preserve">HARGA JUAL </t>
  </si>
  <si>
    <t xml:space="preserve">1 DAUN SELADA </t>
  </si>
  <si>
    <t>% FC</t>
  </si>
  <si>
    <t xml:space="preserve">1 IRIS TOMAT </t>
  </si>
  <si>
    <t xml:space="preserve">20 GR / 1 PORSI DRESSING </t>
  </si>
  <si>
    <t xml:space="preserve">CHICKEN PATTY </t>
  </si>
  <si>
    <t>THE MANIS</t>
  </si>
  <si>
    <t xml:space="preserve">5 GR BAWANG BOMBAY </t>
  </si>
  <si>
    <t>HPP BURGER</t>
  </si>
  <si>
    <t xml:space="preserve">COVER BURGER </t>
  </si>
  <si>
    <t xml:space="preserve">CHICKEN CHESE BURGER </t>
  </si>
  <si>
    <t>1 SLICE KEJU LEMBAR</t>
  </si>
  <si>
    <t xml:space="preserve">PEMBUNGKUS </t>
  </si>
  <si>
    <t xml:space="preserve">BOX CHATT </t>
  </si>
  <si>
    <t xml:space="preserve">ALAS BOX </t>
  </si>
  <si>
    <t>MINYAK ( 10 GR )</t>
  </si>
  <si>
    <t>CHICKEN 2 PCS</t>
  </si>
  <si>
    <t>1 PCS AYAM BESAR</t>
  </si>
  <si>
    <t>1 PCS AYAM KECIL</t>
  </si>
  <si>
    <t>SONIS 1</t>
  </si>
  <si>
    <t>SONIC 2</t>
  </si>
  <si>
    <t>SONIC 3</t>
  </si>
  <si>
    <t>SONIC 4</t>
  </si>
  <si>
    <t>SONIC 5</t>
  </si>
  <si>
    <t>SONIC 6</t>
  </si>
  <si>
    <t>SONIC 7</t>
  </si>
  <si>
    <t>PANIC 1</t>
  </si>
  <si>
    <t>PANIC 2</t>
  </si>
  <si>
    <t>PANIC 3</t>
  </si>
  <si>
    <t>PANIC 4</t>
  </si>
  <si>
    <t>PRENIC 1</t>
  </si>
  <si>
    <t>PRENIC 2</t>
  </si>
  <si>
    <t>PRENIC 3</t>
  </si>
  <si>
    <t>PRENIC 4</t>
  </si>
  <si>
    <t>PAKET</t>
  </si>
  <si>
    <t>SATUAN</t>
  </si>
  <si>
    <t>SUPER SONIC 1</t>
  </si>
  <si>
    <t>SUPER SONIC 2</t>
  </si>
  <si>
    <t>SUPER SONIC 3</t>
  </si>
  <si>
    <t>SUPER SONIC 4</t>
  </si>
  <si>
    <t>OK</t>
  </si>
  <si>
    <t>HPP CHICKEN 2 PCS</t>
  </si>
  <si>
    <t>BIANG TEH GOPEK / POCI VANILA</t>
  </si>
  <si>
    <t>ES TEH GOPEK / POCI VANILLA</t>
  </si>
  <si>
    <t>1 PACK PREMIX GEPREK ( 85 GR )</t>
  </si>
  <si>
    <t xml:space="preserve"> BAWANG PUTIH (250 GR )</t>
  </si>
  <si>
    <t>CABE MERAH BESAR ( 100 GR )</t>
  </si>
  <si>
    <t>RAWIT HIJAU ( 100 GR )</t>
  </si>
  <si>
    <t>RAWIT MERAH( 800 GR )</t>
  </si>
  <si>
    <t>MINYAK (500 ML )</t>
  </si>
  <si>
    <t xml:space="preserve"> 1 PCK BUTTER MIX ( 276 GR )</t>
  </si>
  <si>
    <t>TEPUNG CAKRA ( 800 GR )</t>
  </si>
  <si>
    <t>AIR (1600 ML )</t>
  </si>
  <si>
    <t xml:space="preserve">KUNING TELUR (8 BUTIR) </t>
  </si>
  <si>
    <t>HPP 45 PORSI (3 PCS )</t>
  </si>
  <si>
    <t>HPP 66 PORSI ( 2 PCS )</t>
  </si>
  <si>
    <t xml:space="preserve">AIR ( 1300 ML) </t>
  </si>
  <si>
    <t xml:space="preserve">HPP 1 PORSI ( 3 PCS ) </t>
  </si>
  <si>
    <t xml:space="preserve">2 PCS FILET  MENTOK </t>
  </si>
  <si>
    <t xml:space="preserve">HPP 1 PORSI ( 2 PCS ) </t>
  </si>
  <si>
    <t>HPP NASI GORENG SPESIAL</t>
  </si>
  <si>
    <t>HPP NASI GORENG</t>
  </si>
  <si>
    <t>SAUS STEAK</t>
  </si>
  <si>
    <t>BAHAN KALDU</t>
  </si>
  <si>
    <t>TULANG AYAM (250 GR)</t>
  </si>
  <si>
    <t>KNOOR AYAM/C. POWDER (20 GR)</t>
  </si>
  <si>
    <t>WORTEL ( 20 GR )</t>
  </si>
  <si>
    <t>DAUN SLEDRI ( 2 GR )</t>
  </si>
  <si>
    <t>DAUN BAWANG ( 20 GR )</t>
  </si>
  <si>
    <t>BAWANG BOMBAY ( 25 GR )</t>
  </si>
  <si>
    <t>AIR BERSIH ( 4.750 ML )</t>
  </si>
  <si>
    <t>HPP KALDU STEAK</t>
  </si>
  <si>
    <t>BAWANG BOMBAY ( 50 GR )</t>
  </si>
  <si>
    <t>AIR BERSIH ( 250 ML )</t>
  </si>
  <si>
    <t>KECAP MANIS ( 100 GR )</t>
  </si>
  <si>
    <t>SAOS TOMAT ( 200 GR )</t>
  </si>
  <si>
    <t>PREMIX STEAK ORI ( 425 GR )</t>
  </si>
  <si>
    <t>MARGARIN ( 35 GR )</t>
  </si>
  <si>
    <t>HPP SAUS STEAK ORI</t>
  </si>
  <si>
    <t>BAHAN SAUS STEAK ORI</t>
  </si>
  <si>
    <t>HPP 1 RESEP SAUS STEAK</t>
  </si>
  <si>
    <t>HPP 1 PORSI SAUS STEAK</t>
  </si>
  <si>
    <t>WORTEL ( 25 GR )</t>
  </si>
  <si>
    <t>KENTANG ( 25 GR</t>
  </si>
  <si>
    <t>BUNCIS ( 25 GR )</t>
  </si>
  <si>
    <t>PLASTIK KLIP ( 2 PCS )</t>
  </si>
  <si>
    <t>TOTI PATTY</t>
  </si>
  <si>
    <t>1 PCS PATTY</t>
  </si>
  <si>
    <t xml:space="preserve">TEPUNG PANIR </t>
  </si>
  <si>
    <t>HPP 1 PCS MATANG PATTY</t>
  </si>
  <si>
    <t>AVOCADO FLOAT</t>
  </si>
  <si>
    <t>ORANGE SQUAS &amp; FLOAT</t>
  </si>
  <si>
    <t xml:space="preserve">ES TEH </t>
  </si>
  <si>
    <t>NASI GORENG</t>
  </si>
  <si>
    <t>AYAM BESAR</t>
  </si>
  <si>
    <t>AYAM KECIL</t>
  </si>
  <si>
    <t>2 C.STRIP</t>
  </si>
  <si>
    <t>DADA/PAHA ATS</t>
  </si>
  <si>
    <t>3 C.STRIP</t>
  </si>
  <si>
    <t>C.BURGER</t>
  </si>
  <si>
    <t>HPP SUPER SONIC</t>
  </si>
  <si>
    <t>SAMBEL GEPREK</t>
  </si>
  <si>
    <t>PEMBUNGKUS  AYAM WHOLE</t>
  </si>
  <si>
    <t>BOX AW</t>
  </si>
  <si>
    <t>PLASTIK JUMBO</t>
  </si>
  <si>
    <t>NUNGGET</t>
  </si>
  <si>
    <t>HPP 1 PERKEDEL</t>
  </si>
  <si>
    <t>MIE BURUNG DARA</t>
  </si>
  <si>
    <t>HPP MIE GORENG</t>
  </si>
  <si>
    <t>BOX CATT</t>
  </si>
  <si>
    <t>CFD</t>
  </si>
  <si>
    <t>DD/PA</t>
  </si>
  <si>
    <t>CFD 1</t>
  </si>
  <si>
    <t>CFD 2</t>
  </si>
  <si>
    <t>CFD 3</t>
  </si>
  <si>
    <t>CHICKEN KATSU</t>
  </si>
  <si>
    <t>SAWI ( 20 GR )</t>
  </si>
  <si>
    <t>KOBIS ( 20 GR )</t>
  </si>
  <si>
    <t xml:space="preserve"> PREMIX MIEGOR</t>
  </si>
  <si>
    <t>BASO 1 PCS</t>
  </si>
  <si>
    <t>SONIC 8</t>
  </si>
  <si>
    <t>SONIC 9</t>
  </si>
  <si>
    <t>Paket Sonic 9</t>
  </si>
  <si>
    <t>AVOCADO</t>
  </si>
  <si>
    <t>MARJAN MOCCA</t>
  </si>
  <si>
    <t>CUP MINUM POLOS</t>
  </si>
  <si>
    <t>PLASTIK KECIL POLOS</t>
  </si>
  <si>
    <t>TUSUK GIGI</t>
  </si>
  <si>
    <t>TUSUK SATE</t>
  </si>
  <si>
    <t>ISOLASI BESAR</t>
  </si>
  <si>
    <t>ISOLASI KECIL</t>
  </si>
  <si>
    <t>DETERJEN CAIR</t>
  </si>
  <si>
    <t>Paket Sonic 8</t>
  </si>
  <si>
    <t>Paket Gepso 3</t>
  </si>
  <si>
    <t>Paket Gepso 4</t>
  </si>
  <si>
    <t xml:space="preserve">Es Teh </t>
  </si>
  <si>
    <t>Chicken Katsu</t>
  </si>
  <si>
    <t>LEMONADE</t>
  </si>
  <si>
    <t>LADA( 4 gr)</t>
  </si>
  <si>
    <t>VETSIN ( 250 gr )</t>
  </si>
  <si>
    <t>KECAP ( 250 ml )</t>
  </si>
  <si>
    <t>GOPEK</t>
  </si>
  <si>
    <t>MILLO</t>
  </si>
  <si>
    <t>KATSU</t>
  </si>
  <si>
    <t xml:space="preserve">Sayap + Nasi + Es Teh </t>
  </si>
  <si>
    <t xml:space="preserve">Paha bawah + Nasi + Es Teh </t>
  </si>
  <si>
    <t xml:space="preserve">Dada + Nasi + Es Teh  </t>
  </si>
  <si>
    <t xml:space="preserve">Paha atas + Nasi + Es Teh   </t>
  </si>
  <si>
    <t>C.Strip 3 + Nasi + LemonteA</t>
  </si>
  <si>
    <t>C.Burger + Frenchfries + Lemontea</t>
  </si>
  <si>
    <t>Nasi Goreng + Lemontea</t>
  </si>
  <si>
    <t>C.Steak + Nasi + Lemontea</t>
  </si>
  <si>
    <t xml:space="preserve">C.Katsu + Nasi + Es Teh </t>
  </si>
  <si>
    <t>Sayap Geprek + Nasi + Lemontea</t>
  </si>
  <si>
    <t>Paha bawah + Nasi + Lemontea</t>
  </si>
  <si>
    <t>Dada + Nasi + Lemontea</t>
  </si>
  <si>
    <t>Paha atas + Nasi + Lemontea</t>
  </si>
  <si>
    <t>Paha bawah + Nasi + Millo</t>
  </si>
  <si>
    <t>Dada/Pa + Nasi + Lemontea</t>
  </si>
  <si>
    <t>C.Strip 3 + Nasi + Millo</t>
  </si>
  <si>
    <t>C.Burger + Lemontea</t>
  </si>
  <si>
    <t>Paha bawah + Nasi + Teh Botol</t>
  </si>
  <si>
    <t>Dada + Paha bawah + Nasi + Teh Botol</t>
  </si>
  <si>
    <t>C.Strip + Nasi + Teh Botol</t>
  </si>
  <si>
    <t>C.Steak + Nasi + Teh Botol</t>
  </si>
  <si>
    <t>Sayap + Nasi</t>
  </si>
  <si>
    <t>Paha Bawah + Nasi</t>
  </si>
  <si>
    <t>Dada/Pa + Nasi</t>
  </si>
  <si>
    <t>Whole Original</t>
  </si>
  <si>
    <t>Whole Geprek</t>
  </si>
  <si>
    <t>Whole + Nasi 5 + Es Teh 5</t>
  </si>
  <si>
    <t>Whole Geprek + Nasi 5 + Es Teh 5</t>
  </si>
  <si>
    <t>Nugget 3 + Nasi + Orange</t>
  </si>
  <si>
    <t>Sosis 2 + Nasi + Orange</t>
  </si>
  <si>
    <t>Bakso 6 + Nasi + Orange</t>
  </si>
  <si>
    <t>Sosis + Nungget + Baso 3 + Nasi + Orange</t>
  </si>
  <si>
    <t>Dada/Paha Atas + Paha Bawah/Sayap</t>
  </si>
  <si>
    <t>Nasi Goreng + Telor ceplok</t>
  </si>
  <si>
    <t>Chicken Burger + Slice Keju</t>
  </si>
  <si>
    <t>Chicken Strip 3</t>
  </si>
  <si>
    <t>C.STRIP 3 PCS</t>
  </si>
  <si>
    <t>LEMONTEA</t>
  </si>
  <si>
    <t>GEPREK 4</t>
  </si>
  <si>
    <t>C.KATSU</t>
  </si>
  <si>
    <t>SAYAP GEPREK</t>
  </si>
  <si>
    <t>PAHA BAWAH G</t>
  </si>
  <si>
    <t>DADA GEPREK</t>
  </si>
  <si>
    <t>PAHA ATAS G</t>
  </si>
  <si>
    <t>HPP CHICKEN KATSU</t>
  </si>
  <si>
    <t>NOTA KONTAN</t>
  </si>
  <si>
    <t>NASI SUPER</t>
  </si>
  <si>
    <t>GEPREK SUPER</t>
  </si>
  <si>
    <t>GOPEK SUPER</t>
  </si>
  <si>
    <t>PREMIX BUMBU INTI</t>
  </si>
  <si>
    <t>(……………………………………………….)</t>
  </si>
  <si>
    <t>WHOLE</t>
  </si>
  <si>
    <t>SAMBAL POUCH ( 1KG )</t>
  </si>
  <si>
    <t>TOMAT POUCH ( 1 KG )</t>
  </si>
  <si>
    <t>SENDOK PLASTIK</t>
  </si>
  <si>
    <t>LAPORAN PENJUALAN GOFOOD</t>
  </si>
  <si>
    <t>LAPORAN PENJUALAN GRABFOOD</t>
  </si>
  <si>
    <t>LISTRIK ( TOKEN )</t>
  </si>
  <si>
    <t>Penjualan
Reguler</t>
  </si>
  <si>
    <t>Penjualan
Online</t>
  </si>
  <si>
    <t>REGULER</t>
  </si>
  <si>
    <t>ONLINE</t>
  </si>
  <si>
    <t>Transferan shopee food</t>
  </si>
  <si>
    <t>Q-Ris Gopay</t>
  </si>
  <si>
    <t>Q-Ris Ovo</t>
  </si>
  <si>
    <t xml:space="preserve">SUB TOTAL MARINADE </t>
  </si>
  <si>
    <t>AYAM BIASA</t>
  </si>
  <si>
    <t>BRIDER INTI</t>
  </si>
  <si>
    <t>ES BALOK</t>
  </si>
  <si>
    <t>LAPORAN PENJUALAN REGULER</t>
  </si>
  <si>
    <t>LAPORAN PENJUALAN SHOPEEFOOD</t>
  </si>
  <si>
    <t>MARINADE KARKAS</t>
  </si>
  <si>
    <t>MARINADE WHOLE</t>
  </si>
  <si>
    <t>KARKAS</t>
  </si>
  <si>
    <t>TF OWNER</t>
  </si>
  <si>
    <t>TF GOBIZ</t>
  </si>
  <si>
    <t>TF SHOPEE</t>
  </si>
  <si>
    <t>Q RIS GOPAY</t>
  </si>
  <si>
    <t>Q RIS OVO</t>
  </si>
  <si>
    <t>ADM TF BANK LAIN</t>
  </si>
  <si>
    <t>PEL. BARGUD</t>
  </si>
  <si>
    <t>PEL. ROYALTY</t>
  </si>
  <si>
    <t>PEL. AYAM</t>
  </si>
  <si>
    <t>Liter</t>
  </si>
  <si>
    <t>Pouch</t>
  </si>
  <si>
    <t>SAMBAL GEPREK</t>
  </si>
  <si>
    <t xml:space="preserve">5 LITER AIR </t>
  </si>
  <si>
    <t>50 GR POCI MERAH</t>
  </si>
  <si>
    <t>BIANG TEH POCI MERAH</t>
  </si>
  <si>
    <t>50 GR GOPEK / POCI</t>
  </si>
  <si>
    <t xml:space="preserve">5000 ML AIR </t>
  </si>
  <si>
    <t>REG/ON</t>
  </si>
  <si>
    <t>MIKAS</t>
  </si>
  <si>
    <t>MEETING AREA</t>
  </si>
  <si>
    <t>KIRIM LAPORAN</t>
  </si>
  <si>
    <t>INSENTIF DESEMBER 2023</t>
  </si>
  <si>
    <t>FREE + VOUCER</t>
  </si>
  <si>
    <t>Komisi gofood</t>
  </si>
  <si>
    <t>Transferan gofood</t>
  </si>
  <si>
    <t>Q-Ris Bank BSI</t>
  </si>
  <si>
    <t>Paket C.Steak Blackpepper</t>
  </si>
  <si>
    <t xml:space="preserve">Paket C.Steak Es Teh </t>
  </si>
  <si>
    <t>P.SAOS B.PP</t>
  </si>
  <si>
    <t>SAOS BLACKPEPPER</t>
  </si>
  <si>
    <t>Steak Blackpaper</t>
  </si>
  <si>
    <t>Air Mineral Botol 600ml</t>
  </si>
  <si>
    <t>Paket Skin TN</t>
  </si>
  <si>
    <t>Paket Skin PN</t>
  </si>
  <si>
    <t>hemat supersonic 1</t>
  </si>
  <si>
    <t>hemat supersonic 2</t>
  </si>
  <si>
    <t>hemat supersonic 3</t>
  </si>
  <si>
    <t>hemat supersonic 4</t>
  </si>
  <si>
    <t>hemat supersonic 5</t>
  </si>
  <si>
    <t>hemat supersonic 6</t>
  </si>
  <si>
    <t>es the jumbo</t>
  </si>
  <si>
    <t>milo jumbo</t>
  </si>
  <si>
    <t>orange jumbo</t>
  </si>
  <si>
    <t>nestea jumbo</t>
  </si>
  <si>
    <t>whole original</t>
  </si>
  <si>
    <t>whole geprek</t>
  </si>
  <si>
    <t>whole + nasi 2 + es the 2</t>
  </si>
  <si>
    <t>whole + nasi 2 + es the 2 + geprek</t>
  </si>
  <si>
    <t>whole 2 + nasi 4 + es the 4</t>
  </si>
  <si>
    <t>whole geprek 2 + nasi 4 + es the 4</t>
  </si>
  <si>
    <t>SC MARABAHAN</t>
  </si>
  <si>
    <t>1-7 JULI 2026</t>
  </si>
  <si>
    <t>Mie goreng FS</t>
  </si>
  <si>
    <t>Cuan 1</t>
  </si>
  <si>
    <t>Cuan 2</t>
  </si>
  <si>
    <t>ES KRISTAL</t>
  </si>
  <si>
    <t>MIE TELUR, SAMSET</t>
  </si>
  <si>
    <t>PRINT</t>
  </si>
  <si>
    <t>GULA DLL</t>
  </si>
  <si>
    <t>TOKEN LISTRIK</t>
  </si>
  <si>
    <t>QRIS BRI</t>
  </si>
  <si>
    <t>MINGGU</t>
  </si>
  <si>
    <t>JUM'AT</t>
  </si>
  <si>
    <t>KAMIS</t>
  </si>
  <si>
    <t>RABU</t>
  </si>
  <si>
    <t>SENIN</t>
  </si>
  <si>
    <t>Q RIS BRI</t>
  </si>
  <si>
    <t>SMSET,KEJU BATANG,LADA</t>
  </si>
  <si>
    <t>SAMSET</t>
  </si>
  <si>
    <t>RITI BURGER + SOSIS NASGOR</t>
  </si>
  <si>
    <t>GULA</t>
  </si>
  <si>
    <t>ROTI TAWAR+SUSU</t>
  </si>
  <si>
    <t>CUP SAMBAL</t>
  </si>
  <si>
    <t>APRON COOK+ CELEMEK KASIR</t>
  </si>
  <si>
    <t>ONGKIR BARGUD</t>
  </si>
  <si>
    <t>NYICIL GROCERIES 25/6/26</t>
  </si>
  <si>
    <t>PRINT LAPORAN</t>
  </si>
  <si>
    <t>SEDOTAN</t>
  </si>
  <si>
    <t>PEL. GROCERIES</t>
  </si>
  <si>
    <t>Rabu</t>
  </si>
  <si>
    <t>Kamis</t>
  </si>
  <si>
    <t>Jum`at</t>
  </si>
  <si>
    <t>Sabtu</t>
  </si>
  <si>
    <t>Minggu</t>
  </si>
  <si>
    <t>Senin</t>
  </si>
  <si>
    <t>cuan4</t>
  </si>
  <si>
    <t>1 Juli 2026</t>
  </si>
  <si>
    <t>SP Blackpaper 3</t>
  </si>
  <si>
    <t>Cuan 3</t>
  </si>
  <si>
    <t>Selasa</t>
  </si>
  <si>
    <t>2-Juli-2026</t>
  </si>
  <si>
    <t>3-Juli-2026</t>
  </si>
  <si>
    <t>4-Juli-2026</t>
  </si>
  <si>
    <t>5-Juli-2026</t>
  </si>
  <si>
    <t>6-Juli-2026</t>
  </si>
  <si>
    <t>7-Juli-2026</t>
  </si>
  <si>
    <t>1-Juli-2026</t>
  </si>
  <si>
    <t>0,6</t>
  </si>
  <si>
    <t>DADA CUT 10</t>
  </si>
  <si>
    <t>SELASA</t>
  </si>
  <si>
    <t>SAYAP FULL</t>
  </si>
  <si>
    <t>KULIT</t>
  </si>
  <si>
    <t>PAHA BAWAH FULL</t>
  </si>
  <si>
    <t>CUT 10</t>
  </si>
  <si>
    <t>CUP POLOS 22 OZ</t>
  </si>
  <si>
    <t>ONGKIR LAPORAN</t>
  </si>
  <si>
    <t>GULA 5 KG</t>
  </si>
  <si>
    <t>GULA 10 KG</t>
  </si>
  <si>
    <t>TOMSET</t>
  </si>
  <si>
    <t>TELOR, P.KLIP DLL</t>
  </si>
  <si>
    <t>SAPU LANTAI</t>
  </si>
  <si>
    <t>PEL.AYAM 29/6/26</t>
  </si>
  <si>
    <t>PEL.GROCERIES 24/6/26</t>
  </si>
  <si>
    <t>CABE 3KG</t>
  </si>
  <si>
    <t>PARTALITE</t>
  </si>
  <si>
    <t>KOS KARYAWAN</t>
  </si>
  <si>
    <t>TELUR, COVER NASI DLL</t>
  </si>
  <si>
    <t>CALAS BPX,GELAS 22 OZ DLL</t>
  </si>
  <si>
    <t>CUP SEALER</t>
  </si>
  <si>
    <t>MICIN SASA</t>
  </si>
  <si>
    <t>GALON ISI ULANG</t>
  </si>
  <si>
    <t>PAJAK BULAN JULI 2026</t>
  </si>
  <si>
    <t>PAJAK NULAN JUNI 2026</t>
  </si>
  <si>
    <t>BERKAH MARKET</t>
  </si>
  <si>
    <t>TEPUNG</t>
  </si>
  <si>
    <t>P.BAWAH FULL</t>
  </si>
  <si>
    <t>CHICKEN GO</t>
  </si>
  <si>
    <t>PJL75242</t>
  </si>
  <si>
    <t>PJL74773</t>
  </si>
  <si>
    <t>PT AMANAH BAGUS INDONRSIA</t>
  </si>
  <si>
    <t>BARGUD</t>
  </si>
  <si>
    <t>MIKAS OWNER</t>
  </si>
  <si>
    <t>KARDUS CATRING</t>
  </si>
  <si>
    <t>HAND GLOVE</t>
  </si>
  <si>
    <t>PAPER FRENCH FRIES POLOS</t>
  </si>
  <si>
    <t>SOSIS NASGOR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</si>
</sst>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1" formatCode="_(* #,##0_);_(* \(#,##0\);_(* &quot;-&quot;_);_(@_)"/>
    <numFmt numFmtId="164" formatCode="_-&quot;Rp&quot;* #,##0_-;\-&quot;Rp&quot;* #,##0_-;_-&quot;Rp&quot;* &quot;-&quot;_-;_-@_-"/>
    <numFmt numFmtId="165" formatCode="_-* #,##0_-;\-* #,##0_-;_-* &quot;-&quot;_-;_-@_-"/>
    <numFmt numFmtId="166" formatCode="_-&quot;Rp&quot;* #,##0.00_-;\-&quot;Rp&quot;* #,##0.00_-;_-&quot;Rp&quot;* &quot;-&quot;??_-;_-@_-"/>
    <numFmt numFmtId="167" formatCode="_-* #,##0.00_-;\-* #,##0.00_-;_-* &quot;-&quot;??_-;_-@_-"/>
    <numFmt numFmtId="168" formatCode="_-&quot;Rp&quot;* #,##0.0_-;\-&quot;Rp&quot;* #,##0.0_-;_-&quot;Rp&quot;* &quot;-&quot;_-;_-@_-"/>
    <numFmt numFmtId="169" formatCode="_-&quot;Rp&quot;* #,##0_-;\-&quot;Rp&quot;* #,##0_-;_-&quot;Rp&quot;* &quot;-&quot;??_-;_-@_-"/>
    <numFmt numFmtId="170" formatCode="0.0"/>
    <numFmt numFmtId="171" formatCode="&quot;Rp&quot;#,##0"/>
    <numFmt numFmtId="172" formatCode="_(* #,##0.0_);_(* \(#,##0.0\);_(* &quot;-&quot;_);_(@_)"/>
    <numFmt numFmtId="173" formatCode="0.0%"/>
    <numFmt numFmtId="174" formatCode="_(&quot;Rp&quot;* #,##0_);_(&quot;Rp&quot;* \(#,##0\);_(&quot;Rp&quot;* &quot;-&quot;_);_(@_)"/>
    <numFmt numFmtId="175" formatCode="_(* #,##0.00_);_(* \(#,##0.00\);_(* &quot;-&quot;_);_(@_)"/>
    <numFmt numFmtId="176" formatCode="[$-809]dd\ mmmm\ yyyy;@"/>
    <numFmt numFmtId="177" formatCode="[$-F800]dddd\,\ mmmm\ dd\,\ yyyy"/>
    <numFmt numFmtId="178" formatCode="_(&quot;Rp&quot;* #,##0.00_);_(&quot;Rp&quot;* \(#,##0.00\);_(&quot;Rp&quot;* &quot;-&quot;??_);_(@_)"/>
    <numFmt numFmtId="179" formatCode="_(&quot;Rp&quot;* #,##0_);_(&quot;Rp&quot;* \(#,##0\);_(&quot;Rp&quot;* &quot;-&quot;??_);_(@_)"/>
    <numFmt numFmtId="180" formatCode="_(* #,##0_);_(* \(#,##0\);_(* &quot;-&quot;??_);_(@_)"/>
    <numFmt numFmtId="181" formatCode="0.000%"/>
    <numFmt numFmtId="182" formatCode="_-* #,##0.0_-;\-* #,##0.0_-;_-* &quot;-&quot;?_-;_-@_-"/>
    <numFmt numFmtId="183" formatCode="dd/mm/yyyy;@"/>
    <numFmt numFmtId="184" formatCode="#.##"/>
    <numFmt numFmtId="185" formatCode="_(* #.##0_);_(* \(#.##0\);_(* &quot;-&quot;_);_(@_)"/>
    <numFmt numFmtId="186" formatCode="#.##0"/>
    <numFmt numFmtId="187" formatCode="[$-409]dd\-mmm\-yy;@"/>
    <numFmt numFmtId="188" formatCode="[$-409]d\-mmm\-yy;@"/>
  </numFmts>
  <fonts count="64" x14ac:knownFonts="1">
    <font>
      <sz val="11"/>
      <color theme="1"/>
      <name val="Calibri"/>
      <family val="2"/>
      <scheme val="minor"/>
    </font>
    <font>
      <sz val="11"/>
      <color theme="1"/>
      <name val="Calibri"/>
      <family val="2"/>
      <scheme val="minor"/>
    </font>
    <font>
      <b/>
      <sz val="22"/>
      <name val="Calibri"/>
      <family val="2"/>
    </font>
    <font>
      <sz val="10"/>
      <name val="Calibri"/>
      <family val="2"/>
    </font>
    <font>
      <sz val="12"/>
      <name val="Calibri"/>
      <family val="2"/>
    </font>
    <font>
      <sz val="8"/>
      <name val="Calibri"/>
      <family val="2"/>
    </font>
    <font>
      <b/>
      <sz val="18"/>
      <name val="Calibri"/>
      <family val="2"/>
    </font>
    <font>
      <b/>
      <sz val="11"/>
      <name val="Calibri"/>
      <family val="2"/>
    </font>
    <font>
      <b/>
      <sz val="10"/>
      <name val="Calibri"/>
      <family val="2"/>
    </font>
    <font>
      <sz val="10"/>
      <name val="Arial"/>
      <family val="2"/>
    </font>
    <font>
      <b/>
      <sz val="12"/>
      <name val="Calibri"/>
      <family val="2"/>
    </font>
    <font>
      <b/>
      <sz val="10"/>
      <color indexed="10"/>
      <name val="Calibri"/>
      <family val="2"/>
    </font>
    <font>
      <sz val="18"/>
      <name val="Calibri"/>
      <family val="2"/>
    </font>
    <font>
      <b/>
      <i/>
      <sz val="11"/>
      <name val="Calibri"/>
      <family val="2"/>
    </font>
    <font>
      <b/>
      <i/>
      <sz val="10"/>
      <name val="Calibri"/>
      <family val="2"/>
    </font>
    <font>
      <b/>
      <sz val="16"/>
      <name val="Calibri"/>
      <family val="2"/>
    </font>
    <font>
      <sz val="10"/>
      <color indexed="9"/>
      <name val="Calibri"/>
      <family val="2"/>
    </font>
    <font>
      <b/>
      <sz val="28"/>
      <name val="Calibri"/>
      <family val="2"/>
    </font>
    <font>
      <sz val="16"/>
      <name val="Calibri"/>
      <family val="2"/>
    </font>
    <font>
      <b/>
      <sz val="20"/>
      <name val="Calibri"/>
      <family val="2"/>
    </font>
    <font>
      <b/>
      <sz val="24"/>
      <name val="Calibri"/>
      <family val="2"/>
    </font>
    <font>
      <b/>
      <sz val="8"/>
      <name val="Calibri"/>
      <family val="2"/>
    </font>
    <font>
      <sz val="9"/>
      <name val="Calibri"/>
      <family val="2"/>
    </font>
    <font>
      <b/>
      <sz val="9"/>
      <name val="Calibri"/>
      <family val="2"/>
    </font>
    <font>
      <b/>
      <i/>
      <sz val="16"/>
      <name val="Calibri"/>
      <family val="2"/>
    </font>
    <font>
      <b/>
      <sz val="12"/>
      <color indexed="9"/>
      <name val="Calibri"/>
      <family val="2"/>
    </font>
    <font>
      <b/>
      <sz val="14"/>
      <name val="Calibri"/>
      <family val="2"/>
    </font>
    <font>
      <sz val="11"/>
      <name val="Calibri"/>
      <family val="2"/>
    </font>
    <font>
      <b/>
      <sz val="20"/>
      <color indexed="8"/>
      <name val="Calibri"/>
      <family val="2"/>
    </font>
    <font>
      <b/>
      <sz val="16"/>
      <color indexed="8"/>
      <name val="Calibri"/>
      <family val="2"/>
    </font>
    <font>
      <sz val="11"/>
      <color indexed="8"/>
      <name val="Calibri"/>
      <family val="2"/>
    </font>
    <font>
      <b/>
      <sz val="11"/>
      <color indexed="8"/>
      <name val="Calibri"/>
      <family val="2"/>
    </font>
    <font>
      <b/>
      <sz val="10"/>
      <name val="Arial"/>
      <family val="2"/>
    </font>
    <font>
      <b/>
      <sz val="12"/>
      <color indexed="8"/>
      <name val="Calibri"/>
      <family val="2"/>
    </font>
    <font>
      <b/>
      <sz val="22"/>
      <name val="Arial"/>
      <family val="2"/>
    </font>
    <font>
      <b/>
      <sz val="14"/>
      <color indexed="9"/>
      <name val="Arial"/>
      <family val="2"/>
    </font>
    <font>
      <b/>
      <sz val="12"/>
      <name val="Arial"/>
      <family val="2"/>
    </font>
    <font>
      <b/>
      <sz val="11"/>
      <name val="Arial"/>
      <family val="2"/>
    </font>
    <font>
      <sz val="7"/>
      <name val="Arial"/>
      <family val="2"/>
    </font>
    <font>
      <b/>
      <sz val="12"/>
      <name val="Arial Black"/>
      <family val="2"/>
    </font>
    <font>
      <sz val="14"/>
      <name val="Calibri"/>
      <family val="2"/>
    </font>
    <font>
      <b/>
      <sz val="12"/>
      <color indexed="10"/>
      <name val="Calibri"/>
      <family val="2"/>
    </font>
    <font>
      <sz val="22"/>
      <name val="Calibri"/>
      <family val="2"/>
    </font>
    <font>
      <sz val="24"/>
      <name val="Calibri"/>
      <family val="2"/>
    </font>
    <font>
      <sz val="8"/>
      <color indexed="8"/>
      <name val="Calibri"/>
      <family val="2"/>
    </font>
    <font>
      <b/>
      <sz val="10"/>
      <color indexed="8"/>
      <name val="Calibri"/>
      <family val="2"/>
    </font>
    <font>
      <b/>
      <sz val="16"/>
      <name val="Arial"/>
      <family val="2"/>
    </font>
    <font>
      <sz val="14"/>
      <color indexed="9"/>
      <name val="Calibri"/>
      <family val="2"/>
    </font>
    <font>
      <b/>
      <sz val="14"/>
      <color indexed="8"/>
      <name val="Calibri"/>
      <family val="2"/>
    </font>
    <font>
      <sz val="12"/>
      <color indexed="8"/>
      <name val="Arial"/>
      <family val="2"/>
    </font>
    <font>
      <sz val="12"/>
      <color indexed="8"/>
      <name val="Calibri"/>
      <family val="2"/>
    </font>
    <font>
      <b/>
      <sz val="12"/>
      <color indexed="8"/>
      <name val="Arial"/>
      <family val="2"/>
    </font>
    <font>
      <b/>
      <sz val="14"/>
      <name val="Arial"/>
      <family val="2"/>
    </font>
    <font>
      <b/>
      <sz val="28"/>
      <name val="Arial"/>
      <family val="2"/>
    </font>
    <font>
      <sz val="10"/>
      <color indexed="10"/>
      <name val="Calibri"/>
      <family val="2"/>
    </font>
    <font>
      <b/>
      <sz val="10"/>
      <color rgb="FFFF0000"/>
      <name val="Calibri"/>
      <family val="2"/>
    </font>
    <font>
      <b/>
      <sz val="11"/>
      <color indexed="10"/>
      <name val="Calibri"/>
      <family val="2"/>
    </font>
    <font>
      <b/>
      <sz val="10"/>
      <color indexed="10"/>
      <name val="Arial"/>
      <family val="2"/>
    </font>
    <font>
      <sz val="11"/>
      <color indexed="10"/>
      <name val="Calibri"/>
      <family val="2"/>
    </font>
    <font>
      <b/>
      <sz val="11"/>
      <color rgb="FFFF0000"/>
      <name val="Calibri"/>
      <family val="2"/>
    </font>
    <font>
      <b/>
      <sz val="11"/>
      <color rgb="FFFF0000"/>
      <name val="Calibri"/>
      <family val="2"/>
      <scheme val="minor"/>
    </font>
    <font>
      <b/>
      <sz val="11"/>
      <color theme="1"/>
      <name val="Calibri"/>
      <family val="2"/>
      <scheme val="minor"/>
    </font>
    <font>
      <b/>
      <sz val="11"/>
      <color indexed="8"/>
      <name val="Arial"/>
      <family val="2"/>
    </font>
    <font>
      <sz val="8"/>
      <name val="Calibri"/>
      <family val="2"/>
      <scheme val="minor"/>
    </font>
  </fonts>
  <fills count="12">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0"/>
        <bgColor indexed="64"/>
      </patternFill>
    </fill>
    <fill>
      <patternFill patternType="solid">
        <fgColor rgb="FFF2F2F2"/>
        <bgColor indexed="64"/>
      </patternFill>
    </fill>
    <fill>
      <patternFill patternType="solid">
        <fgColor rgb="FFFFC000"/>
        <bgColor indexed="64"/>
      </patternFill>
    </fill>
    <fill>
      <patternFill patternType="solid">
        <fgColor rgb="FFFF0000"/>
        <bgColor indexed="64"/>
      </patternFill>
    </fill>
    <fill>
      <patternFill patternType="solid">
        <fgColor indexed="9"/>
        <bgColor indexed="64"/>
      </patternFill>
    </fill>
    <fill>
      <patternFill patternType="solid">
        <fgColor theme="0" tint="-4.9989318521683403E-2"/>
        <bgColor indexed="64"/>
      </patternFill>
    </fill>
    <fill>
      <patternFill patternType="solid">
        <fgColor rgb="FFFFFF00"/>
        <bgColor rgb="FF000000"/>
      </patternFill>
    </fill>
    <fill>
      <patternFill patternType="solid">
        <fgColor rgb="FF92D050"/>
        <bgColor indexed="64"/>
      </patternFill>
    </fill>
  </fills>
  <borders count="107">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medium">
        <color indexed="64"/>
      </right>
      <top/>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top style="thin">
        <color indexed="64"/>
      </top>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top/>
      <bottom style="medium">
        <color indexed="64"/>
      </bottom>
      <diagonal/>
    </border>
    <border>
      <left/>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right style="medium">
        <color indexed="64"/>
      </right>
      <top style="thin">
        <color indexed="64"/>
      </top>
      <bottom/>
      <diagonal/>
    </border>
    <border>
      <left style="thin">
        <color indexed="64"/>
      </left>
      <right/>
      <top style="thin">
        <color indexed="64"/>
      </top>
      <bottom/>
      <diagonal/>
    </border>
    <border>
      <left/>
      <right/>
      <top/>
      <bottom style="double">
        <color rgb="FFFF0000"/>
      </bottom>
      <diagonal/>
    </border>
    <border>
      <left style="thin">
        <color indexed="64"/>
      </left>
      <right style="double">
        <color rgb="FFFF0000"/>
      </right>
      <top/>
      <bottom/>
      <diagonal/>
    </border>
    <border>
      <left/>
      <right/>
      <top style="double">
        <color rgb="FFFF0000"/>
      </top>
      <bottom/>
      <diagonal/>
    </border>
    <border>
      <left/>
      <right style="double">
        <color rgb="FFFF0000"/>
      </right>
      <top/>
      <bottom/>
      <diagonal/>
    </border>
    <border>
      <left/>
      <right style="medium">
        <color indexed="64"/>
      </right>
      <top/>
      <bottom style="double">
        <color rgb="FFFF0000"/>
      </bottom>
      <diagonal/>
    </border>
    <border>
      <left/>
      <right style="thin">
        <color indexed="64"/>
      </right>
      <top/>
      <bottom style="double">
        <color indexed="64"/>
      </bottom>
      <diagonal/>
    </border>
    <border>
      <left/>
      <right style="medium">
        <color indexed="64"/>
      </right>
      <top/>
      <bottom style="double">
        <color indexed="64"/>
      </bottom>
      <diagonal/>
    </border>
    <border>
      <left style="medium">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thin">
        <color indexed="64"/>
      </right>
      <top/>
      <bottom style="double">
        <color rgb="FFFF0000"/>
      </bottom>
      <diagonal/>
    </border>
    <border>
      <left/>
      <right style="thin">
        <color indexed="64"/>
      </right>
      <top/>
      <bottom style="double">
        <color rgb="FFFF0000"/>
      </bottom>
      <diagonal/>
    </border>
    <border>
      <left style="double">
        <color rgb="FFFF0000"/>
      </left>
      <right/>
      <top style="double">
        <color rgb="FFFF0000"/>
      </top>
      <bottom/>
      <diagonal/>
    </border>
    <border>
      <left/>
      <right style="medium">
        <color indexed="64"/>
      </right>
      <top style="double">
        <color rgb="FFFF0000"/>
      </top>
      <bottom/>
      <diagonal/>
    </border>
    <border>
      <left style="medium">
        <color indexed="64"/>
      </left>
      <right/>
      <top style="double">
        <color rgb="FFFF0000"/>
      </top>
      <bottom/>
      <diagonal/>
    </border>
    <border>
      <left style="double">
        <color rgb="FFFF0000"/>
      </left>
      <right/>
      <top/>
      <bottom style="double">
        <color rgb="FFFF0000"/>
      </bottom>
      <diagonal/>
    </border>
    <border>
      <left style="medium">
        <color indexed="64"/>
      </left>
      <right/>
      <top/>
      <bottom style="double">
        <color rgb="FFFF0000"/>
      </bottom>
      <diagonal/>
    </border>
    <border>
      <left/>
      <right/>
      <top/>
      <bottom style="double">
        <color indexed="64"/>
      </bottom>
      <diagonal/>
    </border>
    <border>
      <left style="medium">
        <color rgb="FF000000"/>
      </left>
      <right style="thin">
        <color indexed="64"/>
      </right>
      <top/>
      <bottom style="double">
        <color indexed="64"/>
      </bottom>
      <diagonal/>
    </border>
    <border>
      <left style="double">
        <color rgb="FFFF0000"/>
      </left>
      <right style="thin">
        <color indexed="64"/>
      </right>
      <top/>
      <bottom style="double">
        <color rgb="FFFF0000"/>
      </bottom>
      <diagonal/>
    </border>
    <border>
      <left style="medium">
        <color rgb="FF000000"/>
      </left>
      <right style="thin">
        <color indexed="64"/>
      </right>
      <top/>
      <bottom style="double">
        <color rgb="FFFF0000"/>
      </bottom>
      <diagonal/>
    </border>
    <border>
      <left style="double">
        <color rgb="FFFF0000"/>
      </left>
      <right/>
      <top/>
      <bottom/>
      <diagonal/>
    </border>
    <border>
      <left style="thin">
        <color indexed="64"/>
      </left>
      <right/>
      <top style="double">
        <color rgb="FFFF0000"/>
      </top>
      <bottom/>
      <diagonal/>
    </border>
    <border>
      <left style="thin">
        <color indexed="64"/>
      </left>
      <right/>
      <top/>
      <bottom style="double">
        <color rgb="FFFF0000"/>
      </bottom>
      <diagonal/>
    </border>
    <border>
      <left style="thin">
        <color indexed="64"/>
      </left>
      <right style="thin">
        <color indexed="64"/>
      </right>
      <top/>
      <bottom style="double">
        <color indexed="64"/>
      </bottom>
      <diagonal/>
    </border>
    <border>
      <left/>
      <right style="thin">
        <color indexed="64"/>
      </right>
      <top style="double">
        <color rgb="FFFF0000"/>
      </top>
      <bottom/>
      <diagonal/>
    </border>
    <border>
      <left style="thin">
        <color indexed="64"/>
      </left>
      <right style="thin">
        <color indexed="64"/>
      </right>
      <top/>
      <bottom style="double">
        <color rgb="FFFF0000"/>
      </bottom>
      <diagonal/>
    </border>
  </borders>
  <cellStyleXfs count="7">
    <xf numFmtId="0" fontId="0" fillId="0" borderId="0"/>
    <xf numFmtId="167" fontId="1" fillId="0" borderId="0" applyFont="0" applyFill="0" applyBorder="0" applyAlignment="0" applyProtection="0"/>
    <xf numFmtId="165" fontId="1" fillId="0" borderId="0" applyFont="0" applyFill="0" applyBorder="0" applyAlignment="0" applyProtection="0"/>
    <xf numFmtId="166" fontId="1" fillId="0" borderId="0" applyFont="0" applyFill="0" applyBorder="0" applyAlignment="0" applyProtection="0"/>
    <xf numFmtId="9" fontId="1" fillId="0" borderId="0" applyFont="0" applyFill="0" applyBorder="0" applyAlignment="0" applyProtection="0"/>
    <xf numFmtId="0" fontId="9" fillId="0" borderId="0"/>
    <xf numFmtId="0" fontId="9" fillId="0" borderId="0"/>
  </cellStyleXfs>
  <cellXfs count="1543">
    <xf numFmtId="0" fontId="0" fillId="0" borderId="0" xfId="0"/>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horizontal="center" vertical="center"/>
    </xf>
    <xf numFmtId="0" fontId="7" fillId="0" borderId="0" xfId="0" applyFont="1" applyAlignment="1">
      <alignment vertical="center"/>
    </xf>
    <xf numFmtId="0" fontId="7" fillId="0" borderId="0" xfId="0" applyFont="1" applyAlignment="1">
      <alignment horizontal="center" vertical="center"/>
    </xf>
    <xf numFmtId="0" fontId="7" fillId="0" borderId="0" xfId="0" applyFont="1" applyAlignment="1">
      <alignment horizontal="left" vertical="center"/>
    </xf>
    <xf numFmtId="0" fontId="8" fillId="0" borderId="1" xfId="0" applyFont="1" applyBorder="1" applyAlignment="1">
      <alignment horizontal="center" vertical="center"/>
    </xf>
    <xf numFmtId="0" fontId="8" fillId="0" borderId="2" xfId="0" applyFont="1" applyBorder="1" applyAlignment="1">
      <alignment vertical="center"/>
    </xf>
    <xf numFmtId="0" fontId="8" fillId="0" borderId="3" xfId="0" applyFont="1" applyBorder="1" applyAlignment="1">
      <alignment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6" xfId="0" applyFont="1" applyBorder="1" applyAlignment="1">
      <alignment horizontal="center" vertical="center"/>
    </xf>
    <xf numFmtId="0" fontId="3" fillId="0" borderId="8" xfId="0" applyFont="1" applyBorder="1" applyAlignment="1">
      <alignment vertical="center"/>
    </xf>
    <xf numFmtId="41" fontId="4" fillId="2" borderId="8" xfId="2" applyNumberFormat="1" applyFont="1" applyFill="1" applyBorder="1" applyAlignment="1" applyProtection="1">
      <alignment vertical="center"/>
      <protection locked="0"/>
    </xf>
    <xf numFmtId="0" fontId="3" fillId="0" borderId="9" xfId="0" applyFont="1" applyBorder="1" applyAlignment="1">
      <alignment vertical="center"/>
    </xf>
    <xf numFmtId="164" fontId="3" fillId="0" borderId="8" xfId="0" applyNumberFormat="1" applyFont="1" applyBorder="1" applyAlignment="1">
      <alignment vertical="center"/>
    </xf>
    <xf numFmtId="168" fontId="3" fillId="0" borderId="8" xfId="0" applyNumberFormat="1" applyFont="1" applyBorder="1" applyAlignment="1">
      <alignment vertical="center"/>
    </xf>
    <xf numFmtId="164" fontId="3" fillId="0" borderId="9" xfId="0" applyNumberFormat="1" applyFont="1" applyBorder="1" applyAlignment="1">
      <alignment vertical="center"/>
    </xf>
    <xf numFmtId="0" fontId="3" fillId="0" borderId="10" xfId="0" applyFont="1" applyBorder="1" applyAlignment="1">
      <alignment vertical="center"/>
    </xf>
    <xf numFmtId="15" fontId="3" fillId="0" borderId="11" xfId="0" applyNumberFormat="1" applyFont="1" applyBorder="1" applyAlignment="1">
      <alignment vertical="center"/>
    </xf>
    <xf numFmtId="0" fontId="3" fillId="0" borderId="12" xfId="0" applyFont="1" applyBorder="1" applyAlignment="1">
      <alignment vertical="center"/>
    </xf>
    <xf numFmtId="41" fontId="4" fillId="2" borderId="12" xfId="2" applyNumberFormat="1" applyFont="1" applyFill="1" applyBorder="1" applyAlignment="1" applyProtection="1">
      <alignment vertical="center"/>
      <protection locked="0"/>
    </xf>
    <xf numFmtId="0" fontId="3" fillId="0" borderId="13" xfId="0" applyFont="1" applyBorder="1" applyAlignment="1">
      <alignment vertical="center"/>
    </xf>
    <xf numFmtId="164" fontId="3" fillId="0" borderId="12" xfId="0" applyNumberFormat="1" applyFont="1" applyBorder="1" applyAlignment="1">
      <alignment vertical="center"/>
    </xf>
    <xf numFmtId="168" fontId="3" fillId="0" borderId="12" xfId="0" applyNumberFormat="1" applyFont="1" applyBorder="1" applyAlignment="1">
      <alignment vertical="center"/>
    </xf>
    <xf numFmtId="164" fontId="3" fillId="0" borderId="13" xfId="0" applyNumberFormat="1" applyFont="1" applyBorder="1" applyAlignment="1">
      <alignment vertical="center"/>
    </xf>
    <xf numFmtId="0" fontId="3" fillId="0" borderId="14" xfId="0" applyFont="1" applyBorder="1" applyAlignment="1">
      <alignment vertical="center"/>
    </xf>
    <xf numFmtId="14" fontId="3" fillId="0" borderId="15" xfId="0" applyNumberFormat="1" applyFont="1" applyBorder="1" applyAlignment="1">
      <alignment vertical="center"/>
    </xf>
    <xf numFmtId="0" fontId="3" fillId="0" borderId="16" xfId="0" applyFont="1" applyBorder="1" applyAlignment="1">
      <alignment vertical="center"/>
    </xf>
    <xf numFmtId="0" fontId="3" fillId="0" borderId="17" xfId="0" applyFont="1" applyBorder="1" applyAlignment="1">
      <alignment vertical="center"/>
    </xf>
    <xf numFmtId="164" fontId="3" fillId="0" borderId="16" xfId="0" applyNumberFormat="1" applyFont="1" applyBorder="1" applyAlignment="1">
      <alignment vertical="center"/>
    </xf>
    <xf numFmtId="0" fontId="3" fillId="0" borderId="18" xfId="0" applyFont="1" applyBorder="1" applyAlignment="1">
      <alignment vertical="center"/>
    </xf>
    <xf numFmtId="0" fontId="3" fillId="0" borderId="15" xfId="0" applyFont="1" applyBorder="1" applyAlignment="1">
      <alignment vertical="center"/>
    </xf>
    <xf numFmtId="41" fontId="4" fillId="2" borderId="16" xfId="2" applyNumberFormat="1" applyFont="1" applyFill="1" applyBorder="1" applyAlignment="1" applyProtection="1">
      <alignment vertical="center"/>
      <protection locked="0"/>
    </xf>
    <xf numFmtId="0" fontId="4" fillId="2" borderId="19" xfId="0" applyFont="1" applyFill="1" applyBorder="1" applyAlignment="1" applyProtection="1">
      <alignment vertical="center"/>
      <protection locked="0"/>
    </xf>
    <xf numFmtId="164" fontId="3" fillId="0" borderId="21" xfId="0" applyNumberFormat="1" applyFont="1" applyBorder="1" applyAlignment="1">
      <alignment vertical="center"/>
    </xf>
    <xf numFmtId="0" fontId="3" fillId="0" borderId="21" xfId="0" applyFont="1" applyBorder="1" applyAlignment="1">
      <alignment vertical="center"/>
    </xf>
    <xf numFmtId="0" fontId="3" fillId="0" borderId="23" xfId="0" applyFont="1" applyBorder="1" applyAlignment="1">
      <alignment vertical="center"/>
    </xf>
    <xf numFmtId="14" fontId="3" fillId="0" borderId="12" xfId="0" applyNumberFormat="1" applyFont="1" applyBorder="1" applyAlignment="1">
      <alignment vertical="center"/>
    </xf>
    <xf numFmtId="0" fontId="4" fillId="2" borderId="24" xfId="0" applyFont="1" applyFill="1" applyBorder="1" applyAlignment="1" applyProtection="1">
      <alignment vertical="center"/>
      <protection locked="0"/>
    </xf>
    <xf numFmtId="0" fontId="4" fillId="2" borderId="16" xfId="0" applyFont="1" applyFill="1" applyBorder="1" applyAlignment="1" applyProtection="1">
      <alignment vertical="center"/>
      <protection locked="0"/>
    </xf>
    <xf numFmtId="164" fontId="3" fillId="0" borderId="4" xfId="0" applyNumberFormat="1" applyFont="1" applyBorder="1" applyAlignment="1">
      <alignment vertical="center"/>
    </xf>
    <xf numFmtId="0" fontId="3" fillId="0" borderId="6" xfId="0" applyFont="1" applyBorder="1" applyAlignment="1">
      <alignment vertical="center"/>
    </xf>
    <xf numFmtId="0" fontId="3" fillId="0" borderId="4" xfId="0" applyFont="1" applyBorder="1" applyAlignment="1">
      <alignment vertical="center"/>
    </xf>
    <xf numFmtId="0" fontId="8" fillId="0" borderId="0" xfId="0" applyFont="1" applyAlignment="1">
      <alignment vertical="center"/>
    </xf>
    <xf numFmtId="0" fontId="8" fillId="0" borderId="0" xfId="0" applyFont="1" applyAlignment="1">
      <alignment horizontal="center" vertical="center"/>
    </xf>
    <xf numFmtId="14" fontId="8" fillId="0" borderId="25" xfId="0" applyNumberFormat="1" applyFont="1" applyBorder="1" applyAlignment="1">
      <alignment horizontal="center" vertical="center"/>
    </xf>
    <xf numFmtId="14" fontId="8" fillId="0" borderId="29" xfId="0" applyNumberFormat="1" applyFont="1" applyBorder="1" applyAlignment="1">
      <alignment horizontal="center" vertical="center"/>
    </xf>
    <xf numFmtId="0" fontId="8" fillId="2" borderId="25" xfId="0" applyFont="1" applyFill="1" applyBorder="1" applyAlignment="1" applyProtection="1">
      <alignment horizontal="center" vertical="center"/>
      <protection locked="0"/>
    </xf>
    <xf numFmtId="0" fontId="8" fillId="0" borderId="29" xfId="0" applyFont="1" applyBorder="1" applyAlignment="1">
      <alignment horizontal="center" vertical="center"/>
    </xf>
    <xf numFmtId="0" fontId="8" fillId="0" borderId="26" xfId="0" applyFont="1" applyBorder="1" applyAlignment="1">
      <alignment horizontal="center" vertical="center"/>
    </xf>
    <xf numFmtId="164" fontId="8" fillId="0" borderId="29" xfId="0" applyNumberFormat="1" applyFont="1" applyBorder="1" applyAlignment="1">
      <alignment horizontal="center" vertical="center"/>
    </xf>
    <xf numFmtId="168" fontId="8" fillId="0" borderId="29" xfId="0" applyNumberFormat="1" applyFont="1" applyBorder="1" applyAlignment="1">
      <alignment horizontal="center" vertical="center"/>
    </xf>
    <xf numFmtId="9" fontId="8" fillId="0" borderId="26" xfId="0" applyNumberFormat="1" applyFont="1" applyBorder="1" applyAlignment="1">
      <alignment horizontal="center" vertical="center"/>
    </xf>
    <xf numFmtId="0" fontId="8" fillId="0" borderId="27" xfId="0" applyFont="1" applyBorder="1" applyAlignment="1">
      <alignment horizontal="center" vertical="center"/>
    </xf>
    <xf numFmtId="1" fontId="3" fillId="0" borderId="13" xfId="0" applyNumberFormat="1" applyFont="1" applyBorder="1" applyAlignment="1">
      <alignment horizontal="center" vertical="center"/>
    </xf>
    <xf numFmtId="1" fontId="3" fillId="0" borderId="17" xfId="0" applyNumberFormat="1" applyFont="1" applyBorder="1" applyAlignment="1">
      <alignment horizontal="center" vertical="center"/>
    </xf>
    <xf numFmtId="171" fontId="3" fillId="0" borderId="12" xfId="0" applyNumberFormat="1" applyFont="1" applyBorder="1" applyAlignment="1">
      <alignment vertical="center"/>
    </xf>
    <xf numFmtId="0" fontId="12" fillId="0" borderId="0" xfId="0" applyFont="1" applyAlignment="1" applyProtection="1">
      <alignment vertical="center"/>
      <protection locked="0"/>
    </xf>
    <xf numFmtId="0" fontId="12" fillId="0" borderId="0" xfId="0" applyFont="1" applyProtection="1">
      <protection locked="0"/>
    </xf>
    <xf numFmtId="0" fontId="3" fillId="0" borderId="0" xfId="0" applyFont="1" applyProtection="1">
      <protection locked="0"/>
    </xf>
    <xf numFmtId="0" fontId="8" fillId="0" borderId="0" xfId="0" applyFont="1" applyProtection="1">
      <protection locked="0"/>
    </xf>
    <xf numFmtId="0" fontId="8" fillId="0" borderId="0" xfId="0" applyFont="1"/>
    <xf numFmtId="0" fontId="8" fillId="0" borderId="0" xfId="0" applyFont="1" applyAlignment="1" applyProtection="1">
      <alignment horizontal="left"/>
      <protection locked="0"/>
    </xf>
    <xf numFmtId="14" fontId="8" fillId="0" borderId="0" xfId="0" applyNumberFormat="1" applyFont="1"/>
    <xf numFmtId="0" fontId="10" fillId="0" borderId="30" xfId="0" applyFont="1" applyBorder="1" applyAlignment="1" applyProtection="1">
      <alignment horizontal="center" vertical="center"/>
      <protection locked="0"/>
    </xf>
    <xf numFmtId="0" fontId="10" fillId="0" borderId="31" xfId="0" applyFont="1" applyBorder="1" applyAlignment="1" applyProtection="1">
      <alignment horizontal="center" vertical="center"/>
      <protection locked="0"/>
    </xf>
    <xf numFmtId="0" fontId="10" fillId="0" borderId="32" xfId="0" applyFont="1" applyBorder="1" applyAlignment="1" applyProtection="1">
      <alignment horizontal="center" vertical="center"/>
      <protection locked="0"/>
    </xf>
    <xf numFmtId="0" fontId="8" fillId="0" borderId="28" xfId="0" applyFont="1" applyBorder="1" applyAlignment="1" applyProtection="1">
      <alignment horizontal="center" vertical="center"/>
      <protection locked="0"/>
    </xf>
    <xf numFmtId="0" fontId="10" fillId="0" borderId="28" xfId="0" applyFont="1" applyBorder="1" applyAlignment="1" applyProtection="1">
      <alignment horizontal="center" vertical="center"/>
      <protection locked="0"/>
    </xf>
    <xf numFmtId="0" fontId="7" fillId="0" borderId="33" xfId="0" applyFont="1" applyBorder="1" applyAlignment="1" applyProtection="1">
      <alignment vertical="center"/>
      <protection locked="0"/>
    </xf>
    <xf numFmtId="41" fontId="7" fillId="0" borderId="28" xfId="0" applyNumberFormat="1" applyFont="1" applyBorder="1" applyAlignment="1">
      <alignment horizontal="center" vertical="center"/>
    </xf>
    <xf numFmtId="171" fontId="7" fillId="0" borderId="28" xfId="0" applyNumberFormat="1" applyFont="1" applyBorder="1" applyAlignment="1">
      <alignment horizontal="center" vertical="center"/>
    </xf>
    <xf numFmtId="171" fontId="7" fillId="0" borderId="34" xfId="0" applyNumberFormat="1" applyFont="1" applyBorder="1" applyAlignment="1">
      <alignment horizontal="center" vertical="center"/>
    </xf>
    <xf numFmtId="0" fontId="7" fillId="0" borderId="0" xfId="0" applyFont="1" applyProtection="1">
      <protection locked="0"/>
    </xf>
    <xf numFmtId="0" fontId="7" fillId="0" borderId="28" xfId="0" applyFont="1" applyBorder="1" applyAlignment="1" applyProtection="1">
      <alignment horizontal="center" vertical="center"/>
      <protection locked="0"/>
    </xf>
    <xf numFmtId="171" fontId="7" fillId="0" borderId="28" xfId="0" applyNumberFormat="1" applyFont="1" applyBorder="1" applyAlignment="1" applyProtection="1">
      <alignment horizontal="center" vertical="center"/>
      <protection locked="0"/>
    </xf>
    <xf numFmtId="41" fontId="7" fillId="0" borderId="34" xfId="2" applyNumberFormat="1" applyFont="1" applyBorder="1" applyAlignment="1" applyProtection="1">
      <alignment horizontal="center" vertical="center"/>
    </xf>
    <xf numFmtId="0" fontId="7" fillId="0" borderId="35" xfId="0" applyFont="1" applyBorder="1" applyAlignment="1" applyProtection="1">
      <alignment horizontal="left" vertical="center"/>
      <protection locked="0"/>
    </xf>
    <xf numFmtId="41" fontId="10" fillId="5" borderId="35" xfId="0" applyNumberFormat="1" applyFont="1" applyFill="1" applyBorder="1" applyAlignment="1" applyProtection="1">
      <alignment vertical="center"/>
      <protection locked="0"/>
    </xf>
    <xf numFmtId="164" fontId="10" fillId="0" borderId="35" xfId="0" applyNumberFormat="1" applyFont="1" applyBorder="1" applyAlignment="1">
      <alignment vertical="center"/>
    </xf>
    <xf numFmtId="164" fontId="10" fillId="0" borderId="28" xfId="0" applyNumberFormat="1" applyFont="1" applyBorder="1" applyAlignment="1">
      <alignment horizontal="center" vertical="center"/>
    </xf>
    <xf numFmtId="0" fontId="7" fillId="0" borderId="0" xfId="0" applyFont="1" applyAlignment="1" applyProtection="1">
      <alignment horizontal="center"/>
      <protection locked="0"/>
    </xf>
    <xf numFmtId="171" fontId="7" fillId="0" borderId="0" xfId="0" applyNumberFormat="1" applyFont="1" applyAlignment="1" applyProtection="1">
      <alignment horizontal="center"/>
      <protection locked="0"/>
    </xf>
    <xf numFmtId="0" fontId="7" fillId="0" borderId="36" xfId="0" applyFont="1" applyBorder="1" applyAlignment="1" applyProtection="1">
      <alignment horizontal="left" vertical="center"/>
      <protection locked="0"/>
    </xf>
    <xf numFmtId="41" fontId="10" fillId="5" borderId="36" xfId="0" applyNumberFormat="1" applyFont="1" applyFill="1" applyBorder="1" applyAlignment="1" applyProtection="1">
      <alignment vertical="center"/>
      <protection locked="0"/>
    </xf>
    <xf numFmtId="164" fontId="10" fillId="0" borderId="36" xfId="0" applyNumberFormat="1" applyFont="1" applyBorder="1" applyAlignment="1">
      <alignment vertical="center"/>
    </xf>
    <xf numFmtId="0" fontId="7" fillId="0" borderId="37" xfId="0" applyFont="1" applyBorder="1" applyAlignment="1" applyProtection="1">
      <alignment horizontal="left" vertical="center"/>
      <protection locked="0"/>
    </xf>
    <xf numFmtId="41" fontId="10" fillId="5" borderId="37" xfId="0" applyNumberFormat="1" applyFont="1" applyFill="1" applyBorder="1" applyAlignment="1" applyProtection="1">
      <alignment vertical="center"/>
      <protection locked="0"/>
    </xf>
    <xf numFmtId="164" fontId="10" fillId="0" borderId="37" xfId="0" applyNumberFormat="1" applyFont="1" applyBorder="1" applyAlignment="1" applyProtection="1">
      <alignment vertical="center"/>
      <protection locked="0"/>
    </xf>
    <xf numFmtId="0" fontId="7" fillId="0" borderId="28" xfId="0" applyFont="1" applyBorder="1" applyAlignment="1" applyProtection="1">
      <alignment vertical="center"/>
      <protection locked="0"/>
    </xf>
    <xf numFmtId="41" fontId="10" fillId="0" borderId="28" xfId="0" applyNumberFormat="1" applyFont="1" applyBorder="1" applyAlignment="1">
      <alignment horizontal="center" vertical="center"/>
    </xf>
    <xf numFmtId="0" fontId="7" fillId="0" borderId="33" xfId="0" applyFont="1" applyBorder="1" applyProtection="1">
      <protection locked="0"/>
    </xf>
    <xf numFmtId="164" fontId="10" fillId="0" borderId="28" xfId="0" applyNumberFormat="1" applyFont="1" applyBorder="1" applyAlignment="1" applyProtection="1">
      <alignment horizontal="center" vertical="center"/>
      <protection locked="0"/>
    </xf>
    <xf numFmtId="164" fontId="10" fillId="0" borderId="28" xfId="0" applyNumberFormat="1" applyFont="1" applyBorder="1" applyAlignment="1" applyProtection="1">
      <alignment vertical="center"/>
      <protection locked="0"/>
    </xf>
    <xf numFmtId="0" fontId="7" fillId="0" borderId="33" xfId="0" applyFont="1" applyBorder="1" applyAlignment="1" applyProtection="1">
      <alignment horizontal="left" vertical="center"/>
      <protection locked="0"/>
    </xf>
    <xf numFmtId="0" fontId="7" fillId="0" borderId="37" xfId="0" applyFont="1" applyBorder="1" applyAlignment="1" applyProtection="1">
      <alignment vertical="center"/>
      <protection locked="0"/>
    </xf>
    <xf numFmtId="41" fontId="7" fillId="0" borderId="28" xfId="0" applyNumberFormat="1" applyFont="1" applyBorder="1" applyAlignment="1" applyProtection="1">
      <alignment horizontal="center" vertical="center"/>
      <protection locked="0"/>
    </xf>
    <xf numFmtId="171" fontId="7" fillId="0" borderId="34" xfId="0" applyNumberFormat="1" applyFont="1" applyBorder="1" applyAlignment="1" applyProtection="1">
      <alignment horizontal="center" vertical="center"/>
      <protection locked="0"/>
    </xf>
    <xf numFmtId="0" fontId="7" fillId="3" borderId="33" xfId="0" applyFont="1" applyFill="1" applyBorder="1" applyProtection="1">
      <protection locked="0"/>
    </xf>
    <xf numFmtId="0" fontId="7" fillId="3" borderId="28" xfId="0" applyFont="1" applyFill="1" applyBorder="1" applyProtection="1">
      <protection locked="0"/>
    </xf>
    <xf numFmtId="0" fontId="7" fillId="3" borderId="28" xfId="0" applyFont="1" applyFill="1" applyBorder="1" applyAlignment="1" applyProtection="1">
      <alignment horizontal="center" vertical="center"/>
      <protection locked="0"/>
    </xf>
    <xf numFmtId="171" fontId="7" fillId="3" borderId="34" xfId="0" applyNumberFormat="1" applyFont="1" applyFill="1" applyBorder="1" applyAlignment="1">
      <alignment horizontal="center" vertical="center"/>
    </xf>
    <xf numFmtId="0" fontId="7" fillId="0" borderId="28" xfId="0" applyFont="1" applyBorder="1" applyAlignment="1" applyProtection="1">
      <alignment horizontal="left" vertical="center"/>
      <protection locked="0"/>
    </xf>
    <xf numFmtId="0" fontId="7" fillId="0" borderId="28" xfId="0" applyFont="1" applyBorder="1" applyProtection="1">
      <protection locked="0"/>
    </xf>
    <xf numFmtId="0" fontId="7" fillId="0" borderId="34" xfId="0" applyFont="1" applyBorder="1" applyProtection="1">
      <protection locked="0"/>
    </xf>
    <xf numFmtId="0" fontId="10" fillId="3" borderId="28" xfId="0" applyFont="1" applyFill="1" applyBorder="1" applyProtection="1">
      <protection locked="0"/>
    </xf>
    <xf numFmtId="0" fontId="10" fillId="3" borderId="28" xfId="0" applyFont="1" applyFill="1" applyBorder="1" applyAlignment="1" applyProtection="1">
      <alignment horizontal="center" vertical="center"/>
      <protection locked="0"/>
    </xf>
    <xf numFmtId="171" fontId="10" fillId="3" borderId="28" xfId="0" applyNumberFormat="1" applyFont="1" applyFill="1" applyBorder="1" applyAlignment="1">
      <alignment horizontal="center" vertical="center"/>
    </xf>
    <xf numFmtId="0" fontId="13" fillId="3" borderId="44" xfId="0" applyFont="1" applyFill="1" applyBorder="1" applyAlignment="1" applyProtection="1">
      <alignment vertical="center"/>
      <protection locked="0"/>
    </xf>
    <xf numFmtId="0" fontId="7" fillId="3" borderId="45" xfId="0" applyFont="1" applyFill="1" applyBorder="1" applyAlignment="1" applyProtection="1">
      <alignment horizontal="center" vertical="center"/>
      <protection locked="0"/>
    </xf>
    <xf numFmtId="0" fontId="7" fillId="0" borderId="45" xfId="0" applyFont="1" applyBorder="1" applyAlignment="1" applyProtection="1">
      <alignment horizontal="center" vertical="center"/>
      <protection locked="0"/>
    </xf>
    <xf numFmtId="171" fontId="7" fillId="0" borderId="46" xfId="0" applyNumberFormat="1" applyFont="1" applyBorder="1" applyAlignment="1">
      <alignment horizontal="center" vertical="center"/>
    </xf>
    <xf numFmtId="0" fontId="7" fillId="3" borderId="44" xfId="0" applyFont="1" applyFill="1" applyBorder="1" applyAlignment="1" applyProtection="1">
      <alignment horizontal="center" vertical="center"/>
      <protection locked="0"/>
    </xf>
    <xf numFmtId="173" fontId="13" fillId="3" borderId="35" xfId="0" applyNumberFormat="1" applyFont="1" applyFill="1" applyBorder="1" applyAlignment="1">
      <alignment horizontal="center" vertical="center"/>
    </xf>
    <xf numFmtId="0" fontId="7" fillId="0" borderId="35" xfId="0" applyFont="1" applyBorder="1" applyProtection="1">
      <protection locked="0"/>
    </xf>
    <xf numFmtId="41" fontId="7" fillId="0" borderId="46" xfId="2" applyNumberFormat="1" applyFont="1" applyBorder="1" applyAlignment="1" applyProtection="1">
      <alignment horizontal="center" vertical="center"/>
    </xf>
    <xf numFmtId="0" fontId="8" fillId="0" borderId="33" xfId="0" applyFont="1" applyBorder="1" applyAlignment="1" applyProtection="1">
      <alignment vertical="center"/>
      <protection locked="0"/>
    </xf>
    <xf numFmtId="174" fontId="8" fillId="0" borderId="34" xfId="0" applyNumberFormat="1" applyFont="1" applyBorder="1" applyProtection="1">
      <protection locked="0"/>
    </xf>
    <xf numFmtId="0" fontId="10" fillId="0" borderId="28" xfId="0" applyFont="1" applyBorder="1" applyProtection="1">
      <protection locked="0"/>
    </xf>
    <xf numFmtId="0" fontId="8" fillId="0" borderId="0" xfId="0" applyFont="1" applyAlignment="1" applyProtection="1">
      <alignment horizontal="center" vertical="center"/>
      <protection locked="0"/>
    </xf>
    <xf numFmtId="0" fontId="8" fillId="0" borderId="47" xfId="0" applyFont="1" applyBorder="1" applyProtection="1">
      <protection locked="0"/>
    </xf>
    <xf numFmtId="0" fontId="8" fillId="0" borderId="47" xfId="0" applyFont="1" applyBorder="1" applyAlignment="1" applyProtection="1">
      <alignment horizontal="center" vertical="center"/>
      <protection locked="0"/>
    </xf>
    <xf numFmtId="171" fontId="7" fillId="0" borderId="0" xfId="0" applyNumberFormat="1" applyFont="1" applyAlignment="1" applyProtection="1">
      <alignment horizontal="center" vertical="center"/>
      <protection locked="0"/>
    </xf>
    <xf numFmtId="173" fontId="13" fillId="3" borderId="45" xfId="0" applyNumberFormat="1" applyFont="1" applyFill="1" applyBorder="1" applyAlignment="1">
      <alignment horizontal="center" vertical="center"/>
    </xf>
    <xf numFmtId="171" fontId="10" fillId="0" borderId="28" xfId="0" applyNumberFormat="1" applyFont="1" applyBorder="1" applyAlignment="1">
      <alignment horizontal="center" vertical="center"/>
    </xf>
    <xf numFmtId="171" fontId="3" fillId="0" borderId="0" xfId="0" applyNumberFormat="1" applyFont="1"/>
    <xf numFmtId="0" fontId="7" fillId="0" borderId="0" xfId="0" applyFont="1" applyAlignment="1" applyProtection="1">
      <alignment horizontal="center" vertical="center"/>
      <protection locked="0"/>
    </xf>
    <xf numFmtId="0" fontId="3" fillId="0" borderId="0" xfId="0" applyFont="1" applyAlignment="1" applyProtection="1">
      <alignment horizontal="center" vertical="center"/>
      <protection locked="0"/>
    </xf>
    <xf numFmtId="0" fontId="14" fillId="6" borderId="28" xfId="0" applyFont="1" applyFill="1" applyBorder="1" applyAlignment="1" applyProtection="1">
      <alignment horizontal="center" vertical="center"/>
      <protection locked="0"/>
    </xf>
    <xf numFmtId="0" fontId="7" fillId="6" borderId="28" xfId="0" applyFont="1" applyFill="1" applyBorder="1" applyAlignment="1" applyProtection="1">
      <alignment horizontal="center" vertical="center"/>
      <protection locked="0"/>
    </xf>
    <xf numFmtId="173" fontId="7" fillId="6" borderId="28" xfId="0" applyNumberFormat="1" applyFont="1" applyFill="1" applyBorder="1" applyAlignment="1" applyProtection="1">
      <alignment horizontal="center" vertical="center"/>
      <protection locked="0"/>
    </xf>
    <xf numFmtId="0" fontId="15" fillId="0" borderId="0" xfId="0" applyFont="1" applyProtection="1">
      <protection locked="0"/>
    </xf>
    <xf numFmtId="0" fontId="3" fillId="0" borderId="20" xfId="0" applyFont="1" applyBorder="1" applyProtection="1">
      <protection locked="0"/>
    </xf>
    <xf numFmtId="0" fontId="3" fillId="7" borderId="0" xfId="0" applyFont="1" applyFill="1" applyProtection="1">
      <protection locked="0"/>
    </xf>
    <xf numFmtId="0" fontId="3" fillId="0" borderId="2" xfId="0" applyFont="1" applyBorder="1" applyAlignment="1" applyProtection="1">
      <alignment vertical="center"/>
      <protection locked="0"/>
    </xf>
    <xf numFmtId="0" fontId="3" fillId="0" borderId="47" xfId="0" applyFont="1" applyBorder="1" applyAlignment="1" applyProtection="1">
      <alignment vertical="center"/>
      <protection locked="0"/>
    </xf>
    <xf numFmtId="0" fontId="3" fillId="0" borderId="3" xfId="0" applyFont="1" applyBorder="1" applyAlignment="1" applyProtection="1">
      <alignment vertical="center"/>
      <protection locked="0"/>
    </xf>
    <xf numFmtId="0" fontId="7" fillId="7" borderId="28" xfId="0" applyFont="1" applyFill="1" applyBorder="1" applyAlignment="1" applyProtection="1">
      <alignment vertical="center"/>
      <protection locked="0"/>
    </xf>
    <xf numFmtId="0" fontId="8" fillId="7" borderId="28" xfId="0" applyFont="1" applyFill="1" applyBorder="1" applyAlignment="1" applyProtection="1">
      <alignment horizontal="center" vertical="center"/>
      <protection locked="0"/>
    </xf>
    <xf numFmtId="41" fontId="8" fillId="7" borderId="28" xfId="2" applyNumberFormat="1" applyFont="1" applyFill="1" applyBorder="1" applyAlignment="1" applyProtection="1">
      <alignment horizontal="center" vertical="center"/>
    </xf>
    <xf numFmtId="0" fontId="8" fillId="7" borderId="28" xfId="0" applyFont="1" applyFill="1" applyBorder="1" applyProtection="1">
      <protection locked="0"/>
    </xf>
    <xf numFmtId="41" fontId="8" fillId="7" borderId="28" xfId="2" applyNumberFormat="1" applyFont="1" applyFill="1" applyBorder="1" applyProtection="1">
      <protection locked="0"/>
    </xf>
    <xf numFmtId="41" fontId="8" fillId="7" borderId="28" xfId="0" applyNumberFormat="1" applyFont="1" applyFill="1" applyBorder="1" applyProtection="1">
      <protection locked="0"/>
    </xf>
    <xf numFmtId="0" fontId="3" fillId="0" borderId="24" xfId="0" applyFont="1" applyBorder="1" applyAlignment="1" applyProtection="1">
      <alignment vertical="center"/>
      <protection locked="0"/>
    </xf>
    <xf numFmtId="0" fontId="3" fillId="0" borderId="0" xfId="0" applyFont="1" applyAlignment="1" applyProtection="1">
      <alignment vertical="center"/>
      <protection locked="0"/>
    </xf>
    <xf numFmtId="0" fontId="3" fillId="0" borderId="50" xfId="0" applyFont="1" applyBorder="1" applyAlignment="1" applyProtection="1">
      <alignment vertical="center"/>
      <protection locked="0"/>
    </xf>
    <xf numFmtId="172" fontId="8" fillId="7" borderId="28" xfId="2" applyNumberFormat="1" applyFont="1" applyFill="1" applyBorder="1" applyAlignment="1" applyProtection="1">
      <alignment horizontal="center" vertical="center"/>
    </xf>
    <xf numFmtId="41" fontId="8" fillId="7" borderId="28" xfId="0" applyNumberFormat="1" applyFont="1" applyFill="1" applyBorder="1"/>
    <xf numFmtId="0" fontId="10" fillId="0" borderId="24" xfId="0" applyFont="1" applyBorder="1" applyAlignment="1" applyProtection="1">
      <alignment vertical="center"/>
      <protection locked="0"/>
    </xf>
    <xf numFmtId="41" fontId="8" fillId="7" borderId="28" xfId="2" applyNumberFormat="1" applyFont="1" applyFill="1" applyBorder="1" applyAlignment="1" applyProtection="1">
      <alignment horizontal="center" vertical="center"/>
      <protection locked="0"/>
    </xf>
    <xf numFmtId="0" fontId="4" fillId="0" borderId="0" xfId="0" applyFont="1" applyAlignment="1" applyProtection="1">
      <alignment vertical="center"/>
      <protection locked="0"/>
    </xf>
    <xf numFmtId="0" fontId="3" fillId="0" borderId="5" xfId="0" applyFont="1" applyBorder="1" applyAlignment="1" applyProtection="1">
      <alignment vertical="center"/>
      <protection locked="0"/>
    </xf>
    <xf numFmtId="0" fontId="3" fillId="0" borderId="20" xfId="0" applyFont="1" applyBorder="1" applyAlignment="1" applyProtection="1">
      <alignment vertical="center"/>
      <protection locked="0"/>
    </xf>
    <xf numFmtId="0" fontId="3" fillId="0" borderId="6" xfId="0" applyFont="1" applyBorder="1" applyAlignment="1" applyProtection="1">
      <alignment vertical="center"/>
      <protection locked="0"/>
    </xf>
    <xf numFmtId="2" fontId="3" fillId="0" borderId="0" xfId="0" applyNumberFormat="1" applyFont="1" applyProtection="1">
      <protection locked="0"/>
    </xf>
    <xf numFmtId="0" fontId="16" fillId="0" borderId="0" xfId="0" applyFont="1" applyProtection="1">
      <protection locked="0"/>
    </xf>
    <xf numFmtId="170" fontId="16" fillId="0" borderId="0" xfId="0" applyNumberFormat="1" applyFont="1" applyProtection="1">
      <protection locked="0"/>
    </xf>
    <xf numFmtId="0" fontId="10" fillId="0" borderId="0" xfId="0" applyFont="1" applyProtection="1">
      <protection locked="0"/>
    </xf>
    <xf numFmtId="0" fontId="10" fillId="0" borderId="0" xfId="0" applyFont="1" applyAlignment="1" applyProtection="1">
      <alignment horizontal="center" vertical="center"/>
      <protection locked="0"/>
    </xf>
    <xf numFmtId="0" fontId="10" fillId="0" borderId="0" xfId="0" applyFont="1" applyAlignment="1" applyProtection="1">
      <alignment horizontal="center"/>
      <protection locked="0"/>
    </xf>
    <xf numFmtId="0" fontId="15" fillId="0" borderId="0" xfId="0" applyFont="1" applyAlignment="1" applyProtection="1">
      <alignment vertical="center"/>
      <protection locked="0"/>
    </xf>
    <xf numFmtId="0" fontId="3" fillId="0" borderId="20" xfId="0" applyFont="1" applyBorder="1" applyAlignment="1" applyProtection="1">
      <alignment horizontal="center" vertical="center"/>
      <protection locked="0"/>
    </xf>
    <xf numFmtId="0" fontId="3" fillId="0" borderId="51" xfId="0" applyFont="1" applyBorder="1" applyAlignment="1" applyProtection="1">
      <alignment vertical="center"/>
      <protection locked="0"/>
    </xf>
    <xf numFmtId="0" fontId="15" fillId="0" borderId="31" xfId="0" applyFont="1" applyBorder="1" applyAlignment="1" applyProtection="1">
      <alignment horizontal="center" vertical="center"/>
      <protection locked="0"/>
    </xf>
    <xf numFmtId="0" fontId="15" fillId="0" borderId="45" xfId="0" applyFont="1" applyBorder="1" applyAlignment="1" applyProtection="1">
      <alignment horizontal="center" vertical="center"/>
      <protection locked="0"/>
    </xf>
    <xf numFmtId="1" fontId="18" fillId="0" borderId="37" xfId="2" applyNumberFormat="1" applyFont="1" applyBorder="1" applyAlignment="1" applyProtection="1">
      <alignment horizontal="center" vertical="center"/>
      <protection locked="0"/>
    </xf>
    <xf numFmtId="41" fontId="18" fillId="0" borderId="37" xfId="2" applyNumberFormat="1" applyFont="1" applyBorder="1" applyAlignment="1" applyProtection="1">
      <alignment horizontal="center" vertical="center"/>
      <protection locked="0"/>
    </xf>
    <xf numFmtId="41" fontId="18" fillId="0" borderId="37" xfId="2" applyNumberFormat="1" applyFont="1" applyBorder="1" applyAlignment="1" applyProtection="1">
      <alignment vertical="center"/>
      <protection locked="0"/>
    </xf>
    <xf numFmtId="41" fontId="18" fillId="0" borderId="37" xfId="2" applyNumberFormat="1" applyFont="1" applyBorder="1" applyAlignment="1" applyProtection="1">
      <alignment vertical="center"/>
    </xf>
    <xf numFmtId="41" fontId="18" fillId="0" borderId="43" xfId="2" applyNumberFormat="1" applyFont="1" applyBorder="1" applyAlignment="1" applyProtection="1">
      <alignment vertical="center"/>
      <protection locked="0"/>
    </xf>
    <xf numFmtId="0" fontId="18" fillId="0" borderId="0" xfId="0" applyFont="1" applyProtection="1">
      <protection locked="0"/>
    </xf>
    <xf numFmtId="41" fontId="18" fillId="0" borderId="28" xfId="2" applyNumberFormat="1" applyFont="1" applyBorder="1" applyAlignment="1" applyProtection="1">
      <alignment horizontal="center" vertical="center"/>
      <protection locked="0"/>
    </xf>
    <xf numFmtId="41" fontId="18" fillId="0" borderId="28" xfId="2" applyNumberFormat="1" applyFont="1" applyBorder="1" applyAlignment="1" applyProtection="1">
      <alignment vertical="center"/>
      <protection locked="0"/>
    </xf>
    <xf numFmtId="41" fontId="18" fillId="0" borderId="34" xfId="2" applyNumberFormat="1" applyFont="1" applyBorder="1" applyAlignment="1" applyProtection="1">
      <alignment vertical="center"/>
      <protection locked="0"/>
    </xf>
    <xf numFmtId="0" fontId="18" fillId="0" borderId="33" xfId="0" applyFont="1" applyBorder="1" applyAlignment="1" applyProtection="1">
      <alignment vertical="center"/>
      <protection locked="0"/>
    </xf>
    <xf numFmtId="41" fontId="18" fillId="0" borderId="28" xfId="2" applyNumberFormat="1" applyFont="1" applyBorder="1" applyAlignment="1" applyProtection="1">
      <alignment vertical="center"/>
    </xf>
    <xf numFmtId="1" fontId="18" fillId="0" borderId="28" xfId="2" applyNumberFormat="1" applyFont="1" applyBorder="1" applyAlignment="1" applyProtection="1">
      <alignment horizontal="center" vertical="center"/>
      <protection locked="0"/>
    </xf>
    <xf numFmtId="0" fontId="15" fillId="3" borderId="33" xfId="0" applyFont="1" applyFill="1" applyBorder="1" applyAlignment="1" applyProtection="1">
      <alignment vertical="center"/>
      <protection locked="0"/>
    </xf>
    <xf numFmtId="1" fontId="15" fillId="3" borderId="28" xfId="2" applyNumberFormat="1" applyFont="1" applyFill="1" applyBorder="1" applyAlignment="1" applyProtection="1">
      <alignment horizontal="center" vertical="center"/>
      <protection locked="0"/>
    </xf>
    <xf numFmtId="41" fontId="15" fillId="3" borderId="28" xfId="2" applyNumberFormat="1" applyFont="1" applyFill="1" applyBorder="1" applyAlignment="1" applyProtection="1">
      <alignment horizontal="center" vertical="center"/>
    </xf>
    <xf numFmtId="41" fontId="15" fillId="3" borderId="28" xfId="2" applyNumberFormat="1" applyFont="1" applyFill="1" applyBorder="1" applyAlignment="1" applyProtection="1">
      <alignment vertical="center"/>
      <protection locked="0"/>
    </xf>
    <xf numFmtId="41" fontId="15" fillId="3" borderId="28" xfId="2" applyNumberFormat="1" applyFont="1" applyFill="1" applyBorder="1" applyAlignment="1" applyProtection="1">
      <alignment vertical="center"/>
    </xf>
    <xf numFmtId="41" fontId="15" fillId="3" borderId="34" xfId="2" applyNumberFormat="1" applyFont="1" applyFill="1" applyBorder="1" applyAlignment="1" applyProtection="1">
      <alignment vertical="center"/>
    </xf>
    <xf numFmtId="15" fontId="18" fillId="0" borderId="33" xfId="0" applyNumberFormat="1" applyFont="1" applyBorder="1" applyAlignment="1" applyProtection="1">
      <alignment vertical="center"/>
      <protection locked="0"/>
    </xf>
    <xf numFmtId="1" fontId="18" fillId="3" borderId="28" xfId="2" applyNumberFormat="1" applyFont="1" applyFill="1" applyBorder="1" applyAlignment="1" applyProtection="1">
      <alignment horizontal="center" vertical="center"/>
      <protection locked="0"/>
    </xf>
    <xf numFmtId="41" fontId="18" fillId="3" borderId="28" xfId="2" applyNumberFormat="1" applyFont="1" applyFill="1" applyBorder="1" applyAlignment="1" applyProtection="1">
      <alignment vertical="center"/>
      <protection locked="0"/>
    </xf>
    <xf numFmtId="1" fontId="18" fillId="4" borderId="28" xfId="2" applyNumberFormat="1" applyFont="1" applyFill="1" applyBorder="1" applyAlignment="1" applyProtection="1">
      <alignment horizontal="center" vertical="center"/>
      <protection locked="0"/>
    </xf>
    <xf numFmtId="41" fontId="18" fillId="4" borderId="28" xfId="2" applyNumberFormat="1" applyFont="1" applyFill="1" applyBorder="1" applyAlignment="1" applyProtection="1">
      <alignment horizontal="center" vertical="center"/>
    </xf>
    <xf numFmtId="41" fontId="18" fillId="4" borderId="28" xfId="2" applyNumberFormat="1" applyFont="1" applyFill="1" applyBorder="1" applyAlignment="1" applyProtection="1">
      <alignment horizontal="left" vertical="center"/>
      <protection locked="0"/>
    </xf>
    <xf numFmtId="41" fontId="18" fillId="4" borderId="34" xfId="2" applyNumberFormat="1" applyFont="1" applyFill="1" applyBorder="1" applyAlignment="1" applyProtection="1">
      <alignment vertical="center"/>
    </xf>
    <xf numFmtId="0" fontId="18" fillId="4" borderId="0" xfId="0" applyFont="1" applyFill="1" applyProtection="1">
      <protection locked="0"/>
    </xf>
    <xf numFmtId="41" fontId="18" fillId="4" borderId="28" xfId="2" applyNumberFormat="1" applyFont="1" applyFill="1" applyBorder="1" applyAlignment="1" applyProtection="1">
      <alignment horizontal="left" vertical="center"/>
    </xf>
    <xf numFmtId="41" fontId="18" fillId="4" borderId="28" xfId="2" applyNumberFormat="1" applyFont="1" applyFill="1" applyBorder="1" applyAlignment="1" applyProtection="1">
      <alignment vertical="center"/>
      <protection locked="0"/>
    </xf>
    <xf numFmtId="41" fontId="15" fillId="4" borderId="34" xfId="2" applyNumberFormat="1" applyFont="1" applyFill="1" applyBorder="1" applyAlignment="1" applyProtection="1">
      <alignment vertical="center"/>
    </xf>
    <xf numFmtId="0" fontId="15" fillId="3" borderId="44" xfId="0" applyFont="1" applyFill="1" applyBorder="1" applyAlignment="1" applyProtection="1">
      <alignment horizontal="center" vertical="center" wrapText="1"/>
      <protection locked="0"/>
    </xf>
    <xf numFmtId="1" fontId="15" fillId="3" borderId="45" xfId="2" applyNumberFormat="1" applyFont="1" applyFill="1" applyBorder="1" applyAlignment="1" applyProtection="1">
      <alignment horizontal="center" vertical="center"/>
      <protection locked="0"/>
    </xf>
    <xf numFmtId="41" fontId="15" fillId="3" borderId="45" xfId="2" applyNumberFormat="1" applyFont="1" applyFill="1" applyBorder="1" applyAlignment="1" applyProtection="1">
      <alignment horizontal="center" vertical="center"/>
    </xf>
    <xf numFmtId="41" fontId="15" fillId="3" borderId="45" xfId="2" applyNumberFormat="1" applyFont="1" applyFill="1" applyBorder="1" applyAlignment="1" applyProtection="1">
      <alignment horizontal="center" vertical="center"/>
      <protection locked="0"/>
    </xf>
    <xf numFmtId="171" fontId="15" fillId="3" borderId="46" xfId="2" applyNumberFormat="1" applyFont="1" applyFill="1" applyBorder="1" applyAlignment="1" applyProtection="1">
      <alignment horizontal="center" vertical="center"/>
    </xf>
    <xf numFmtId="0" fontId="3" fillId="0" borderId="42" xfId="0" applyFont="1" applyBorder="1" applyProtection="1">
      <protection locked="0"/>
    </xf>
    <xf numFmtId="0" fontId="3" fillId="0" borderId="37" xfId="0" applyFont="1" applyBorder="1" applyAlignment="1" applyProtection="1">
      <alignment horizontal="center"/>
      <protection locked="0"/>
    </xf>
    <xf numFmtId="0" fontId="3" fillId="0" borderId="37" xfId="0" applyFont="1" applyBorder="1" applyProtection="1">
      <protection locked="0"/>
    </xf>
    <xf numFmtId="0" fontId="3" fillId="0" borderId="53" xfId="0" applyFont="1" applyBorder="1" applyProtection="1">
      <protection locked="0"/>
    </xf>
    <xf numFmtId="0" fontId="3" fillId="0" borderId="23" xfId="0" applyFont="1" applyBorder="1" applyProtection="1">
      <protection locked="0"/>
    </xf>
    <xf numFmtId="0" fontId="3" fillId="0" borderId="33" xfId="0" applyFont="1" applyBorder="1" applyProtection="1">
      <protection locked="0"/>
    </xf>
    <xf numFmtId="0" fontId="3" fillId="0" borderId="28" xfId="0" applyFont="1" applyBorder="1" applyAlignment="1" applyProtection="1">
      <alignment horizontal="center"/>
      <protection locked="0"/>
    </xf>
    <xf numFmtId="0" fontId="3" fillId="0" borderId="28" xfId="0" applyFont="1" applyBorder="1" applyProtection="1">
      <protection locked="0"/>
    </xf>
    <xf numFmtId="0" fontId="3" fillId="0" borderId="54" xfId="0" applyFont="1" applyBorder="1" applyProtection="1">
      <protection locked="0"/>
    </xf>
    <xf numFmtId="0" fontId="3" fillId="0" borderId="44" xfId="0" applyFont="1" applyBorder="1" applyProtection="1">
      <protection locked="0"/>
    </xf>
    <xf numFmtId="0" fontId="3" fillId="0" borderId="45" xfId="0" applyFont="1" applyBorder="1" applyProtection="1">
      <protection locked="0"/>
    </xf>
    <xf numFmtId="0" fontId="3" fillId="0" borderId="0" xfId="0" applyFont="1" applyAlignment="1" applyProtection="1">
      <alignment horizontal="center"/>
      <protection locked="0"/>
    </xf>
    <xf numFmtId="0" fontId="3" fillId="2" borderId="0" xfId="0" applyFont="1" applyFill="1" applyAlignment="1" applyProtection="1">
      <alignment vertical="center"/>
      <protection locked="0"/>
    </xf>
    <xf numFmtId="0" fontId="10" fillId="2" borderId="0" xfId="0" applyFont="1" applyFill="1" applyAlignment="1" applyProtection="1">
      <alignment vertical="center"/>
      <protection locked="0"/>
    </xf>
    <xf numFmtId="41" fontId="10" fillId="2" borderId="0" xfId="2" applyNumberFormat="1" applyFont="1" applyFill="1" applyAlignment="1" applyProtection="1">
      <alignment vertical="center"/>
      <protection locked="0"/>
    </xf>
    <xf numFmtId="41" fontId="10" fillId="2" borderId="0" xfId="2" applyNumberFormat="1" applyFont="1" applyFill="1" applyBorder="1" applyAlignment="1" applyProtection="1">
      <alignment vertical="center"/>
      <protection locked="0"/>
    </xf>
    <xf numFmtId="0" fontId="10" fillId="2" borderId="20" xfId="0" applyFont="1" applyFill="1" applyBorder="1" applyAlignment="1" applyProtection="1">
      <alignment vertical="center"/>
      <protection locked="0"/>
    </xf>
    <xf numFmtId="0" fontId="10" fillId="2" borderId="3" xfId="0" applyFont="1" applyFill="1" applyBorder="1" applyAlignment="1" applyProtection="1">
      <alignment vertical="center"/>
      <protection locked="0"/>
    </xf>
    <xf numFmtId="0" fontId="3" fillId="2" borderId="24" xfId="0" applyFont="1" applyFill="1" applyBorder="1" applyAlignment="1" applyProtection="1">
      <alignment vertical="center"/>
      <protection locked="0"/>
    </xf>
    <xf numFmtId="0" fontId="3" fillId="2" borderId="20" xfId="0" applyFont="1" applyFill="1" applyBorder="1" applyAlignment="1" applyProtection="1">
      <alignment vertical="center"/>
      <protection locked="0"/>
    </xf>
    <xf numFmtId="0" fontId="3" fillId="2" borderId="59" xfId="0" applyFont="1" applyFill="1" applyBorder="1" applyAlignment="1" applyProtection="1">
      <alignment vertical="center"/>
      <protection locked="0"/>
    </xf>
    <xf numFmtId="0" fontId="10" fillId="2" borderId="12" xfId="0" applyFont="1" applyFill="1" applyBorder="1" applyAlignment="1" applyProtection="1">
      <alignment vertical="center" wrapText="1"/>
      <protection locked="0"/>
    </xf>
    <xf numFmtId="14" fontId="10" fillId="2" borderId="60" xfId="0" applyNumberFormat="1" applyFont="1" applyFill="1" applyBorder="1" applyAlignment="1" applyProtection="1">
      <alignment vertical="center"/>
      <protection locked="0"/>
    </xf>
    <xf numFmtId="0" fontId="10" fillId="2" borderId="32" xfId="0" applyFont="1" applyFill="1" applyBorder="1" applyAlignment="1" applyProtection="1">
      <alignment vertical="center"/>
      <protection locked="0"/>
    </xf>
    <xf numFmtId="0" fontId="10" fillId="2" borderId="60" xfId="0" applyFont="1" applyFill="1" applyBorder="1" applyAlignment="1" applyProtection="1">
      <alignment vertical="center"/>
      <protection locked="0"/>
    </xf>
    <xf numFmtId="0" fontId="8" fillId="2" borderId="52" xfId="0" applyFont="1" applyFill="1" applyBorder="1" applyAlignment="1" applyProtection="1">
      <alignment vertical="center"/>
      <protection locked="0"/>
    </xf>
    <xf numFmtId="0" fontId="8" fillId="2" borderId="3" xfId="0" applyFont="1" applyFill="1" applyBorder="1" applyAlignment="1" applyProtection="1">
      <alignment vertical="center"/>
      <protection locked="0"/>
    </xf>
    <xf numFmtId="0" fontId="10" fillId="2" borderId="16" xfId="0" applyFont="1" applyFill="1" applyBorder="1" applyAlignment="1" applyProtection="1">
      <alignment horizontal="center" vertical="center"/>
      <protection locked="0"/>
    </xf>
    <xf numFmtId="0" fontId="10" fillId="2" borderId="16" xfId="0" applyFont="1" applyFill="1" applyBorder="1" applyAlignment="1" applyProtection="1">
      <alignment vertical="center"/>
      <protection locked="0"/>
    </xf>
    <xf numFmtId="0" fontId="10" fillId="2" borderId="49" xfId="0" applyFont="1" applyFill="1" applyBorder="1" applyAlignment="1" applyProtection="1">
      <alignment vertical="center"/>
      <protection locked="0"/>
    </xf>
    <xf numFmtId="0" fontId="10" fillId="2" borderId="34" xfId="0" applyFont="1" applyFill="1" applyBorder="1" applyAlignment="1" applyProtection="1">
      <alignment vertical="center"/>
      <protection locked="0"/>
    </xf>
    <xf numFmtId="0" fontId="8" fillId="2" borderId="33" xfId="0" applyFont="1" applyFill="1" applyBorder="1" applyAlignment="1" applyProtection="1">
      <alignment vertical="center"/>
      <protection locked="0"/>
    </xf>
    <xf numFmtId="0" fontId="8" fillId="2" borderId="34" xfId="0" applyFont="1" applyFill="1" applyBorder="1" applyAlignment="1" applyProtection="1">
      <alignment vertical="center"/>
      <protection locked="0"/>
    </xf>
    <xf numFmtId="0" fontId="10" fillId="2" borderId="21" xfId="0" applyFont="1" applyFill="1" applyBorder="1" applyAlignment="1" applyProtection="1">
      <alignment vertical="center"/>
      <protection locked="0"/>
    </xf>
    <xf numFmtId="0" fontId="10" fillId="2" borderId="6" xfId="0" applyFont="1" applyFill="1" applyBorder="1" applyAlignment="1" applyProtection="1">
      <alignment horizontal="center" vertical="center"/>
      <protection locked="0"/>
    </xf>
    <xf numFmtId="0" fontId="10" fillId="2" borderId="62" xfId="0" applyFont="1" applyFill="1" applyBorder="1" applyAlignment="1" applyProtection="1">
      <alignment horizontal="center" vertical="center"/>
      <protection locked="0"/>
    </xf>
    <xf numFmtId="41" fontId="10" fillId="2" borderId="45" xfId="2" applyNumberFormat="1" applyFont="1" applyFill="1" applyBorder="1" applyAlignment="1" applyProtection="1">
      <alignment horizontal="center" vertical="center"/>
      <protection locked="0"/>
    </xf>
    <xf numFmtId="0" fontId="10" fillId="2" borderId="45" xfId="0" applyFont="1" applyFill="1" applyBorder="1" applyAlignment="1" applyProtection="1">
      <alignment horizontal="center" vertical="center"/>
      <protection locked="0"/>
    </xf>
    <xf numFmtId="41" fontId="10" fillId="2" borderId="46" xfId="2" applyNumberFormat="1" applyFont="1" applyFill="1" applyBorder="1" applyAlignment="1" applyProtection="1">
      <alignment horizontal="center" vertical="center"/>
      <protection locked="0"/>
    </xf>
    <xf numFmtId="0" fontId="10" fillId="2" borderId="46" xfId="0" applyFont="1" applyFill="1" applyBorder="1" applyAlignment="1" applyProtection="1">
      <alignment horizontal="center" vertical="center"/>
      <protection locked="0"/>
    </xf>
    <xf numFmtId="0" fontId="10" fillId="2" borderId="1" xfId="0" applyFont="1" applyFill="1" applyBorder="1" applyAlignment="1" applyProtection="1">
      <alignment horizontal="center" vertical="center"/>
      <protection locked="0"/>
    </xf>
    <xf numFmtId="0" fontId="10" fillId="2" borderId="8" xfId="0" applyFont="1" applyFill="1" applyBorder="1" applyAlignment="1" applyProtection="1">
      <alignment horizontal="center" vertical="center"/>
      <protection locked="0"/>
    </xf>
    <xf numFmtId="0" fontId="10" fillId="2" borderId="10" xfId="0" applyFont="1" applyFill="1" applyBorder="1" applyAlignment="1" applyProtection="1">
      <alignment vertical="center"/>
      <protection locked="0"/>
    </xf>
    <xf numFmtId="41" fontId="10" fillId="2" borderId="60" xfId="2" applyNumberFormat="1" applyFont="1" applyFill="1" applyBorder="1" applyAlignment="1" applyProtection="1">
      <alignment vertical="center"/>
      <protection locked="0"/>
    </xf>
    <xf numFmtId="41" fontId="10" fillId="2" borderId="37" xfId="2" applyNumberFormat="1" applyFont="1" applyFill="1" applyBorder="1" applyAlignment="1" applyProtection="1">
      <alignment vertical="center"/>
      <protection locked="0"/>
    </xf>
    <xf numFmtId="41" fontId="10" fillId="2" borderId="43" xfId="2" applyNumberFormat="1" applyFont="1" applyFill="1" applyBorder="1" applyAlignment="1" applyProtection="1">
      <alignment vertical="center"/>
      <protection locked="0"/>
    </xf>
    <xf numFmtId="0" fontId="10" fillId="2" borderId="14" xfId="0" applyFont="1" applyFill="1" applyBorder="1" applyAlignment="1" applyProtection="1">
      <alignment vertical="center"/>
      <protection locked="0"/>
    </xf>
    <xf numFmtId="164" fontId="10" fillId="2" borderId="37" xfId="2" applyNumberFormat="1" applyFont="1" applyFill="1" applyBorder="1" applyAlignment="1" applyProtection="1">
      <alignment vertical="center"/>
      <protection locked="0"/>
    </xf>
    <xf numFmtId="0" fontId="10" fillId="2" borderId="43" xfId="0" applyFont="1" applyFill="1" applyBorder="1" applyAlignment="1" applyProtection="1">
      <alignment vertical="center"/>
      <protection locked="0"/>
    </xf>
    <xf numFmtId="41" fontId="10" fillId="2" borderId="30" xfId="2" applyNumberFormat="1" applyFont="1" applyFill="1" applyBorder="1" applyAlignment="1" applyProtection="1">
      <alignment vertical="center"/>
      <protection locked="0"/>
    </xf>
    <xf numFmtId="0" fontId="8" fillId="2" borderId="32" xfId="0" applyFont="1" applyFill="1" applyBorder="1" applyAlignment="1" applyProtection="1">
      <alignment vertical="center"/>
      <protection locked="0"/>
    </xf>
    <xf numFmtId="0" fontId="10" fillId="2" borderId="59" xfId="0" applyFont="1" applyFill="1" applyBorder="1" applyAlignment="1" applyProtection="1">
      <alignment horizontal="center" vertical="center"/>
      <protection locked="0"/>
    </xf>
    <xf numFmtId="41" fontId="10" fillId="2" borderId="18" xfId="2" applyNumberFormat="1" applyFont="1" applyFill="1" applyBorder="1" applyAlignment="1" applyProtection="1">
      <alignment vertical="center"/>
      <protection locked="0"/>
    </xf>
    <xf numFmtId="172" fontId="10" fillId="2" borderId="37" xfId="2" applyNumberFormat="1" applyFont="1" applyFill="1" applyBorder="1" applyAlignment="1" applyProtection="1">
      <alignment vertical="center"/>
      <protection locked="0"/>
    </xf>
    <xf numFmtId="41" fontId="10" fillId="2" borderId="28" xfId="2" applyNumberFormat="1" applyFont="1" applyFill="1" applyBorder="1" applyAlignment="1" applyProtection="1">
      <alignment vertical="center"/>
      <protection locked="0"/>
    </xf>
    <xf numFmtId="41" fontId="10" fillId="2" borderId="28" xfId="2" applyNumberFormat="1" applyFont="1" applyFill="1" applyBorder="1" applyAlignment="1" applyProtection="1">
      <alignment horizontal="center" vertical="center"/>
      <protection locked="0"/>
    </xf>
    <xf numFmtId="41" fontId="3" fillId="2" borderId="0" xfId="2" applyNumberFormat="1" applyFont="1" applyFill="1" applyAlignment="1" applyProtection="1">
      <alignment vertical="center"/>
      <protection locked="0"/>
    </xf>
    <xf numFmtId="172" fontId="10" fillId="2" borderId="28" xfId="2" applyNumberFormat="1" applyFont="1" applyFill="1" applyBorder="1" applyAlignment="1" applyProtection="1">
      <alignment vertical="center"/>
      <protection locked="0"/>
    </xf>
    <xf numFmtId="172" fontId="10" fillId="2" borderId="34" xfId="2" applyNumberFormat="1" applyFont="1" applyFill="1" applyBorder="1" applyAlignment="1" applyProtection="1">
      <alignment vertical="center"/>
      <protection locked="0"/>
    </xf>
    <xf numFmtId="41" fontId="3" fillId="2" borderId="59" xfId="0" applyNumberFormat="1" applyFont="1" applyFill="1" applyBorder="1" applyAlignment="1" applyProtection="1">
      <alignment vertical="center"/>
      <protection locked="0"/>
    </xf>
    <xf numFmtId="164" fontId="10" fillId="2" borderId="49" xfId="2" applyNumberFormat="1" applyFont="1" applyFill="1" applyBorder="1" applyAlignment="1" applyProtection="1">
      <alignment vertical="center"/>
      <protection locked="0"/>
    </xf>
    <xf numFmtId="41" fontId="10" fillId="2" borderId="34" xfId="2" applyNumberFormat="1" applyFont="1" applyFill="1" applyBorder="1" applyAlignment="1" applyProtection="1">
      <alignment vertical="center"/>
      <protection locked="0"/>
    </xf>
    <xf numFmtId="41" fontId="10" fillId="2" borderId="49" xfId="2" applyNumberFormat="1" applyFont="1" applyFill="1" applyBorder="1" applyAlignment="1" applyProtection="1">
      <alignment vertical="center"/>
      <protection locked="0"/>
    </xf>
    <xf numFmtId="0" fontId="10" fillId="2" borderId="59" xfId="0" applyFont="1" applyFill="1" applyBorder="1" applyAlignment="1" applyProtection="1">
      <alignment vertical="center"/>
      <protection locked="0"/>
    </xf>
    <xf numFmtId="0" fontId="10" fillId="2" borderId="63" xfId="0" applyFont="1" applyFill="1" applyBorder="1" applyAlignment="1" applyProtection="1">
      <alignment vertical="center"/>
      <protection locked="0"/>
    </xf>
    <xf numFmtId="164" fontId="10" fillId="2" borderId="44" xfId="0" applyNumberFormat="1" applyFont="1" applyFill="1" applyBorder="1" applyAlignment="1" applyProtection="1">
      <alignment vertical="center"/>
      <protection locked="0"/>
    </xf>
    <xf numFmtId="0" fontId="10" fillId="2" borderId="46" xfId="0" applyFont="1" applyFill="1" applyBorder="1" applyAlignment="1" applyProtection="1">
      <alignment vertical="center"/>
      <protection locked="0"/>
    </xf>
    <xf numFmtId="0" fontId="4" fillId="2" borderId="62" xfId="0" applyFont="1" applyFill="1" applyBorder="1" applyAlignment="1" applyProtection="1">
      <alignment vertical="center"/>
      <protection locked="0"/>
    </xf>
    <xf numFmtId="0" fontId="4" fillId="2" borderId="46" xfId="0" applyFont="1" applyFill="1" applyBorder="1" applyAlignment="1" applyProtection="1">
      <alignment vertical="center"/>
      <protection locked="0"/>
    </xf>
    <xf numFmtId="0" fontId="3" fillId="2" borderId="64" xfId="0" applyFont="1" applyFill="1" applyBorder="1" applyAlignment="1" applyProtection="1">
      <alignment vertical="center"/>
      <protection locked="0"/>
    </xf>
    <xf numFmtId="0" fontId="3" fillId="2" borderId="6" xfId="0" applyFont="1" applyFill="1" applyBorder="1" applyAlignment="1" applyProtection="1">
      <alignment vertical="center"/>
      <protection locked="0"/>
    </xf>
    <xf numFmtId="0" fontId="3" fillId="2" borderId="47" xfId="0" applyFont="1" applyFill="1" applyBorder="1" applyAlignment="1" applyProtection="1">
      <alignment vertical="center"/>
      <protection locked="0"/>
    </xf>
    <xf numFmtId="0" fontId="10" fillId="2" borderId="65" xfId="0" applyFont="1" applyFill="1" applyBorder="1" applyAlignment="1" applyProtection="1">
      <alignment horizontal="center" vertical="center"/>
      <protection locked="0"/>
    </xf>
    <xf numFmtId="41" fontId="10" fillId="2" borderId="66" xfId="2" applyNumberFormat="1" applyFont="1" applyFill="1" applyBorder="1" applyAlignment="1" applyProtection="1">
      <alignment vertical="center"/>
      <protection locked="0"/>
    </xf>
    <xf numFmtId="41" fontId="10" fillId="2" borderId="35" xfId="2" applyNumberFormat="1" applyFont="1" applyFill="1" applyBorder="1" applyAlignment="1" applyProtection="1">
      <alignment vertical="center"/>
      <protection locked="0"/>
    </xf>
    <xf numFmtId="41" fontId="10" fillId="2" borderId="45" xfId="2" applyNumberFormat="1" applyFont="1" applyFill="1" applyBorder="1" applyAlignment="1" applyProtection="1">
      <alignment vertical="center"/>
      <protection locked="0"/>
    </xf>
    <xf numFmtId="41" fontId="10" fillId="2" borderId="46" xfId="2" applyNumberFormat="1" applyFont="1" applyFill="1" applyBorder="1" applyAlignment="1" applyProtection="1">
      <alignment vertical="center"/>
      <protection locked="0"/>
    </xf>
    <xf numFmtId="41" fontId="3" fillId="2" borderId="0" xfId="0" applyNumberFormat="1" applyFont="1" applyFill="1" applyAlignment="1" applyProtection="1">
      <alignment vertical="center"/>
      <protection locked="0"/>
    </xf>
    <xf numFmtId="0" fontId="10" fillId="2" borderId="24" xfId="0" applyFont="1" applyFill="1" applyBorder="1" applyAlignment="1" applyProtection="1">
      <alignment vertical="center"/>
      <protection locked="0"/>
    </xf>
    <xf numFmtId="0" fontId="10" fillId="2" borderId="7" xfId="0" applyFont="1" applyFill="1" applyBorder="1" applyAlignment="1" applyProtection="1">
      <alignment horizontal="center" vertical="center"/>
      <protection locked="0"/>
    </xf>
    <xf numFmtId="41" fontId="10" fillId="2" borderId="8" xfId="2" applyNumberFormat="1" applyFont="1" applyFill="1" applyBorder="1" applyAlignment="1" applyProtection="1">
      <alignment vertical="center"/>
      <protection locked="0"/>
    </xf>
    <xf numFmtId="41" fontId="10" fillId="2" borderId="55" xfId="2" applyNumberFormat="1" applyFont="1" applyFill="1" applyBorder="1" applyAlignment="1" applyProtection="1">
      <alignment vertical="center"/>
      <protection locked="0"/>
    </xf>
    <xf numFmtId="172" fontId="10" fillId="2" borderId="31" xfId="2" applyNumberFormat="1" applyFont="1" applyFill="1" applyBorder="1" applyAlignment="1" applyProtection="1">
      <alignment vertical="center"/>
      <protection locked="0"/>
    </xf>
    <xf numFmtId="41" fontId="10" fillId="2" borderId="31" xfId="2" applyNumberFormat="1" applyFont="1" applyFill="1" applyBorder="1" applyAlignment="1" applyProtection="1">
      <alignment vertical="center"/>
      <protection locked="0"/>
    </xf>
    <xf numFmtId="172" fontId="10" fillId="2" borderId="43" xfId="2" applyNumberFormat="1" applyFont="1" applyFill="1" applyBorder="1" applyAlignment="1" applyProtection="1">
      <alignment vertical="center"/>
      <protection locked="0"/>
    </xf>
    <xf numFmtId="0" fontId="10" fillId="2" borderId="24" xfId="0" applyFont="1" applyFill="1" applyBorder="1" applyAlignment="1" applyProtection="1">
      <alignment horizontal="center" vertical="center"/>
      <protection locked="0"/>
    </xf>
    <xf numFmtId="0" fontId="10" fillId="2" borderId="19" xfId="0" applyFont="1" applyFill="1" applyBorder="1" applyAlignment="1" applyProtection="1">
      <alignment horizontal="center" vertical="center"/>
      <protection locked="0"/>
    </xf>
    <xf numFmtId="41" fontId="10" fillId="2" borderId="16" xfId="2" applyNumberFormat="1" applyFont="1" applyFill="1" applyBorder="1" applyAlignment="1" applyProtection="1">
      <alignment vertical="center"/>
      <protection locked="0"/>
    </xf>
    <xf numFmtId="41" fontId="10" fillId="2" borderId="61" xfId="2" applyNumberFormat="1" applyFont="1" applyFill="1" applyBorder="1" applyAlignment="1" applyProtection="1">
      <alignment vertical="center"/>
      <protection locked="0"/>
    </xf>
    <xf numFmtId="172" fontId="10" fillId="2" borderId="36" xfId="2" applyNumberFormat="1" applyFont="1" applyFill="1" applyBorder="1" applyAlignment="1" applyProtection="1">
      <alignment vertical="center"/>
      <protection locked="0"/>
    </xf>
    <xf numFmtId="41" fontId="10" fillId="2" borderId="36" xfId="2" applyNumberFormat="1" applyFont="1" applyFill="1" applyBorder="1" applyAlignment="1" applyProtection="1">
      <alignment vertical="center"/>
      <protection locked="0"/>
    </xf>
    <xf numFmtId="172" fontId="10" fillId="2" borderId="35" xfId="2" applyNumberFormat="1" applyFont="1" applyFill="1" applyBorder="1" applyAlignment="1" applyProtection="1">
      <alignment vertical="center"/>
      <protection locked="0"/>
    </xf>
    <xf numFmtId="0" fontId="10" fillId="2" borderId="15" xfId="0" applyFont="1" applyFill="1" applyBorder="1" applyAlignment="1" applyProtection="1">
      <alignment horizontal="center" vertical="center"/>
      <protection locked="0"/>
    </xf>
    <xf numFmtId="0" fontId="10" fillId="2" borderId="17" xfId="0" applyFont="1" applyFill="1" applyBorder="1" applyAlignment="1" applyProtection="1">
      <alignment horizontal="center" vertical="center"/>
      <protection locked="0"/>
    </xf>
    <xf numFmtId="41" fontId="10" fillId="2" borderId="48" xfId="2" applyNumberFormat="1" applyFont="1" applyFill="1" applyBorder="1" applyAlignment="1" applyProtection="1">
      <alignment vertical="center"/>
      <protection locked="0"/>
    </xf>
    <xf numFmtId="0" fontId="10" fillId="2" borderId="12" xfId="0" applyFont="1" applyFill="1" applyBorder="1" applyAlignment="1" applyProtection="1">
      <alignment vertical="center"/>
      <protection locked="0"/>
    </xf>
    <xf numFmtId="41" fontId="10" fillId="2" borderId="39" xfId="2" applyNumberFormat="1" applyFont="1" applyFill="1" applyBorder="1" applyAlignment="1" applyProtection="1">
      <alignment vertical="center"/>
      <protection locked="0"/>
    </xf>
    <xf numFmtId="0" fontId="10" fillId="2" borderId="4" xfId="0" applyFont="1" applyFill="1" applyBorder="1" applyAlignment="1" applyProtection="1">
      <alignment horizontal="center" vertical="center"/>
      <protection locked="0"/>
    </xf>
    <xf numFmtId="0" fontId="10" fillId="2" borderId="4" xfId="0" applyFont="1" applyFill="1" applyBorder="1" applyAlignment="1" applyProtection="1">
      <alignment vertical="center"/>
      <protection locked="0"/>
    </xf>
    <xf numFmtId="41" fontId="10" fillId="2" borderId="67" xfId="2" applyNumberFormat="1" applyFont="1" applyFill="1" applyBorder="1" applyAlignment="1" applyProtection="1">
      <alignment vertical="center"/>
      <protection locked="0"/>
    </xf>
    <xf numFmtId="41" fontId="10" fillId="2" borderId="68" xfId="2" applyNumberFormat="1" applyFont="1" applyFill="1" applyBorder="1" applyAlignment="1" applyProtection="1">
      <alignment vertical="center"/>
      <protection locked="0"/>
    </xf>
    <xf numFmtId="0" fontId="10" fillId="2" borderId="9" xfId="0" applyFont="1" applyFill="1" applyBorder="1" applyAlignment="1" applyProtection="1">
      <alignment horizontal="center" vertical="center"/>
      <protection locked="0"/>
    </xf>
    <xf numFmtId="0" fontId="10" fillId="2" borderId="8" xfId="0" applyFont="1" applyFill="1" applyBorder="1" applyAlignment="1" applyProtection="1">
      <alignment vertical="center"/>
      <protection locked="0"/>
    </xf>
    <xf numFmtId="0" fontId="10" fillId="2" borderId="24" xfId="0" applyFont="1" applyFill="1" applyBorder="1" applyAlignment="1" applyProtection="1">
      <alignment horizontal="center" vertical="center" wrapText="1"/>
      <protection locked="0"/>
    </xf>
    <xf numFmtId="41" fontId="10" fillId="2" borderId="33" xfId="2" applyNumberFormat="1" applyFont="1" applyFill="1" applyBorder="1" applyAlignment="1" applyProtection="1">
      <alignment vertical="center"/>
      <protection locked="0"/>
    </xf>
    <xf numFmtId="0" fontId="10" fillId="2" borderId="5" xfId="0" applyFont="1" applyFill="1" applyBorder="1" applyAlignment="1" applyProtection="1">
      <alignment horizontal="center" vertical="center" wrapText="1"/>
      <protection locked="0"/>
    </xf>
    <xf numFmtId="0" fontId="10" fillId="2" borderId="21" xfId="0" applyFont="1" applyFill="1" applyBorder="1" applyAlignment="1" applyProtection="1">
      <alignment horizontal="center" vertical="center"/>
      <protection locked="0"/>
    </xf>
    <xf numFmtId="0" fontId="10" fillId="2" borderId="25" xfId="0" applyFont="1" applyFill="1" applyBorder="1" applyAlignment="1" applyProtection="1">
      <alignment horizontal="center" vertical="center"/>
      <protection locked="0"/>
    </xf>
    <xf numFmtId="0" fontId="10" fillId="2" borderId="29" xfId="0" applyFont="1" applyFill="1" applyBorder="1" applyAlignment="1" applyProtection="1">
      <alignment horizontal="center" vertical="center"/>
      <protection locked="0"/>
    </xf>
    <xf numFmtId="0" fontId="10" fillId="2" borderId="29" xfId="0" applyFont="1" applyFill="1" applyBorder="1" applyAlignment="1" applyProtection="1">
      <alignment vertical="center"/>
      <protection locked="0"/>
    </xf>
    <xf numFmtId="41" fontId="10" fillId="2" borderId="41" xfId="2" applyNumberFormat="1" applyFont="1" applyFill="1" applyBorder="1" applyAlignment="1" applyProtection="1">
      <alignment vertical="center"/>
      <protection locked="0"/>
    </xf>
    <xf numFmtId="0" fontId="10" fillId="2" borderId="12" xfId="0" applyFont="1" applyFill="1" applyBorder="1" applyAlignment="1" applyProtection="1">
      <alignment horizontal="center" vertical="center"/>
      <protection locked="0"/>
    </xf>
    <xf numFmtId="41" fontId="10" fillId="2" borderId="14" xfId="2" applyNumberFormat="1" applyFont="1" applyFill="1" applyBorder="1" applyAlignment="1" applyProtection="1">
      <alignment vertical="center"/>
      <protection locked="0"/>
    </xf>
    <xf numFmtId="41" fontId="10" fillId="2" borderId="56" xfId="2" applyNumberFormat="1" applyFont="1" applyFill="1" applyBorder="1" applyAlignment="1" applyProtection="1">
      <alignment vertical="center"/>
      <protection locked="0"/>
    </xf>
    <xf numFmtId="41" fontId="10" fillId="2" borderId="32" xfId="2" applyNumberFormat="1" applyFont="1" applyFill="1" applyBorder="1" applyAlignment="1" applyProtection="1">
      <alignment vertical="center"/>
      <protection locked="0"/>
    </xf>
    <xf numFmtId="0" fontId="3" fillId="2" borderId="50" xfId="0" applyFont="1" applyFill="1" applyBorder="1" applyAlignment="1" applyProtection="1">
      <alignment vertical="center"/>
      <protection locked="0"/>
    </xf>
    <xf numFmtId="172" fontId="10" fillId="2" borderId="48" xfId="2" applyNumberFormat="1" applyFont="1" applyFill="1" applyBorder="1" applyAlignment="1" applyProtection="1">
      <alignment vertical="center"/>
      <protection locked="0"/>
    </xf>
    <xf numFmtId="0" fontId="3" fillId="2" borderId="61" xfId="0" applyFont="1" applyFill="1" applyBorder="1" applyAlignment="1" applyProtection="1">
      <alignment vertical="center"/>
      <protection locked="0"/>
    </xf>
    <xf numFmtId="0" fontId="10" fillId="2" borderId="0" xfId="0" applyFont="1" applyFill="1" applyAlignment="1" applyProtection="1">
      <alignment horizontal="center" vertical="center"/>
      <protection locked="0"/>
    </xf>
    <xf numFmtId="164" fontId="10" fillId="2" borderId="0" xfId="0" applyNumberFormat="1" applyFont="1" applyFill="1" applyAlignment="1" applyProtection="1">
      <alignment horizontal="center" vertical="center"/>
      <protection locked="0"/>
    </xf>
    <xf numFmtId="41" fontId="10" fillId="2" borderId="0" xfId="2" applyNumberFormat="1" applyFont="1" applyFill="1" applyBorder="1" applyAlignment="1" applyProtection="1">
      <alignment horizontal="right" vertical="center"/>
      <protection locked="0"/>
    </xf>
    <xf numFmtId="164" fontId="10" fillId="2" borderId="0" xfId="2" applyNumberFormat="1" applyFont="1" applyFill="1" applyBorder="1" applyAlignment="1" applyProtection="1">
      <alignment horizontal="center" vertical="center"/>
      <protection locked="0"/>
    </xf>
    <xf numFmtId="0" fontId="8" fillId="2" borderId="0" xfId="0" applyFont="1" applyFill="1" applyAlignment="1" applyProtection="1">
      <alignment horizontal="center" vertical="center"/>
      <protection locked="0"/>
    </xf>
    <xf numFmtId="0" fontId="22" fillId="2" borderId="0" xfId="0" applyFont="1" applyFill="1" applyAlignment="1" applyProtection="1">
      <alignment horizontal="center" vertical="center"/>
      <protection locked="0"/>
    </xf>
    <xf numFmtId="0" fontId="22" fillId="2" borderId="0" xfId="0" applyFont="1" applyFill="1" applyAlignment="1" applyProtection="1">
      <alignment vertical="center"/>
      <protection locked="0"/>
    </xf>
    <xf numFmtId="41" fontId="3" fillId="2" borderId="0" xfId="2" applyNumberFormat="1" applyFont="1" applyFill="1" applyBorder="1" applyAlignment="1" applyProtection="1">
      <alignment vertical="center"/>
      <protection locked="0"/>
    </xf>
    <xf numFmtId="0" fontId="10" fillId="2" borderId="11" xfId="0" applyFont="1" applyFill="1" applyBorder="1" applyAlignment="1" applyProtection="1">
      <alignment horizontal="center" vertical="center"/>
      <protection locked="0"/>
    </xf>
    <xf numFmtId="0" fontId="10" fillId="2" borderId="26" xfId="0" applyFont="1" applyFill="1" applyBorder="1" applyAlignment="1" applyProtection="1">
      <alignment horizontal="center" vertical="center"/>
      <protection locked="0"/>
    </xf>
    <xf numFmtId="0" fontId="10" fillId="2" borderId="47" xfId="0" applyFont="1" applyFill="1" applyBorder="1" applyAlignment="1" applyProtection="1">
      <alignment horizontal="center" vertical="center"/>
      <protection locked="0"/>
    </xf>
    <xf numFmtId="41" fontId="10" fillId="2" borderId="58" xfId="2" applyNumberFormat="1" applyFont="1" applyFill="1" applyBorder="1" applyAlignment="1" applyProtection="1">
      <alignment vertical="center"/>
      <protection locked="0"/>
    </xf>
    <xf numFmtId="41" fontId="10" fillId="2" borderId="72" xfId="2" applyNumberFormat="1" applyFont="1" applyFill="1" applyBorder="1" applyAlignment="1" applyProtection="1">
      <alignment vertical="center"/>
      <protection locked="0"/>
    </xf>
    <xf numFmtId="172" fontId="10" fillId="2" borderId="72" xfId="2" applyNumberFormat="1" applyFont="1" applyFill="1" applyBorder="1" applyAlignment="1" applyProtection="1">
      <alignment vertical="center"/>
      <protection locked="0"/>
    </xf>
    <xf numFmtId="175" fontId="10" fillId="2" borderId="31" xfId="2" applyNumberFormat="1" applyFont="1" applyFill="1" applyBorder="1" applyAlignment="1" applyProtection="1">
      <alignment vertical="center"/>
      <protection locked="0"/>
    </xf>
    <xf numFmtId="172" fontId="10" fillId="2" borderId="32" xfId="2" applyNumberFormat="1" applyFont="1" applyFill="1" applyBorder="1" applyAlignment="1" applyProtection="1">
      <alignment vertical="center"/>
      <protection locked="0"/>
    </xf>
    <xf numFmtId="10" fontId="3" fillId="2" borderId="0" xfId="0" applyNumberFormat="1" applyFont="1" applyFill="1" applyAlignment="1" applyProtection="1">
      <alignment vertical="center"/>
      <protection locked="0"/>
    </xf>
    <xf numFmtId="164" fontId="3" fillId="2" borderId="0" xfId="0" applyNumberFormat="1" applyFont="1" applyFill="1" applyAlignment="1" applyProtection="1">
      <alignment vertical="center"/>
      <protection locked="0"/>
    </xf>
    <xf numFmtId="0" fontId="10" fillId="2" borderId="23" xfId="0" applyFont="1" applyFill="1" applyBorder="1" applyAlignment="1" applyProtection="1">
      <alignment horizontal="center" vertical="center"/>
      <protection locked="0"/>
    </xf>
    <xf numFmtId="41" fontId="10" fillId="2" borderId="62" xfId="2" applyNumberFormat="1" applyFont="1" applyFill="1" applyBorder="1" applyAlignment="1" applyProtection="1">
      <alignment vertical="center"/>
      <protection locked="0"/>
    </xf>
    <xf numFmtId="0" fontId="10" fillId="2" borderId="24" xfId="0" applyFont="1" applyFill="1" applyBorder="1" applyAlignment="1" applyProtection="1">
      <alignment horizontal="center" vertical="center" textRotation="255"/>
      <protection locked="0"/>
    </xf>
    <xf numFmtId="175" fontId="10" fillId="2" borderId="28" xfId="2" applyNumberFormat="1" applyFont="1" applyFill="1" applyBorder="1" applyAlignment="1" applyProtection="1">
      <alignment vertical="center"/>
      <protection locked="0"/>
    </xf>
    <xf numFmtId="0" fontId="10" fillId="2" borderId="24" xfId="0" applyFont="1" applyFill="1" applyBorder="1" applyAlignment="1" applyProtection="1">
      <alignment vertical="center" textRotation="255"/>
      <protection locked="0"/>
    </xf>
    <xf numFmtId="41" fontId="10" fillId="2" borderId="54" xfId="2" applyNumberFormat="1" applyFont="1" applyFill="1" applyBorder="1" applyAlignment="1" applyProtection="1">
      <alignment horizontal="left" vertical="center"/>
      <protection locked="0"/>
    </xf>
    <xf numFmtId="41" fontId="10" fillId="2" borderId="62" xfId="2" applyNumberFormat="1" applyFont="1" applyFill="1" applyBorder="1" applyAlignment="1" applyProtection="1">
      <alignment horizontal="left" vertical="center"/>
      <protection locked="0"/>
    </xf>
    <xf numFmtId="0" fontId="10" fillId="2" borderId="5" xfId="0" applyFont="1" applyFill="1" applyBorder="1" applyAlignment="1" applyProtection="1">
      <alignment vertical="center" textRotation="255"/>
      <protection locked="0"/>
    </xf>
    <xf numFmtId="0" fontId="23" fillId="2" borderId="0" xfId="0" applyFont="1" applyFill="1" applyAlignment="1" applyProtection="1">
      <alignment horizontal="center" vertical="center"/>
      <protection locked="0"/>
    </xf>
    <xf numFmtId="0" fontId="22" fillId="2" borderId="47" xfId="0" applyFont="1" applyFill="1" applyBorder="1" applyAlignment="1" applyProtection="1">
      <alignment vertical="center"/>
      <protection locked="0"/>
    </xf>
    <xf numFmtId="41" fontId="3" fillId="2" borderId="47" xfId="2" applyNumberFormat="1" applyFont="1" applyFill="1" applyBorder="1" applyAlignment="1" applyProtection="1">
      <alignment vertical="center"/>
      <protection locked="0"/>
    </xf>
    <xf numFmtId="0" fontId="10" fillId="2" borderId="11" xfId="0" applyFont="1" applyFill="1" applyBorder="1" applyAlignment="1" applyProtection="1">
      <alignment vertical="center"/>
      <protection locked="0"/>
    </xf>
    <xf numFmtId="0" fontId="10" fillId="2" borderId="13" xfId="0" applyFont="1" applyFill="1" applyBorder="1" applyAlignment="1" applyProtection="1">
      <alignment vertical="center"/>
      <protection locked="0"/>
    </xf>
    <xf numFmtId="41" fontId="10" fillId="2" borderId="13" xfId="2" applyNumberFormat="1" applyFont="1" applyFill="1" applyBorder="1" applyAlignment="1" applyProtection="1">
      <alignment vertical="center"/>
      <protection locked="0"/>
    </xf>
    <xf numFmtId="0" fontId="10" fillId="2" borderId="5" xfId="0" applyFont="1" applyFill="1" applyBorder="1" applyAlignment="1" applyProtection="1">
      <alignment horizontal="center" vertical="center"/>
      <protection locked="0"/>
    </xf>
    <xf numFmtId="0" fontId="10" fillId="2" borderId="22" xfId="0" applyFont="1" applyFill="1" applyBorder="1" applyAlignment="1" applyProtection="1">
      <alignment horizontal="center" vertical="center"/>
      <protection locked="0"/>
    </xf>
    <xf numFmtId="0" fontId="10" fillId="2" borderId="18" xfId="0" applyFont="1" applyFill="1" applyBorder="1" applyAlignment="1" applyProtection="1">
      <alignment vertical="center"/>
      <protection locked="0"/>
    </xf>
    <xf numFmtId="0" fontId="10" fillId="2" borderId="8" xfId="0" applyFont="1" applyFill="1" applyBorder="1" applyAlignment="1" applyProtection="1">
      <alignment horizontal="left" vertical="center"/>
      <protection locked="0"/>
    </xf>
    <xf numFmtId="0" fontId="10" fillId="2" borderId="3" xfId="0" applyFont="1" applyFill="1" applyBorder="1" applyAlignment="1" applyProtection="1">
      <alignment horizontal="left" vertical="center"/>
      <protection locked="0"/>
    </xf>
    <xf numFmtId="0" fontId="10" fillId="2" borderId="50" xfId="0" applyFont="1" applyFill="1" applyBorder="1" applyAlignment="1" applyProtection="1">
      <alignment horizontal="left" vertical="center"/>
      <protection locked="0"/>
    </xf>
    <xf numFmtId="0" fontId="10" fillId="2" borderId="59" xfId="0" applyFont="1" applyFill="1" applyBorder="1" applyAlignment="1" applyProtection="1">
      <alignment horizontal="left" vertical="center"/>
      <protection locked="0"/>
    </xf>
    <xf numFmtId="0" fontId="10" fillId="2" borderId="18" xfId="0" applyFont="1" applyFill="1" applyBorder="1" applyAlignment="1" applyProtection="1">
      <alignment horizontal="left" vertical="center"/>
      <protection locked="0"/>
    </xf>
    <xf numFmtId="0" fontId="10" fillId="2" borderId="21" xfId="0" applyFont="1" applyFill="1" applyBorder="1" applyAlignment="1" applyProtection="1">
      <alignment horizontal="left" vertical="center"/>
      <protection locked="0"/>
    </xf>
    <xf numFmtId="0" fontId="10" fillId="2" borderId="6" xfId="0" applyFont="1" applyFill="1" applyBorder="1" applyAlignment="1" applyProtection="1">
      <alignment horizontal="left" vertical="center"/>
      <protection locked="0"/>
    </xf>
    <xf numFmtId="0" fontId="10" fillId="2" borderId="29" xfId="0" applyFont="1" applyFill="1" applyBorder="1" applyAlignment="1" applyProtection="1">
      <alignment horizontal="left" vertical="center"/>
      <protection locked="0"/>
    </xf>
    <xf numFmtId="0" fontId="10" fillId="2" borderId="27" xfId="0" applyFont="1" applyFill="1" applyBorder="1" applyAlignment="1" applyProtection="1">
      <alignment horizontal="left" vertical="center"/>
      <protection locked="0"/>
    </xf>
    <xf numFmtId="0" fontId="10" fillId="2" borderId="12" xfId="0" applyFont="1" applyFill="1" applyBorder="1" applyAlignment="1" applyProtection="1">
      <alignment horizontal="left" vertical="center"/>
      <protection locked="0"/>
    </xf>
    <xf numFmtId="0" fontId="10" fillId="2" borderId="14" xfId="0" applyFont="1" applyFill="1" applyBorder="1" applyAlignment="1" applyProtection="1">
      <alignment horizontal="left" vertical="center"/>
      <protection locked="0"/>
    </xf>
    <xf numFmtId="0" fontId="10" fillId="2" borderId="10" xfId="0" applyFont="1" applyFill="1" applyBorder="1" applyAlignment="1" applyProtection="1">
      <alignment horizontal="left" vertical="center"/>
      <protection locked="0"/>
    </xf>
    <xf numFmtId="0" fontId="10" fillId="2" borderId="74" xfId="0" applyFont="1" applyFill="1" applyBorder="1" applyAlignment="1" applyProtection="1">
      <alignment horizontal="left" vertical="center"/>
      <protection locked="0"/>
    </xf>
    <xf numFmtId="0" fontId="10" fillId="2" borderId="5" xfId="0" applyFont="1" applyFill="1" applyBorder="1" applyAlignment="1" applyProtection="1">
      <alignment horizontal="left" vertical="center"/>
      <protection locked="0"/>
    </xf>
    <xf numFmtId="0" fontId="10" fillId="2" borderId="20" xfId="0" applyFont="1" applyFill="1" applyBorder="1" applyAlignment="1" applyProtection="1">
      <alignment horizontal="left" vertical="center"/>
      <protection locked="0"/>
    </xf>
    <xf numFmtId="41" fontId="10" fillId="2" borderId="73" xfId="2" applyNumberFormat="1" applyFont="1" applyFill="1" applyBorder="1" applyAlignment="1" applyProtection="1">
      <alignment vertical="center"/>
      <protection locked="0"/>
    </xf>
    <xf numFmtId="41" fontId="10" fillId="2" borderId="20" xfId="2" applyNumberFormat="1" applyFont="1" applyFill="1" applyBorder="1" applyAlignment="1" applyProtection="1">
      <alignment vertical="center"/>
      <protection locked="0"/>
    </xf>
    <xf numFmtId="41" fontId="10" fillId="2" borderId="6" xfId="2" applyNumberFormat="1" applyFont="1" applyFill="1" applyBorder="1" applyAlignment="1" applyProtection="1">
      <alignment vertical="center"/>
      <protection locked="0"/>
    </xf>
    <xf numFmtId="41" fontId="24" fillId="3" borderId="0" xfId="2" applyNumberFormat="1" applyFont="1" applyFill="1" applyAlignment="1" applyProtection="1">
      <alignment vertical="center"/>
      <protection locked="0"/>
    </xf>
    <xf numFmtId="0" fontId="24" fillId="3" borderId="51" xfId="0" applyFont="1" applyFill="1" applyBorder="1" applyAlignment="1" applyProtection="1">
      <alignment vertical="center"/>
      <protection locked="0"/>
    </xf>
    <xf numFmtId="0" fontId="24" fillId="3" borderId="0" xfId="0" applyFont="1" applyFill="1" applyAlignment="1" applyProtection="1">
      <alignment vertical="center"/>
      <protection locked="0"/>
    </xf>
    <xf numFmtId="0" fontId="24" fillId="2" borderId="0" xfId="0" applyFont="1" applyFill="1" applyAlignment="1" applyProtection="1">
      <alignment vertical="center"/>
      <protection locked="0"/>
    </xf>
    <xf numFmtId="41" fontId="3" fillId="3" borderId="0" xfId="2" applyNumberFormat="1" applyFont="1" applyFill="1" applyAlignment="1" applyProtection="1">
      <alignment vertical="center"/>
      <protection locked="0"/>
    </xf>
    <xf numFmtId="0" fontId="18" fillId="2" borderId="0" xfId="0" applyFont="1" applyFill="1" applyAlignment="1" applyProtection="1">
      <alignment vertical="center"/>
      <protection locked="0"/>
    </xf>
    <xf numFmtId="0" fontId="3" fillId="0" borderId="0" xfId="0" applyFont="1" applyAlignment="1" applyProtection="1">
      <alignment horizontal="left" vertical="center"/>
      <protection locked="0"/>
    </xf>
    <xf numFmtId="0" fontId="25" fillId="8" borderId="0" xfId="0" applyFont="1" applyFill="1" applyAlignment="1" applyProtection="1">
      <alignment horizontal="left" vertical="center"/>
      <protection locked="0"/>
    </xf>
    <xf numFmtId="0" fontId="26" fillId="0" borderId="0" xfId="0" applyFont="1" applyAlignment="1" applyProtection="1">
      <alignment horizontal="center" vertical="center"/>
      <protection locked="0"/>
    </xf>
    <xf numFmtId="0" fontId="26" fillId="0" borderId="0" xfId="0" applyFont="1" applyAlignment="1" applyProtection="1">
      <alignment vertical="center"/>
      <protection locked="0"/>
    </xf>
    <xf numFmtId="0" fontId="3" fillId="0" borderId="27" xfId="0" applyFont="1" applyBorder="1" applyAlignment="1" applyProtection="1">
      <alignment vertical="center"/>
      <protection locked="0"/>
    </xf>
    <xf numFmtId="0" fontId="26" fillId="0" borderId="76" xfId="0" applyFont="1" applyBorder="1" applyAlignment="1" applyProtection="1">
      <alignment horizontal="center" vertical="center"/>
      <protection locked="0"/>
    </xf>
    <xf numFmtId="0" fontId="26" fillId="0" borderId="25" xfId="0" applyFont="1" applyBorder="1" applyAlignment="1" applyProtection="1">
      <alignment horizontal="center" vertical="center"/>
      <protection locked="0"/>
    </xf>
    <xf numFmtId="0" fontId="26" fillId="0" borderId="69" xfId="0" applyFont="1" applyBorder="1" applyAlignment="1" applyProtection="1">
      <alignment horizontal="center" vertical="center"/>
      <protection locked="0"/>
    </xf>
    <xf numFmtId="0" fontId="26" fillId="0" borderId="77" xfId="0" applyFont="1" applyBorder="1" applyAlignment="1" applyProtection="1">
      <alignment horizontal="center" vertical="center"/>
      <protection locked="0"/>
    </xf>
    <xf numFmtId="0" fontId="15" fillId="0" borderId="29" xfId="0" applyFont="1" applyBorder="1" applyAlignment="1" applyProtection="1">
      <alignment horizontal="center" vertical="center"/>
      <protection locked="0"/>
    </xf>
    <xf numFmtId="41" fontId="8" fillId="0" borderId="0" xfId="2" applyNumberFormat="1" applyFont="1" applyAlignment="1" applyProtection="1">
      <alignment vertical="center"/>
      <protection locked="0"/>
    </xf>
    <xf numFmtId="0" fontId="27" fillId="0" borderId="8" xfId="0" applyFont="1" applyBorder="1" applyAlignment="1" applyProtection="1">
      <alignment horizontal="center" vertical="center"/>
      <protection locked="0"/>
    </xf>
    <xf numFmtId="0" fontId="27" fillId="0" borderId="30" xfId="0" applyFont="1" applyBorder="1" applyAlignment="1" applyProtection="1">
      <alignment vertical="center"/>
      <protection locked="0"/>
    </xf>
    <xf numFmtId="0" fontId="27" fillId="0" borderId="60" xfId="0" applyFont="1" applyBorder="1" applyAlignment="1" applyProtection="1">
      <alignment horizontal="center" vertical="center"/>
      <protection locked="0"/>
    </xf>
    <xf numFmtId="0" fontId="27" fillId="0" borderId="37" xfId="0" applyFont="1" applyBorder="1" applyAlignment="1" applyProtection="1">
      <alignment horizontal="right" vertical="center"/>
      <protection locked="0"/>
    </xf>
    <xf numFmtId="3" fontId="27" fillId="0" borderId="28" xfId="0" applyNumberFormat="1" applyFont="1" applyBorder="1" applyAlignment="1" applyProtection="1">
      <alignment horizontal="right" vertical="center"/>
      <protection locked="0"/>
    </xf>
    <xf numFmtId="41" fontId="27" fillId="0" borderId="43" xfId="2" applyNumberFormat="1" applyFont="1" applyBorder="1" applyAlignment="1" applyProtection="1">
      <alignment vertical="center"/>
      <protection locked="0"/>
    </xf>
    <xf numFmtId="41" fontId="3" fillId="0" borderId="0" xfId="2" applyNumberFormat="1" applyFont="1" applyAlignment="1" applyProtection="1">
      <alignment vertical="center"/>
      <protection locked="0"/>
    </xf>
    <xf numFmtId="41" fontId="3" fillId="0" borderId="0" xfId="0" applyNumberFormat="1" applyFont="1" applyAlignment="1" applyProtection="1">
      <alignment vertical="center"/>
      <protection locked="0"/>
    </xf>
    <xf numFmtId="0" fontId="27" fillId="0" borderId="16" xfId="0" applyFont="1" applyBorder="1" applyAlignment="1" applyProtection="1">
      <alignment horizontal="center" vertical="center"/>
      <protection locked="0"/>
    </xf>
    <xf numFmtId="0" fontId="27" fillId="0" borderId="33" xfId="0" applyFont="1" applyBorder="1" applyAlignment="1" applyProtection="1">
      <alignment vertical="center"/>
      <protection locked="0"/>
    </xf>
    <xf numFmtId="0" fontId="27" fillId="0" borderId="49" xfId="0" applyFont="1" applyBorder="1" applyAlignment="1" applyProtection="1">
      <alignment horizontal="center" vertical="center"/>
      <protection locked="0"/>
    </xf>
    <xf numFmtId="0" fontId="27" fillId="0" borderId="28" xfId="0" applyFont="1" applyBorder="1" applyAlignment="1" applyProtection="1">
      <alignment horizontal="right" vertical="center"/>
      <protection locked="0"/>
    </xf>
    <xf numFmtId="3" fontId="27" fillId="0" borderId="35" xfId="0" applyNumberFormat="1" applyFont="1" applyBorder="1" applyAlignment="1" applyProtection="1">
      <alignment horizontal="right" vertical="center"/>
      <protection locked="0"/>
    </xf>
    <xf numFmtId="0" fontId="27" fillId="0" borderId="0" xfId="0" applyFont="1" applyAlignment="1" applyProtection="1">
      <alignment vertical="center"/>
      <protection locked="0"/>
    </xf>
    <xf numFmtId="0" fontId="27" fillId="0" borderId="28" xfId="0" applyFont="1" applyBorder="1" applyAlignment="1" applyProtection="1">
      <alignment horizontal="center" vertical="center"/>
      <protection locked="0"/>
    </xf>
    <xf numFmtId="0" fontId="27" fillId="0" borderId="35" xfId="0" applyFont="1" applyBorder="1" applyAlignment="1" applyProtection="1">
      <alignment horizontal="right" vertical="center"/>
      <protection locked="0"/>
    </xf>
    <xf numFmtId="0" fontId="27" fillId="0" borderId="35" xfId="0" applyFont="1" applyBorder="1" applyAlignment="1" applyProtection="1">
      <alignment vertical="center"/>
      <protection locked="0"/>
    </xf>
    <xf numFmtId="0" fontId="27" fillId="0" borderId="49" xfId="0" applyFont="1" applyBorder="1" applyAlignment="1" applyProtection="1">
      <alignment vertical="center"/>
      <protection locked="0"/>
    </xf>
    <xf numFmtId="0" fontId="27" fillId="0" borderId="28" xfId="0" applyFont="1" applyBorder="1" applyAlignment="1" applyProtection="1">
      <alignment vertical="center"/>
      <protection locked="0"/>
    </xf>
    <xf numFmtId="0" fontId="3" fillId="0" borderId="29" xfId="0" applyFont="1" applyBorder="1" applyAlignment="1" applyProtection="1">
      <alignment horizontal="center" vertical="center"/>
      <protection locked="0"/>
    </xf>
    <xf numFmtId="0" fontId="27" fillId="0" borderId="69" xfId="0" applyFont="1" applyBorder="1" applyAlignment="1" applyProtection="1">
      <alignment vertical="center"/>
      <protection locked="0"/>
    </xf>
    <xf numFmtId="0" fontId="3" fillId="0" borderId="69" xfId="0" applyFont="1" applyBorder="1" applyAlignment="1" applyProtection="1">
      <alignment vertical="center"/>
      <protection locked="0"/>
    </xf>
    <xf numFmtId="0" fontId="7" fillId="0" borderId="69" xfId="0" applyFont="1" applyBorder="1" applyAlignment="1" applyProtection="1">
      <alignment horizontal="center" vertical="center"/>
      <protection locked="0"/>
    </xf>
    <xf numFmtId="164" fontId="7" fillId="2" borderId="77" xfId="2" applyNumberFormat="1" applyFont="1" applyFill="1" applyBorder="1" applyAlignment="1" applyProtection="1">
      <alignment vertical="center"/>
      <protection locked="0"/>
    </xf>
    <xf numFmtId="0" fontId="15" fillId="0" borderId="76" xfId="0" applyFont="1" applyBorder="1" applyAlignment="1" applyProtection="1">
      <alignment horizontal="center" vertical="center"/>
      <protection locked="0"/>
    </xf>
    <xf numFmtId="0" fontId="27" fillId="0" borderId="7" xfId="0" applyFont="1" applyBorder="1" applyAlignment="1" applyProtection="1">
      <alignment horizontal="center" vertical="center"/>
      <protection locked="0"/>
    </xf>
    <xf numFmtId="0" fontId="27" fillId="0" borderId="2" xfId="0" applyFont="1" applyBorder="1" applyAlignment="1" applyProtection="1">
      <alignment vertical="center"/>
      <protection locked="0"/>
    </xf>
    <xf numFmtId="0" fontId="27" fillId="0" borderId="31" xfId="0" applyFont="1" applyBorder="1" applyAlignment="1" applyProtection="1">
      <alignment horizontal="center" vertical="center"/>
      <protection locked="0"/>
    </xf>
    <xf numFmtId="0" fontId="27" fillId="0" borderId="31" xfId="0" applyFont="1" applyBorder="1" applyAlignment="1" applyProtection="1">
      <alignment horizontal="right" vertical="center"/>
      <protection locked="0"/>
    </xf>
    <xf numFmtId="41" fontId="27" fillId="0" borderId="31" xfId="2" applyNumberFormat="1" applyFont="1" applyBorder="1" applyAlignment="1" applyProtection="1">
      <alignment vertical="center"/>
      <protection locked="0"/>
    </xf>
    <xf numFmtId="41" fontId="27" fillId="0" borderId="32" xfId="2" applyNumberFormat="1" applyFont="1" applyBorder="1" applyAlignment="1" applyProtection="1">
      <alignment vertical="center"/>
      <protection locked="0"/>
    </xf>
    <xf numFmtId="0" fontId="27" fillId="0" borderId="15" xfId="0" applyFont="1" applyBorder="1" applyAlignment="1" applyProtection="1">
      <alignment horizontal="center" vertical="center"/>
      <protection locked="0"/>
    </xf>
    <xf numFmtId="41" fontId="27" fillId="0" borderId="37" xfId="2" applyNumberFormat="1" applyFont="1" applyBorder="1" applyAlignment="1" applyProtection="1">
      <alignment vertical="center"/>
      <protection locked="0"/>
    </xf>
    <xf numFmtId="41" fontId="27" fillId="0" borderId="28" xfId="2" applyNumberFormat="1" applyFont="1" applyBorder="1" applyAlignment="1" applyProtection="1">
      <alignment vertical="center"/>
      <protection locked="0"/>
    </xf>
    <xf numFmtId="41" fontId="27" fillId="0" borderId="34" xfId="2" applyNumberFormat="1" applyFont="1" applyBorder="1" applyAlignment="1" applyProtection="1">
      <alignment vertical="center"/>
      <protection locked="0"/>
    </xf>
    <xf numFmtId="0" fontId="27" fillId="0" borderId="15" xfId="0" applyFont="1" applyBorder="1" applyAlignment="1" applyProtection="1">
      <alignment vertical="center"/>
      <protection locked="0"/>
    </xf>
    <xf numFmtId="0" fontId="7" fillId="0" borderId="19" xfId="0" applyFont="1" applyBorder="1" applyAlignment="1" applyProtection="1">
      <alignment vertical="center"/>
      <protection locked="0"/>
    </xf>
    <xf numFmtId="0" fontId="27" fillId="0" borderId="37" xfId="0" applyFont="1" applyBorder="1" applyAlignment="1" applyProtection="1">
      <alignment horizontal="center" vertical="center"/>
      <protection locked="0"/>
    </xf>
    <xf numFmtId="0" fontId="27" fillId="0" borderId="35" xfId="0" applyFont="1" applyBorder="1" applyAlignment="1" applyProtection="1">
      <alignment horizontal="center" vertical="center"/>
      <protection locked="0"/>
    </xf>
    <xf numFmtId="41" fontId="27" fillId="0" borderId="35" xfId="2" applyNumberFormat="1" applyFont="1" applyBorder="1" applyAlignment="1" applyProtection="1">
      <alignment vertical="center"/>
      <protection locked="0"/>
    </xf>
    <xf numFmtId="0" fontId="27" fillId="0" borderId="19" xfId="0" applyFont="1" applyBorder="1" applyAlignment="1" applyProtection="1">
      <alignment vertical="center"/>
      <protection locked="0"/>
    </xf>
    <xf numFmtId="41" fontId="27" fillId="0" borderId="18" xfId="2" applyNumberFormat="1" applyFont="1" applyBorder="1" applyAlignment="1" applyProtection="1">
      <alignment vertical="center"/>
      <protection locked="0"/>
    </xf>
    <xf numFmtId="0" fontId="27" fillId="0" borderId="22" xfId="0" applyFont="1" applyBorder="1" applyAlignment="1" applyProtection="1">
      <alignment vertical="center"/>
      <protection locked="0"/>
    </xf>
    <xf numFmtId="0" fontId="27" fillId="0" borderId="36" xfId="0" applyFont="1" applyBorder="1" applyAlignment="1" applyProtection="1">
      <alignment vertical="center"/>
      <protection locked="0"/>
    </xf>
    <xf numFmtId="0" fontId="27" fillId="0" borderId="36" xfId="0" applyFont="1" applyBorder="1" applyAlignment="1" applyProtection="1">
      <alignment horizontal="right" vertical="center"/>
      <protection locked="0"/>
    </xf>
    <xf numFmtId="0" fontId="3" fillId="0" borderId="25" xfId="0" applyFont="1" applyBorder="1" applyAlignment="1" applyProtection="1">
      <alignment vertical="center"/>
      <protection locked="0"/>
    </xf>
    <xf numFmtId="0" fontId="27" fillId="0" borderId="25" xfId="0" applyFont="1" applyBorder="1" applyAlignment="1" applyProtection="1">
      <alignment vertical="center"/>
      <protection locked="0"/>
    </xf>
    <xf numFmtId="0" fontId="8" fillId="0" borderId="69" xfId="0" applyFont="1" applyBorder="1" applyAlignment="1" applyProtection="1">
      <alignment horizontal="center" vertical="center"/>
      <protection locked="0"/>
    </xf>
    <xf numFmtId="164" fontId="8" fillId="2" borderId="77" xfId="2" applyNumberFormat="1" applyFont="1" applyFill="1" applyBorder="1" applyAlignment="1" applyProtection="1">
      <alignment vertical="center"/>
      <protection locked="0"/>
    </xf>
    <xf numFmtId="178" fontId="8" fillId="2" borderId="29" xfId="3" applyNumberFormat="1" applyFont="1" applyFill="1" applyBorder="1" applyAlignment="1" applyProtection="1">
      <alignment vertical="center"/>
      <protection locked="0"/>
    </xf>
    <xf numFmtId="0" fontId="15" fillId="0" borderId="25" xfId="0" applyFont="1" applyBorder="1" applyAlignment="1" applyProtection="1">
      <alignment horizontal="center" vertical="center"/>
      <protection locked="0"/>
    </xf>
    <xf numFmtId="0" fontId="4" fillId="0" borderId="11" xfId="0" applyFont="1" applyBorder="1" applyAlignment="1" applyProtection="1">
      <alignment horizontal="center" vertical="center"/>
      <protection locked="0"/>
    </xf>
    <xf numFmtId="0" fontId="27" fillId="0" borderId="11" xfId="0" applyFont="1" applyBorder="1" applyAlignment="1" applyProtection="1">
      <alignment vertical="center"/>
      <protection locked="0"/>
    </xf>
    <xf numFmtId="0" fontId="27" fillId="0" borderId="37" xfId="0" applyFont="1" applyBorder="1" applyAlignment="1" applyProtection="1">
      <alignment vertical="center"/>
      <protection locked="0"/>
    </xf>
    <xf numFmtId="0" fontId="7" fillId="0" borderId="37" xfId="0" applyFont="1" applyBorder="1" applyAlignment="1" applyProtection="1">
      <alignment horizontal="center" vertical="center"/>
      <protection locked="0"/>
    </xf>
    <xf numFmtId="0" fontId="4" fillId="0" borderId="16" xfId="0" applyFont="1" applyBorder="1" applyAlignment="1" applyProtection="1">
      <alignment horizontal="center" vertical="center"/>
      <protection locked="0"/>
    </xf>
    <xf numFmtId="41" fontId="27" fillId="2" borderId="43" xfId="2" applyNumberFormat="1" applyFont="1" applyFill="1" applyBorder="1" applyAlignment="1" applyProtection="1">
      <alignment vertical="center"/>
      <protection locked="0"/>
    </xf>
    <xf numFmtId="0" fontId="27" fillId="0" borderId="44" xfId="0" applyFont="1" applyBorder="1" applyAlignment="1" applyProtection="1">
      <alignment vertical="center"/>
      <protection locked="0"/>
    </xf>
    <xf numFmtId="0" fontId="27" fillId="0" borderId="45" xfId="0" applyFont="1" applyBorder="1" applyAlignment="1" applyProtection="1">
      <alignment horizontal="center" vertical="center"/>
      <protection locked="0"/>
    </xf>
    <xf numFmtId="0" fontId="27" fillId="0" borderId="45" xfId="0" applyFont="1" applyBorder="1" applyAlignment="1" applyProtection="1">
      <alignment horizontal="right" vertical="center"/>
      <protection locked="0"/>
    </xf>
    <xf numFmtId="0" fontId="27" fillId="0" borderId="45" xfId="0" applyFont="1" applyBorder="1" applyAlignment="1" applyProtection="1">
      <alignment vertical="center"/>
      <protection locked="0"/>
    </xf>
    <xf numFmtId="41" fontId="27" fillId="0" borderId="75" xfId="2" applyNumberFormat="1" applyFont="1" applyBorder="1" applyAlignment="1" applyProtection="1">
      <alignment vertical="center"/>
      <protection locked="0"/>
    </xf>
    <xf numFmtId="0" fontId="27" fillId="0" borderId="29" xfId="0" applyFont="1" applyBorder="1" applyAlignment="1" applyProtection="1">
      <alignment horizontal="center" vertical="center"/>
      <protection locked="0"/>
    </xf>
    <xf numFmtId="0" fontId="27" fillId="0" borderId="64" xfId="0" applyFont="1" applyBorder="1" applyAlignment="1" applyProtection="1">
      <alignment vertical="center"/>
      <protection locked="0"/>
    </xf>
    <xf numFmtId="0" fontId="27" fillId="0" borderId="68" xfId="0" applyFont="1" applyBorder="1" applyAlignment="1" applyProtection="1">
      <alignment horizontal="center" vertical="center"/>
      <protection locked="0"/>
    </xf>
    <xf numFmtId="0" fontId="27" fillId="0" borderId="68" xfId="0" applyFont="1" applyBorder="1" applyAlignment="1" applyProtection="1">
      <alignment vertical="center"/>
      <protection locked="0"/>
    </xf>
    <xf numFmtId="179" fontId="7" fillId="2" borderId="29" xfId="3" applyNumberFormat="1" applyFont="1" applyFill="1" applyBorder="1" applyAlignment="1" applyProtection="1">
      <alignment vertical="center"/>
      <protection locked="0"/>
    </xf>
    <xf numFmtId="164" fontId="7" fillId="2" borderId="27" xfId="2" applyNumberFormat="1" applyFont="1" applyFill="1" applyBorder="1" applyAlignment="1" applyProtection="1">
      <alignment vertical="center"/>
      <protection locked="0"/>
    </xf>
    <xf numFmtId="0" fontId="26" fillId="0" borderId="29" xfId="0" applyFont="1" applyBorder="1" applyAlignment="1" applyProtection="1">
      <alignment horizontal="center" vertical="center"/>
      <protection locked="0"/>
    </xf>
    <xf numFmtId="0" fontId="26" fillId="0" borderId="27" xfId="0" applyFont="1" applyBorder="1" applyAlignment="1" applyProtection="1">
      <alignment horizontal="center" vertical="center"/>
      <protection locked="0"/>
    </xf>
    <xf numFmtId="0" fontId="27" fillId="0" borderId="60" xfId="0" applyFont="1" applyBorder="1" applyAlignment="1" applyProtection="1">
      <alignment vertical="center"/>
      <protection locked="0"/>
    </xf>
    <xf numFmtId="0" fontId="27" fillId="0" borderId="12" xfId="0" applyFont="1" applyBorder="1" applyAlignment="1" applyProtection="1">
      <alignment horizontal="center" vertical="center"/>
      <protection locked="0"/>
    </xf>
    <xf numFmtId="0" fontId="27" fillId="0" borderId="17" xfId="0" applyFont="1" applyBorder="1" applyAlignment="1" applyProtection="1">
      <alignment horizontal="right" vertical="center"/>
      <protection locked="0"/>
    </xf>
    <xf numFmtId="0" fontId="27" fillId="0" borderId="0" xfId="0" applyFont="1" applyAlignment="1" applyProtection="1">
      <alignment horizontal="right" vertical="center"/>
      <protection locked="0"/>
    </xf>
    <xf numFmtId="41" fontId="27" fillId="0" borderId="36" xfId="2" applyNumberFormat="1" applyFont="1" applyBorder="1" applyAlignment="1" applyProtection="1">
      <alignment vertical="center"/>
      <protection locked="0"/>
    </xf>
    <xf numFmtId="0" fontId="27" fillId="0" borderId="63" xfId="0" applyFont="1" applyBorder="1" applyAlignment="1" applyProtection="1">
      <alignment horizontal="right" vertical="center"/>
      <protection locked="0"/>
    </xf>
    <xf numFmtId="0" fontId="27" fillId="0" borderId="62" xfId="0" applyFont="1" applyBorder="1" applyAlignment="1" applyProtection="1">
      <alignment vertical="center"/>
      <protection locked="0"/>
    </xf>
    <xf numFmtId="0" fontId="27" fillId="0" borderId="36" xfId="0" applyFont="1" applyBorder="1" applyAlignment="1" applyProtection="1">
      <alignment horizontal="center" vertical="center"/>
      <protection locked="0"/>
    </xf>
    <xf numFmtId="0" fontId="3" fillId="0" borderId="29" xfId="0" applyFont="1" applyBorder="1" applyAlignment="1" applyProtection="1">
      <alignment vertical="center"/>
      <protection locked="0"/>
    </xf>
    <xf numFmtId="0" fontId="27" fillId="0" borderId="26" xfId="0" applyFont="1" applyBorder="1" applyAlignment="1" applyProtection="1">
      <alignment vertical="center"/>
      <protection locked="0"/>
    </xf>
    <xf numFmtId="0" fontId="15" fillId="0" borderId="1" xfId="0" applyFont="1" applyBorder="1" applyAlignment="1" applyProtection="1">
      <alignment horizontal="center" vertical="center"/>
      <protection locked="0"/>
    </xf>
    <xf numFmtId="0" fontId="27" fillId="0" borderId="34" xfId="0" applyFont="1" applyBorder="1" applyAlignment="1" applyProtection="1">
      <alignment horizontal="center" vertical="center"/>
      <protection locked="0"/>
    </xf>
    <xf numFmtId="41" fontId="27" fillId="0" borderId="37" xfId="2" applyNumberFormat="1" applyFont="1" applyBorder="1" applyAlignment="1" applyProtection="1">
      <alignment horizontal="center" vertical="center"/>
      <protection locked="0"/>
    </xf>
    <xf numFmtId="180" fontId="27" fillId="0" borderId="37" xfId="1" applyNumberFormat="1" applyFont="1" applyBorder="1" applyAlignment="1" applyProtection="1">
      <alignment vertical="center"/>
      <protection locked="0"/>
    </xf>
    <xf numFmtId="164" fontId="27" fillId="0" borderId="37" xfId="0" applyNumberFormat="1" applyFont="1" applyBorder="1" applyAlignment="1" applyProtection="1">
      <alignment vertical="center"/>
      <protection locked="0"/>
    </xf>
    <xf numFmtId="172" fontId="27" fillId="0" borderId="28" xfId="2" applyNumberFormat="1" applyFont="1" applyBorder="1" applyAlignment="1" applyProtection="1">
      <alignment horizontal="center" vertical="center"/>
      <protection locked="0"/>
    </xf>
    <xf numFmtId="41" fontId="27" fillId="0" borderId="28" xfId="2" applyNumberFormat="1" applyFont="1" applyBorder="1" applyAlignment="1" applyProtection="1">
      <alignment horizontal="center" vertical="center"/>
      <protection locked="0"/>
    </xf>
    <xf numFmtId="164" fontId="27" fillId="0" borderId="28" xfId="0" applyNumberFormat="1" applyFont="1" applyBorder="1" applyAlignment="1" applyProtection="1">
      <alignment vertical="center"/>
      <protection locked="0"/>
    </xf>
    <xf numFmtId="180" fontId="27" fillId="0" borderId="28" xfId="1" applyNumberFormat="1" applyFont="1" applyBorder="1" applyAlignment="1" applyProtection="1">
      <alignment vertical="center"/>
      <protection locked="0"/>
    </xf>
    <xf numFmtId="180" fontId="27" fillId="0" borderId="28" xfId="1" applyNumberFormat="1" applyFont="1" applyBorder="1" applyAlignment="1" applyProtection="1">
      <alignment horizontal="right" vertical="center"/>
      <protection locked="0"/>
    </xf>
    <xf numFmtId="0" fontId="27" fillId="0" borderId="66" xfId="0" applyFont="1" applyBorder="1" applyAlignment="1" applyProtection="1">
      <alignment vertical="center"/>
      <protection locked="0"/>
    </xf>
    <xf numFmtId="172" fontId="27" fillId="0" borderId="35" xfId="2" applyNumberFormat="1" applyFont="1" applyBorder="1" applyAlignment="1" applyProtection="1">
      <alignment horizontal="center" vertical="center"/>
      <protection locked="0"/>
    </xf>
    <xf numFmtId="180" fontId="27" fillId="0" borderId="35" xfId="1" applyNumberFormat="1" applyFont="1" applyBorder="1" applyAlignment="1" applyProtection="1">
      <alignment vertical="center"/>
      <protection locked="0"/>
    </xf>
    <xf numFmtId="41" fontId="27" fillId="0" borderId="35" xfId="2" applyNumberFormat="1" applyFont="1" applyBorder="1" applyAlignment="1" applyProtection="1">
      <alignment horizontal="center" vertical="center"/>
      <protection locked="0"/>
    </xf>
    <xf numFmtId="41" fontId="27" fillId="0" borderId="35" xfId="0" applyNumberFormat="1" applyFont="1" applyBorder="1" applyAlignment="1" applyProtection="1">
      <alignment vertical="center"/>
      <protection locked="0"/>
    </xf>
    <xf numFmtId="0" fontId="7" fillId="0" borderId="29" xfId="0" applyFont="1" applyBorder="1" applyAlignment="1" applyProtection="1">
      <alignment horizontal="center" vertical="center"/>
      <protection locked="0"/>
    </xf>
    <xf numFmtId="0" fontId="7" fillId="0" borderId="70" xfId="0" applyFont="1" applyBorder="1" applyAlignment="1" applyProtection="1">
      <alignment vertical="center"/>
      <protection locked="0"/>
    </xf>
    <xf numFmtId="0" fontId="7" fillId="0" borderId="69" xfId="0" applyFont="1" applyBorder="1" applyAlignment="1" applyProtection="1">
      <alignment vertical="center"/>
      <protection locked="0"/>
    </xf>
    <xf numFmtId="0" fontId="15" fillId="0" borderId="43" xfId="0" applyFont="1" applyBorder="1" applyAlignment="1" applyProtection="1">
      <alignment horizontal="center" vertical="center"/>
      <protection locked="0"/>
    </xf>
    <xf numFmtId="0" fontId="15" fillId="0" borderId="60" xfId="0" applyFont="1" applyBorder="1" applyAlignment="1" applyProtection="1">
      <alignment horizontal="center" vertical="center"/>
      <protection locked="0"/>
    </xf>
    <xf numFmtId="0" fontId="15" fillId="0" borderId="37" xfId="0" applyFont="1" applyBorder="1" applyAlignment="1" applyProtection="1">
      <alignment horizontal="center" vertical="center"/>
      <protection locked="0"/>
    </xf>
    <xf numFmtId="0" fontId="15" fillId="0" borderId="53" xfId="0" applyFont="1" applyBorder="1" applyAlignment="1" applyProtection="1">
      <alignment horizontal="center" vertical="center"/>
      <protection locked="0"/>
    </xf>
    <xf numFmtId="0" fontId="27" fillId="0" borderId="65" xfId="0" applyFont="1" applyBorder="1" applyAlignment="1" applyProtection="1">
      <alignment horizontal="center" vertical="center"/>
      <protection locked="0"/>
    </xf>
    <xf numFmtId="0" fontId="27" fillId="0" borderId="70" xfId="0" applyFont="1" applyBorder="1" applyAlignment="1" applyProtection="1">
      <alignment vertical="center"/>
      <protection locked="0"/>
    </xf>
    <xf numFmtId="0" fontId="3" fillId="0" borderId="37" xfId="0" applyFont="1" applyBorder="1" applyAlignment="1" applyProtection="1">
      <alignment vertical="center"/>
      <protection locked="0"/>
    </xf>
    <xf numFmtId="41" fontId="3" fillId="0" borderId="43" xfId="2" applyNumberFormat="1" applyFont="1" applyBorder="1" applyAlignment="1" applyProtection="1">
      <alignment vertical="center"/>
      <protection locked="0"/>
    </xf>
    <xf numFmtId="0" fontId="27" fillId="0" borderId="49" xfId="0" applyFont="1" applyBorder="1" applyAlignment="1" applyProtection="1">
      <alignment horizontal="left" vertical="center"/>
      <protection locked="0"/>
    </xf>
    <xf numFmtId="0" fontId="27" fillId="0" borderId="59" xfId="0" applyFont="1" applyBorder="1" applyAlignment="1" applyProtection="1">
      <alignment horizontal="center" vertical="center"/>
      <protection locked="0"/>
    </xf>
    <xf numFmtId="0" fontId="27" fillId="0" borderId="66" xfId="0" applyFont="1" applyBorder="1" applyAlignment="1" applyProtection="1">
      <alignment horizontal="left" vertical="center"/>
      <protection locked="0"/>
    </xf>
    <xf numFmtId="0" fontId="7" fillId="0" borderId="35" xfId="0" applyFont="1" applyBorder="1" applyAlignment="1" applyProtection="1">
      <alignment horizontal="center" vertical="center"/>
      <protection locked="0"/>
    </xf>
    <xf numFmtId="41" fontId="3" fillId="0" borderId="46" xfId="2" applyNumberFormat="1" applyFont="1" applyBorder="1" applyAlignment="1" applyProtection="1">
      <alignment vertical="center"/>
      <protection locked="0"/>
    </xf>
    <xf numFmtId="41" fontId="8" fillId="0" borderId="77" xfId="2" applyNumberFormat="1" applyFont="1" applyBorder="1" applyAlignment="1" applyProtection="1">
      <alignment vertical="center"/>
      <protection locked="0"/>
    </xf>
    <xf numFmtId="0" fontId="7" fillId="0" borderId="36" xfId="0" applyFont="1" applyBorder="1" applyAlignment="1" applyProtection="1">
      <alignment horizontal="center" vertical="center"/>
      <protection locked="0"/>
    </xf>
    <xf numFmtId="41" fontId="8" fillId="0" borderId="43" xfId="2" applyNumberFormat="1" applyFont="1" applyBorder="1" applyAlignment="1" applyProtection="1">
      <alignment vertical="center"/>
      <protection locked="0"/>
    </xf>
    <xf numFmtId="0" fontId="27" fillId="0" borderId="31" xfId="0" applyFont="1" applyBorder="1" applyAlignment="1" applyProtection="1">
      <alignment vertical="center"/>
      <protection locked="0"/>
    </xf>
    <xf numFmtId="0" fontId="7" fillId="0" borderId="31" xfId="0" applyFont="1" applyBorder="1" applyAlignment="1" applyProtection="1">
      <alignment horizontal="center" vertical="center"/>
      <protection locked="0"/>
    </xf>
    <xf numFmtId="0" fontId="27" fillId="0" borderId="67" xfId="0" applyFont="1" applyBorder="1" applyAlignment="1" applyProtection="1">
      <alignment vertical="center"/>
      <protection locked="0"/>
    </xf>
    <xf numFmtId="0" fontId="7" fillId="0" borderId="55" xfId="0" applyFont="1" applyBorder="1" applyAlignment="1" applyProtection="1">
      <alignment horizontal="left" vertical="center"/>
      <protection locked="0"/>
    </xf>
    <xf numFmtId="0" fontId="27" fillId="0" borderId="62" xfId="0" applyFont="1" applyBorder="1" applyAlignment="1" applyProtection="1">
      <alignment horizontal="left" vertical="center"/>
      <protection locked="0"/>
    </xf>
    <xf numFmtId="0" fontId="8" fillId="0" borderId="16" xfId="0" applyFont="1" applyBorder="1" applyAlignment="1" applyProtection="1">
      <alignment horizontal="center" vertical="center"/>
      <protection locked="0"/>
    </xf>
    <xf numFmtId="0" fontId="7" fillId="0" borderId="16" xfId="0" applyFont="1" applyBorder="1" applyAlignment="1" applyProtection="1">
      <alignment horizontal="center" vertical="center"/>
      <protection locked="0"/>
    </xf>
    <xf numFmtId="0" fontId="8" fillId="0" borderId="24" xfId="0" applyFont="1" applyBorder="1" applyAlignment="1" applyProtection="1">
      <alignment vertical="center"/>
      <protection locked="0"/>
    </xf>
    <xf numFmtId="0" fontId="8" fillId="0" borderId="0" xfId="0" applyFont="1" applyAlignment="1" applyProtection="1">
      <alignment vertical="center"/>
      <protection locked="0"/>
    </xf>
    <xf numFmtId="180" fontId="8" fillId="0" borderId="0" xfId="1" applyNumberFormat="1" applyFont="1" applyAlignment="1" applyProtection="1">
      <alignment vertical="center"/>
      <protection locked="0"/>
    </xf>
    <xf numFmtId="0" fontId="7" fillId="0" borderId="66" xfId="0" applyFont="1" applyBorder="1" applyAlignment="1" applyProtection="1">
      <alignment horizontal="left" vertical="center"/>
      <protection locked="0"/>
    </xf>
    <xf numFmtId="0" fontId="8" fillId="2" borderId="29" xfId="0" applyFont="1" applyFill="1" applyBorder="1" applyAlignment="1" applyProtection="1">
      <alignment vertical="center"/>
      <protection locked="0"/>
    </xf>
    <xf numFmtId="180" fontId="8" fillId="2" borderId="29" xfId="1" applyNumberFormat="1" applyFont="1" applyFill="1" applyBorder="1" applyAlignment="1" applyProtection="1">
      <alignment vertical="center"/>
      <protection locked="0"/>
    </xf>
    <xf numFmtId="0" fontId="27" fillId="0" borderId="61" xfId="0" applyFont="1" applyBorder="1" applyAlignment="1" applyProtection="1">
      <alignment vertical="center"/>
      <protection locked="0"/>
    </xf>
    <xf numFmtId="0" fontId="27" fillId="0" borderId="66" xfId="0" applyFont="1" applyBorder="1" applyAlignment="1" applyProtection="1">
      <alignment horizontal="center" vertical="center"/>
      <protection locked="0"/>
    </xf>
    <xf numFmtId="0" fontId="3" fillId="2" borderId="29" xfId="0" applyFont="1" applyFill="1" applyBorder="1" applyAlignment="1" applyProtection="1">
      <alignment vertical="center"/>
      <protection locked="0"/>
    </xf>
    <xf numFmtId="41" fontId="8" fillId="2" borderId="29" xfId="0" applyNumberFormat="1" applyFont="1" applyFill="1" applyBorder="1" applyAlignment="1" applyProtection="1">
      <alignment vertical="center"/>
      <protection locked="0"/>
    </xf>
    <xf numFmtId="0" fontId="27" fillId="0" borderId="49" xfId="0" applyFont="1" applyBorder="1" applyProtection="1">
      <protection locked="0"/>
    </xf>
    <xf numFmtId="0" fontId="27" fillId="0" borderId="61" xfId="0" applyFont="1" applyBorder="1" applyProtection="1">
      <protection locked="0"/>
    </xf>
    <xf numFmtId="2" fontId="27" fillId="0" borderId="49" xfId="0" applyNumberFormat="1" applyFont="1" applyBorder="1" applyAlignment="1" applyProtection="1">
      <alignment vertical="center"/>
      <protection locked="0"/>
    </xf>
    <xf numFmtId="0" fontId="27" fillId="0" borderId="66" xfId="0" applyFont="1" applyBorder="1" applyProtection="1">
      <protection locked="0"/>
    </xf>
    <xf numFmtId="41" fontId="27" fillId="0" borderId="49" xfId="2" applyNumberFormat="1" applyFont="1" applyBorder="1" applyAlignment="1" applyProtection="1">
      <alignment vertical="center"/>
      <protection locked="0"/>
    </xf>
    <xf numFmtId="41" fontId="27" fillId="0" borderId="41" xfId="2" applyNumberFormat="1" applyFont="1" applyBorder="1" applyAlignment="1" applyProtection="1">
      <alignment vertical="center"/>
      <protection locked="0"/>
    </xf>
    <xf numFmtId="0" fontId="27" fillId="0" borderId="27" xfId="0" applyFont="1" applyBorder="1" applyAlignment="1" applyProtection="1">
      <alignment vertical="center"/>
      <protection locked="0"/>
    </xf>
    <xf numFmtId="0" fontId="27" fillId="0" borderId="4" xfId="0" applyFont="1" applyBorder="1" applyAlignment="1" applyProtection="1">
      <alignment horizontal="center" vertical="center"/>
      <protection locked="0"/>
    </xf>
    <xf numFmtId="0" fontId="27" fillId="0" borderId="4" xfId="0" applyFont="1" applyBorder="1" applyAlignment="1" applyProtection="1">
      <alignment vertical="center"/>
      <protection locked="0"/>
    </xf>
    <xf numFmtId="0" fontId="7" fillId="0" borderId="4" xfId="0" applyFont="1" applyBorder="1" applyAlignment="1" applyProtection="1">
      <alignment horizontal="center" vertical="center"/>
      <protection locked="0"/>
    </xf>
    <xf numFmtId="164" fontId="7" fillId="2" borderId="29" xfId="0" applyNumberFormat="1" applyFont="1" applyFill="1" applyBorder="1" applyAlignment="1" applyProtection="1">
      <alignment vertical="center"/>
      <protection locked="0"/>
    </xf>
    <xf numFmtId="0" fontId="27" fillId="0" borderId="29" xfId="0" applyFont="1" applyBorder="1" applyAlignment="1" applyProtection="1">
      <alignment vertical="center"/>
      <protection locked="0"/>
    </xf>
    <xf numFmtId="0" fontId="13" fillId="0" borderId="27" xfId="0" applyFont="1" applyBorder="1" applyAlignment="1" applyProtection="1">
      <alignment vertical="center"/>
      <protection locked="0"/>
    </xf>
    <xf numFmtId="0" fontId="26" fillId="0" borderId="70" xfId="0" applyFont="1" applyBorder="1" applyAlignment="1" applyProtection="1">
      <alignment horizontal="center" vertical="center"/>
      <protection locked="0"/>
    </xf>
    <xf numFmtId="172" fontId="27" fillId="0" borderId="37" xfId="2" applyNumberFormat="1" applyFont="1" applyBorder="1" applyAlignment="1" applyProtection="1">
      <alignment vertical="center"/>
      <protection locked="0"/>
    </xf>
    <xf numFmtId="41" fontId="27" fillId="0" borderId="53" xfId="2" applyNumberFormat="1" applyFont="1" applyBorder="1" applyAlignment="1" applyProtection="1">
      <alignment vertical="center"/>
      <protection locked="0"/>
    </xf>
    <xf numFmtId="41" fontId="27" fillId="0" borderId="78" xfId="2" applyNumberFormat="1" applyFont="1" applyBorder="1" applyAlignment="1" applyProtection="1">
      <alignment vertical="center"/>
      <protection locked="0"/>
    </xf>
    <xf numFmtId="172" fontId="27" fillId="0" borderId="35" xfId="2" applyNumberFormat="1" applyFont="1" applyBorder="1" applyAlignment="1" applyProtection="1">
      <alignment vertical="center"/>
      <protection locked="0"/>
    </xf>
    <xf numFmtId="172" fontId="27" fillId="0" borderId="28" xfId="2" applyNumberFormat="1" applyFont="1" applyBorder="1" applyAlignment="1" applyProtection="1">
      <alignment vertical="center"/>
      <protection locked="0"/>
    </xf>
    <xf numFmtId="0" fontId="27" fillId="0" borderId="21" xfId="0" applyFont="1" applyBorder="1" applyAlignment="1" applyProtection="1">
      <alignment horizontal="center" vertical="center"/>
      <protection locked="0"/>
    </xf>
    <xf numFmtId="172" fontId="27" fillId="0" borderId="68" xfId="2" applyNumberFormat="1" applyFont="1" applyBorder="1" applyAlignment="1" applyProtection="1">
      <alignment vertical="center"/>
      <protection locked="0"/>
    </xf>
    <xf numFmtId="41" fontId="27" fillId="0" borderId="68" xfId="2" applyNumberFormat="1" applyFont="1" applyBorder="1" applyAlignment="1" applyProtection="1">
      <alignment vertical="center"/>
      <protection locked="0"/>
    </xf>
    <xf numFmtId="0" fontId="7" fillId="2" borderId="70" xfId="0" applyFont="1" applyFill="1" applyBorder="1" applyAlignment="1" applyProtection="1">
      <alignment vertical="center"/>
      <protection locked="0"/>
    </xf>
    <xf numFmtId="0" fontId="27" fillId="2" borderId="69" xfId="0" applyFont="1" applyFill="1" applyBorder="1" applyAlignment="1" applyProtection="1">
      <alignment vertical="center"/>
      <protection locked="0"/>
    </xf>
    <xf numFmtId="0" fontId="7" fillId="2" borderId="69" xfId="0" applyFont="1" applyFill="1" applyBorder="1" applyAlignment="1" applyProtection="1">
      <alignment horizontal="center" vertical="center"/>
      <protection locked="0"/>
    </xf>
    <xf numFmtId="0" fontId="27" fillId="2" borderId="66" xfId="0" applyFont="1" applyFill="1" applyBorder="1" applyAlignment="1" applyProtection="1">
      <alignment vertical="center"/>
      <protection locked="0"/>
    </xf>
    <xf numFmtId="0" fontId="27" fillId="2" borderId="35" xfId="0" applyFont="1" applyFill="1" applyBorder="1" applyAlignment="1" applyProtection="1">
      <alignment horizontal="center" vertical="center"/>
      <protection locked="0"/>
    </xf>
    <xf numFmtId="172" fontId="27" fillId="2" borderId="36" xfId="2" applyNumberFormat="1" applyFont="1" applyFill="1" applyBorder="1" applyAlignment="1" applyProtection="1">
      <alignment vertical="center"/>
      <protection locked="0"/>
    </xf>
    <xf numFmtId="41" fontId="27" fillId="2" borderId="37" xfId="2" applyNumberFormat="1" applyFont="1" applyFill="1" applyBorder="1" applyAlignment="1" applyProtection="1">
      <alignment vertical="center"/>
      <protection locked="0"/>
    </xf>
    <xf numFmtId="0" fontId="4" fillId="2" borderId="49" xfId="0" applyFont="1" applyFill="1" applyBorder="1" applyAlignment="1" applyProtection="1">
      <alignment vertical="center"/>
      <protection locked="0"/>
    </xf>
    <xf numFmtId="0" fontId="27" fillId="2" borderId="49" xfId="0" applyFont="1" applyFill="1" applyBorder="1" applyAlignment="1" applyProtection="1">
      <alignment horizontal="center" vertical="center"/>
      <protection locked="0"/>
    </xf>
    <xf numFmtId="172" fontId="27" fillId="2" borderId="28" xfId="2" applyNumberFormat="1" applyFont="1" applyFill="1" applyBorder="1" applyAlignment="1" applyProtection="1">
      <alignment vertical="center"/>
      <protection locked="0"/>
    </xf>
    <xf numFmtId="41" fontId="27" fillId="2" borderId="35" xfId="2" applyNumberFormat="1" applyFont="1" applyFill="1" applyBorder="1" applyAlignment="1" applyProtection="1">
      <alignment vertical="center"/>
      <protection locked="0"/>
    </xf>
    <xf numFmtId="0" fontId="27" fillId="2" borderId="60" xfId="0" applyFont="1" applyFill="1" applyBorder="1" applyAlignment="1" applyProtection="1">
      <alignment vertical="center"/>
      <protection locked="0"/>
    </xf>
    <xf numFmtId="0" fontId="27" fillId="2" borderId="28" xfId="0" applyFont="1" applyFill="1" applyBorder="1" applyAlignment="1" applyProtection="1">
      <alignment horizontal="center" vertical="center"/>
      <protection locked="0"/>
    </xf>
    <xf numFmtId="0" fontId="27" fillId="2" borderId="49" xfId="0" applyFont="1" applyFill="1" applyBorder="1" applyAlignment="1" applyProtection="1">
      <alignment vertical="center"/>
      <protection locked="0"/>
    </xf>
    <xf numFmtId="0" fontId="27" fillId="2" borderId="28" xfId="0" applyFont="1" applyFill="1" applyBorder="1" applyAlignment="1" applyProtection="1">
      <alignment vertical="center"/>
      <protection locked="0"/>
    </xf>
    <xf numFmtId="41" fontId="27" fillId="2" borderId="28" xfId="2" applyNumberFormat="1" applyFont="1" applyFill="1" applyBorder="1" applyAlignment="1" applyProtection="1">
      <alignment vertical="center"/>
      <protection locked="0"/>
    </xf>
    <xf numFmtId="0" fontId="27" fillId="2" borderId="67" xfId="0" applyFont="1" applyFill="1" applyBorder="1" applyAlignment="1" applyProtection="1">
      <alignment vertical="center"/>
      <protection locked="0"/>
    </xf>
    <xf numFmtId="0" fontId="27" fillId="2" borderId="68" xfId="0" applyFont="1" applyFill="1" applyBorder="1" applyAlignment="1" applyProtection="1">
      <alignment vertical="center"/>
      <protection locked="0"/>
    </xf>
    <xf numFmtId="172" fontId="27" fillId="2" borderId="68" xfId="2" applyNumberFormat="1" applyFont="1" applyFill="1" applyBorder="1" applyAlignment="1" applyProtection="1">
      <alignment vertical="center"/>
      <protection locked="0"/>
    </xf>
    <xf numFmtId="41" fontId="27" fillId="2" borderId="75" xfId="2" applyNumberFormat="1" applyFont="1" applyFill="1" applyBorder="1" applyAlignment="1" applyProtection="1">
      <alignment vertical="center"/>
      <protection locked="0"/>
    </xf>
    <xf numFmtId="41" fontId="27" fillId="2" borderId="34" xfId="2" applyNumberFormat="1" applyFont="1" applyFill="1" applyBorder="1" applyAlignment="1" applyProtection="1">
      <alignment vertical="center"/>
      <protection locked="0"/>
    </xf>
    <xf numFmtId="172" fontId="27" fillId="0" borderId="45" xfId="2" applyNumberFormat="1" applyFont="1" applyBorder="1" applyAlignment="1" applyProtection="1">
      <alignment vertical="center"/>
      <protection locked="0"/>
    </xf>
    <xf numFmtId="41" fontId="27" fillId="0" borderId="45" xfId="2" applyNumberFormat="1" applyFont="1" applyBorder="1" applyAlignment="1" applyProtection="1">
      <alignment vertical="center"/>
      <protection locked="0"/>
    </xf>
    <xf numFmtId="0" fontId="3" fillId="0" borderId="0" xfId="0" applyFont="1" applyAlignment="1" applyProtection="1">
      <alignment vertical="top" wrapText="1"/>
      <protection locked="0"/>
    </xf>
    <xf numFmtId="0" fontId="3" fillId="0" borderId="0" xfId="0" applyFont="1" applyAlignment="1" applyProtection="1">
      <alignment horizontal="center" vertical="top" wrapText="1"/>
      <protection locked="0"/>
    </xf>
    <xf numFmtId="14" fontId="18" fillId="0" borderId="28" xfId="0" applyNumberFormat="1" applyFont="1" applyBorder="1" applyAlignment="1" applyProtection="1">
      <alignment vertical="center" textRotation="90"/>
      <protection locked="0"/>
    </xf>
    <xf numFmtId="0" fontId="0" fillId="0" borderId="0" xfId="0" applyProtection="1">
      <protection locked="0"/>
    </xf>
    <xf numFmtId="0" fontId="29" fillId="0" borderId="0" xfId="0" applyFont="1" applyAlignment="1" applyProtection="1">
      <alignment horizontal="center"/>
      <protection locked="0"/>
    </xf>
    <xf numFmtId="0" fontId="30" fillId="0" borderId="0" xfId="0" applyFont="1" applyProtection="1">
      <protection locked="0"/>
    </xf>
    <xf numFmtId="10" fontId="27" fillId="0" borderId="0" xfId="0" applyNumberFormat="1" applyFont="1" applyAlignment="1" applyProtection="1">
      <alignment horizontal="right"/>
      <protection locked="0"/>
    </xf>
    <xf numFmtId="0" fontId="31" fillId="0" borderId="0" xfId="0" applyFont="1" applyProtection="1">
      <protection locked="0"/>
    </xf>
    <xf numFmtId="0" fontId="31" fillId="0" borderId="0" xfId="0" applyFont="1" applyAlignment="1">
      <alignment horizontal="left"/>
    </xf>
    <xf numFmtId="0" fontId="30" fillId="0" borderId="0" xfId="0" applyFont="1" applyAlignment="1" applyProtection="1">
      <alignment horizontal="right"/>
      <protection locked="0"/>
    </xf>
    <xf numFmtId="0" fontId="31" fillId="0" borderId="0" xfId="0" applyFont="1" applyAlignment="1" applyProtection="1">
      <alignment horizontal="left"/>
      <protection locked="0"/>
    </xf>
    <xf numFmtId="0" fontId="30" fillId="0" borderId="0" xfId="0" applyFont="1" applyAlignment="1" applyProtection="1">
      <alignment horizontal="center"/>
      <protection locked="0"/>
    </xf>
    <xf numFmtId="41" fontId="27" fillId="0" borderId="28" xfId="5" applyNumberFormat="1" applyFont="1" applyBorder="1" applyAlignment="1" applyProtection="1">
      <alignment vertical="center"/>
      <protection locked="0"/>
    </xf>
    <xf numFmtId="0" fontId="30" fillId="0" borderId="0" xfId="5" applyFont="1" applyProtection="1">
      <protection locked="0"/>
    </xf>
    <xf numFmtId="41" fontId="27" fillId="0" borderId="28" xfId="5" applyNumberFormat="1" applyFont="1" applyBorder="1" applyProtection="1">
      <protection locked="0"/>
    </xf>
    <xf numFmtId="41" fontId="30" fillId="0" borderId="0" xfId="0" applyNumberFormat="1" applyFont="1" applyProtection="1">
      <protection locked="0"/>
    </xf>
    <xf numFmtId="41" fontId="30" fillId="0" borderId="28" xfId="0" applyNumberFormat="1" applyFont="1" applyBorder="1" applyProtection="1">
      <protection locked="0"/>
    </xf>
    <xf numFmtId="41" fontId="30" fillId="0" borderId="28" xfId="0" applyNumberFormat="1" applyFont="1" applyBorder="1"/>
    <xf numFmtId="41" fontId="30" fillId="0" borderId="36" xfId="2" applyNumberFormat="1" applyFont="1" applyFill="1" applyBorder="1" applyAlignment="1" applyProtection="1">
      <protection locked="0"/>
    </xf>
    <xf numFmtId="41" fontId="30" fillId="0" borderId="0" xfId="2" applyNumberFormat="1" applyFont="1" applyAlignment="1" applyProtection="1">
      <protection locked="0"/>
    </xf>
    <xf numFmtId="41" fontId="30" fillId="0" borderId="17" xfId="0" applyNumberFormat="1" applyFont="1" applyBorder="1" applyProtection="1">
      <protection locked="0"/>
    </xf>
    <xf numFmtId="0" fontId="30" fillId="0" borderId="36" xfId="0" applyFont="1" applyBorder="1" applyProtection="1">
      <protection locked="0"/>
    </xf>
    <xf numFmtId="0" fontId="30" fillId="0" borderId="61" xfId="0" applyFont="1" applyBorder="1" applyProtection="1">
      <protection locked="0"/>
    </xf>
    <xf numFmtId="41" fontId="30" fillId="0" borderId="49" xfId="0" applyNumberFormat="1" applyFont="1" applyBorder="1"/>
    <xf numFmtId="41" fontId="30" fillId="0" borderId="28" xfId="0" applyNumberFormat="1" applyFont="1" applyBorder="1" applyAlignment="1">
      <alignment vertical="center"/>
    </xf>
    <xf numFmtId="173" fontId="0" fillId="0" borderId="0" xfId="4" applyNumberFormat="1" applyFont="1" applyProtection="1">
      <protection locked="0"/>
    </xf>
    <xf numFmtId="41" fontId="0" fillId="0" borderId="0" xfId="0" applyNumberFormat="1" applyProtection="1">
      <protection locked="0"/>
    </xf>
    <xf numFmtId="164" fontId="0" fillId="0" borderId="0" xfId="4" applyNumberFormat="1" applyFont="1" applyProtection="1">
      <protection locked="0"/>
    </xf>
    <xf numFmtId="181" fontId="0" fillId="0" borderId="0" xfId="0" applyNumberFormat="1" applyProtection="1">
      <protection locked="0"/>
    </xf>
    <xf numFmtId="173" fontId="31" fillId="0" borderId="28" xfId="0" applyNumberFormat="1" applyFont="1" applyBorder="1"/>
    <xf numFmtId="164" fontId="0" fillId="0" borderId="0" xfId="0" applyNumberFormat="1" applyProtection="1">
      <protection locked="0"/>
    </xf>
    <xf numFmtId="0" fontId="30" fillId="0" borderId="13" xfId="0" applyFont="1" applyBorder="1" applyProtection="1">
      <protection locked="0"/>
    </xf>
    <xf numFmtId="41" fontId="31" fillId="0" borderId="13" xfId="0" applyNumberFormat="1" applyFont="1" applyBorder="1"/>
    <xf numFmtId="0" fontId="30" fillId="0" borderId="0" xfId="0" applyFont="1" applyAlignment="1" applyProtection="1">
      <alignment horizontal="center" vertical="center"/>
      <protection locked="0"/>
    </xf>
    <xf numFmtId="173" fontId="32" fillId="0" borderId="0" xfId="0" applyNumberFormat="1" applyFont="1" applyProtection="1">
      <protection locked="0"/>
    </xf>
    <xf numFmtId="173" fontId="0" fillId="0" borderId="0" xfId="0" applyNumberFormat="1" applyProtection="1">
      <protection locked="0"/>
    </xf>
    <xf numFmtId="41" fontId="31" fillId="0" borderId="0" xfId="0" applyNumberFormat="1" applyFont="1"/>
    <xf numFmtId="173" fontId="30" fillId="0" borderId="0" xfId="4" applyNumberFormat="1" applyFont="1" applyFill="1" applyAlignment="1" applyProtection="1">
      <alignment horizontal="center" vertical="center"/>
      <protection locked="0"/>
    </xf>
    <xf numFmtId="173" fontId="33" fillId="0" borderId="0" xfId="4" applyNumberFormat="1" applyFont="1" applyFill="1" applyAlignment="1" applyProtection="1">
      <alignment horizontal="center" vertical="center"/>
    </xf>
    <xf numFmtId="10" fontId="0" fillId="0" borderId="0" xfId="0" applyNumberFormat="1" applyProtection="1">
      <protection locked="0"/>
    </xf>
    <xf numFmtId="0" fontId="4" fillId="0" borderId="0" xfId="0" applyFont="1" applyProtection="1">
      <protection locked="0"/>
    </xf>
    <xf numFmtId="0" fontId="8" fillId="0" borderId="0" xfId="0" applyFont="1" applyAlignment="1" applyProtection="1">
      <alignment horizontal="right"/>
      <protection locked="0"/>
    </xf>
    <xf numFmtId="0" fontId="32" fillId="0" borderId="0" xfId="0" applyFont="1" applyProtection="1">
      <protection locked="0"/>
    </xf>
    <xf numFmtId="41" fontId="3" fillId="0" borderId="0" xfId="2" applyNumberFormat="1" applyFont="1" applyProtection="1">
      <protection locked="0"/>
    </xf>
    <xf numFmtId="0" fontId="22" fillId="0" borderId="0" xfId="0" applyFont="1" applyProtection="1">
      <protection locked="0"/>
    </xf>
    <xf numFmtId="41" fontId="3" fillId="0" borderId="0" xfId="0" applyNumberFormat="1" applyFont="1" applyProtection="1">
      <protection locked="0"/>
    </xf>
    <xf numFmtId="3" fontId="8" fillId="0" borderId="0" xfId="0" applyNumberFormat="1" applyFont="1" applyProtection="1">
      <protection locked="0"/>
    </xf>
    <xf numFmtId="165" fontId="3" fillId="0" borderId="0" xfId="0" applyNumberFormat="1" applyFont="1" applyProtection="1">
      <protection locked="0"/>
    </xf>
    <xf numFmtId="0" fontId="8" fillId="0" borderId="0" xfId="0" applyFont="1" applyAlignment="1" applyProtection="1">
      <alignment horizontal="center"/>
      <protection locked="0"/>
    </xf>
    <xf numFmtId="3" fontId="3" fillId="0" borderId="0" xfId="0" applyNumberFormat="1" applyFont="1" applyProtection="1">
      <protection locked="0"/>
    </xf>
    <xf numFmtId="0" fontId="0" fillId="0" borderId="0" xfId="0" applyAlignment="1" applyProtection="1">
      <alignment vertical="center"/>
      <protection locked="0"/>
    </xf>
    <xf numFmtId="0" fontId="35" fillId="0" borderId="0" xfId="0" applyFont="1" applyAlignment="1" applyProtection="1">
      <alignment horizontal="center"/>
      <protection locked="0"/>
    </xf>
    <xf numFmtId="0" fontId="36" fillId="0" borderId="0" xfId="0" applyFont="1" applyProtection="1">
      <protection locked="0"/>
    </xf>
    <xf numFmtId="0" fontId="37" fillId="0" borderId="0" xfId="0" applyFont="1" applyProtection="1">
      <protection locked="0"/>
    </xf>
    <xf numFmtId="15" fontId="0" fillId="0" borderId="55" xfId="0" applyNumberFormat="1" applyBorder="1" applyAlignment="1" applyProtection="1">
      <alignment horizontal="center"/>
      <protection locked="0"/>
    </xf>
    <xf numFmtId="0" fontId="0" fillId="0" borderId="67" xfId="0" applyBorder="1" applyAlignment="1" applyProtection="1">
      <alignment horizontal="center"/>
      <protection locked="0"/>
    </xf>
    <xf numFmtId="0" fontId="0" fillId="0" borderId="24" xfId="0" applyBorder="1" applyAlignment="1" applyProtection="1">
      <alignment vertical="center"/>
      <protection locked="0"/>
    </xf>
    <xf numFmtId="0" fontId="0" fillId="0" borderId="8" xfId="0" applyBorder="1" applyProtection="1">
      <protection locked="0"/>
    </xf>
    <xf numFmtId="0" fontId="0" fillId="0" borderId="52" xfId="0" applyBorder="1" applyProtection="1">
      <protection locked="0"/>
    </xf>
    <xf numFmtId="41" fontId="0" fillId="0" borderId="58" xfId="3" applyNumberFormat="1" applyFont="1" applyBorder="1" applyAlignment="1" applyProtection="1"/>
    <xf numFmtId="41" fontId="0" fillId="0" borderId="32" xfId="3" applyNumberFormat="1" applyFont="1" applyBorder="1" applyAlignment="1" applyProtection="1"/>
    <xf numFmtId="0" fontId="0" fillId="0" borderId="19" xfId="0" applyBorder="1" applyProtection="1">
      <protection locked="0"/>
    </xf>
    <xf numFmtId="0" fontId="0" fillId="0" borderId="38" xfId="0" applyBorder="1" applyProtection="1">
      <protection locked="0"/>
    </xf>
    <xf numFmtId="41" fontId="0" fillId="0" borderId="66" xfId="3" applyNumberFormat="1" applyFont="1" applyBorder="1" applyAlignment="1" applyProtection="1">
      <protection locked="0"/>
    </xf>
    <xf numFmtId="41" fontId="0" fillId="0" borderId="35" xfId="3" applyNumberFormat="1" applyFont="1" applyBorder="1" applyAlignment="1" applyProtection="1">
      <protection locked="0"/>
    </xf>
    <xf numFmtId="41" fontId="0" fillId="0" borderId="34" xfId="3" applyNumberFormat="1" applyFont="1" applyBorder="1" applyAlignment="1" applyProtection="1"/>
    <xf numFmtId="41" fontId="0" fillId="0" borderId="28" xfId="3" applyNumberFormat="1" applyFont="1" applyBorder="1" applyAlignment="1" applyProtection="1">
      <protection locked="0"/>
    </xf>
    <xf numFmtId="0" fontId="0" fillId="0" borderId="15" xfId="0" applyBorder="1" applyProtection="1">
      <protection locked="0"/>
    </xf>
    <xf numFmtId="0" fontId="0" fillId="0" borderId="33" xfId="0" applyBorder="1" applyProtection="1">
      <protection locked="0"/>
    </xf>
    <xf numFmtId="177" fontId="0" fillId="0" borderId="28" xfId="3" applyNumberFormat="1" applyFont="1" applyBorder="1" applyAlignment="1" applyProtection="1">
      <protection locked="0"/>
    </xf>
    <xf numFmtId="41" fontId="0" fillId="0" borderId="60" xfId="3" applyNumberFormat="1" applyFont="1" applyBorder="1" applyAlignment="1" applyProtection="1">
      <protection locked="0"/>
    </xf>
    <xf numFmtId="0" fontId="0" fillId="0" borderId="16" xfId="0" applyBorder="1" applyProtection="1">
      <protection locked="0"/>
    </xf>
    <xf numFmtId="0" fontId="0" fillId="0" borderId="40" xfId="0" applyBorder="1" applyProtection="1">
      <protection locked="0"/>
    </xf>
    <xf numFmtId="41" fontId="0" fillId="0" borderId="60" xfId="3" applyNumberFormat="1" applyFont="1" applyBorder="1" applyAlignment="1" applyProtection="1"/>
    <xf numFmtId="41" fontId="0" fillId="0" borderId="49" xfId="3" applyNumberFormat="1" applyFont="1" applyBorder="1" applyAlignment="1" applyProtection="1">
      <protection locked="0"/>
    </xf>
    <xf numFmtId="41" fontId="0" fillId="0" borderId="61" xfId="3" applyNumberFormat="1" applyFont="1" applyBorder="1" applyAlignment="1" applyProtection="1">
      <protection locked="0"/>
    </xf>
    <xf numFmtId="41" fontId="0" fillId="0" borderId="36" xfId="3" applyNumberFormat="1" applyFont="1" applyBorder="1" applyAlignment="1" applyProtection="1">
      <protection locked="0"/>
    </xf>
    <xf numFmtId="41" fontId="0" fillId="0" borderId="37" xfId="3" applyNumberFormat="1" applyFont="1" applyBorder="1" applyAlignment="1" applyProtection="1">
      <protection locked="0"/>
    </xf>
    <xf numFmtId="41" fontId="0" fillId="0" borderId="49" xfId="3" applyNumberFormat="1" applyFont="1" applyBorder="1" applyAlignment="1" applyProtection="1"/>
    <xf numFmtId="0" fontId="0" fillId="0" borderId="24" xfId="0" applyBorder="1" applyProtection="1">
      <protection locked="0"/>
    </xf>
    <xf numFmtId="0" fontId="0" fillId="0" borderId="61" xfId="3" applyNumberFormat="1" applyFont="1" applyBorder="1" applyAlignment="1" applyProtection="1">
      <protection locked="0"/>
    </xf>
    <xf numFmtId="0" fontId="0" fillId="0" borderId="5" xfId="0" applyBorder="1" applyProtection="1">
      <protection locked="0"/>
    </xf>
    <xf numFmtId="0" fontId="0" fillId="0" borderId="64" xfId="0" applyBorder="1" applyProtection="1">
      <protection locked="0"/>
    </xf>
    <xf numFmtId="41" fontId="0" fillId="0" borderId="67" xfId="2" applyNumberFormat="1" applyFont="1" applyBorder="1" applyAlignment="1" applyProtection="1"/>
    <xf numFmtId="41" fontId="0" fillId="0" borderId="46" xfId="2" applyNumberFormat="1" applyFont="1" applyBorder="1" applyAlignment="1" applyProtection="1"/>
    <xf numFmtId="0" fontId="38" fillId="0" borderId="47" xfId="0" applyFont="1" applyBorder="1" applyProtection="1">
      <protection locked="0"/>
    </xf>
    <xf numFmtId="41" fontId="0" fillId="0" borderId="0" xfId="3" applyNumberFormat="1" applyFont="1" applyFill="1" applyBorder="1" applyAlignment="1" applyProtection="1">
      <protection locked="0"/>
    </xf>
    <xf numFmtId="41" fontId="0" fillId="0" borderId="0" xfId="0" applyNumberFormat="1" applyAlignment="1" applyProtection="1">
      <alignment vertical="center"/>
      <protection locked="0"/>
    </xf>
    <xf numFmtId="0" fontId="26" fillId="0" borderId="0" xfId="0" applyFont="1" applyProtection="1">
      <protection locked="0"/>
    </xf>
    <xf numFmtId="173" fontId="3" fillId="0" borderId="0" xfId="0" applyNumberFormat="1" applyFont="1" applyProtection="1">
      <protection locked="0"/>
    </xf>
    <xf numFmtId="175" fontId="3" fillId="0" borderId="0" xfId="2" applyNumberFormat="1" applyFont="1" applyProtection="1">
      <protection locked="0"/>
    </xf>
    <xf numFmtId="175" fontId="3" fillId="0" borderId="0" xfId="2" applyNumberFormat="1" applyFont="1" applyBorder="1" applyProtection="1">
      <protection locked="0"/>
    </xf>
    <xf numFmtId="0" fontId="7" fillId="0" borderId="8" xfId="0" applyFont="1" applyBorder="1" applyAlignment="1" applyProtection="1">
      <alignment horizontal="center" vertical="center"/>
      <protection locked="0"/>
    </xf>
    <xf numFmtId="0" fontId="7" fillId="0" borderId="10" xfId="0" applyFont="1" applyBorder="1" applyAlignment="1" applyProtection="1">
      <alignment horizontal="center" vertical="center"/>
      <protection locked="0"/>
    </xf>
    <xf numFmtId="0" fontId="8" fillId="0" borderId="4" xfId="0" applyFont="1" applyBorder="1" applyAlignment="1" applyProtection="1">
      <alignment vertical="center"/>
      <protection locked="0"/>
    </xf>
    <xf numFmtId="0" fontId="8" fillId="0" borderId="20" xfId="0" applyFont="1" applyBorder="1" applyAlignment="1" applyProtection="1">
      <alignment vertical="center"/>
      <protection locked="0"/>
    </xf>
    <xf numFmtId="0" fontId="7" fillId="0" borderId="6" xfId="0" applyFont="1" applyBorder="1" applyAlignment="1" applyProtection="1">
      <alignment horizontal="center" vertical="center"/>
      <protection locked="0"/>
    </xf>
    <xf numFmtId="0" fontId="7" fillId="0" borderId="23" xfId="0" applyFont="1" applyBorder="1" applyAlignment="1" applyProtection="1">
      <alignment horizontal="center" vertical="center"/>
      <protection locked="0"/>
    </xf>
    <xf numFmtId="0" fontId="3" fillId="0" borderId="24" xfId="0" applyFont="1" applyBorder="1" applyProtection="1">
      <protection locked="0"/>
    </xf>
    <xf numFmtId="0" fontId="3" fillId="0" borderId="0" xfId="0" applyFont="1" applyAlignment="1" applyProtection="1">
      <alignment horizontal="center" vertical="top"/>
      <protection locked="0"/>
    </xf>
    <xf numFmtId="0" fontId="26" fillId="0" borderId="15" xfId="5" applyFont="1" applyBorder="1" applyAlignment="1" applyProtection="1">
      <alignment horizontal="center" vertical="center"/>
      <protection locked="0"/>
    </xf>
    <xf numFmtId="0" fontId="26" fillId="0" borderId="8" xfId="6" applyFont="1" applyBorder="1" applyAlignment="1" applyProtection="1">
      <alignment vertical="center"/>
      <protection locked="0"/>
    </xf>
    <xf numFmtId="0" fontId="26" fillId="0" borderId="12" xfId="6" applyFont="1" applyBorder="1" applyAlignment="1">
      <alignment vertical="center"/>
    </xf>
    <xf numFmtId="41" fontId="26" fillId="0" borderId="12" xfId="2" applyNumberFormat="1" applyFont="1" applyBorder="1" applyAlignment="1" applyProtection="1">
      <alignment horizontal="right" vertical="center"/>
      <protection locked="0"/>
    </xf>
    <xf numFmtId="41" fontId="26" fillId="0" borderId="13" xfId="2" applyNumberFormat="1" applyFont="1" applyBorder="1" applyAlignment="1" applyProtection="1">
      <alignment horizontal="right" vertical="center"/>
      <protection locked="0"/>
    </xf>
    <xf numFmtId="41" fontId="26" fillId="0" borderId="12" xfId="2" applyNumberFormat="1" applyFont="1" applyBorder="1" applyAlignment="1" applyProtection="1">
      <alignment horizontal="center" vertical="center"/>
      <protection locked="0"/>
    </xf>
    <xf numFmtId="41" fontId="26" fillId="0" borderId="12" xfId="2" applyNumberFormat="1" applyFont="1" applyBorder="1" applyAlignment="1" applyProtection="1">
      <alignment vertical="center"/>
    </xf>
    <xf numFmtId="41" fontId="26" fillId="0" borderId="13" xfId="2" applyNumberFormat="1" applyFont="1" applyBorder="1" applyAlignment="1" applyProtection="1">
      <alignment vertical="center"/>
    </xf>
    <xf numFmtId="175" fontId="26" fillId="0" borderId="12" xfId="2" applyNumberFormat="1" applyFont="1" applyBorder="1" applyAlignment="1" applyProtection="1">
      <alignment vertical="center"/>
    </xf>
    <xf numFmtId="9" fontId="26" fillId="0" borderId="14" xfId="4" applyFont="1" applyBorder="1" applyAlignment="1" applyProtection="1">
      <alignment vertical="center"/>
      <protection locked="0"/>
    </xf>
    <xf numFmtId="175" fontId="26" fillId="0" borderId="14" xfId="2" applyNumberFormat="1" applyFont="1" applyBorder="1" applyAlignment="1" applyProtection="1">
      <alignment vertical="center"/>
    </xf>
    <xf numFmtId="180" fontId="26" fillId="2" borderId="10" xfId="1" applyNumberFormat="1" applyFont="1" applyFill="1" applyBorder="1" applyAlignment="1" applyProtection="1">
      <alignment vertical="center"/>
      <protection locked="0"/>
    </xf>
    <xf numFmtId="41" fontId="3" fillId="0" borderId="0" xfId="2" applyNumberFormat="1" applyFont="1" applyProtection="1"/>
    <xf numFmtId="0" fontId="26" fillId="0" borderId="16" xfId="6" applyFont="1" applyBorder="1" applyAlignment="1" applyProtection="1">
      <alignment vertical="center"/>
      <protection locked="0"/>
    </xf>
    <xf numFmtId="0" fontId="26" fillId="0" borderId="16" xfId="6" applyFont="1" applyBorder="1" applyAlignment="1">
      <alignment vertical="center"/>
    </xf>
    <xf numFmtId="41" fontId="26" fillId="0" borderId="16" xfId="2" applyNumberFormat="1" applyFont="1" applyBorder="1" applyAlignment="1" applyProtection="1">
      <alignment horizontal="right" vertical="center"/>
      <protection locked="0"/>
    </xf>
    <xf numFmtId="41" fontId="26" fillId="0" borderId="17" xfId="2" applyNumberFormat="1" applyFont="1" applyBorder="1" applyAlignment="1" applyProtection="1">
      <alignment horizontal="right" vertical="center"/>
      <protection locked="0"/>
    </xf>
    <xf numFmtId="41" fontId="26" fillId="0" borderId="16" xfId="2" applyNumberFormat="1" applyFont="1" applyBorder="1" applyAlignment="1" applyProtection="1">
      <alignment horizontal="center" vertical="center"/>
      <protection locked="0"/>
    </xf>
    <xf numFmtId="180" fontId="26" fillId="2" borderId="18" xfId="1" applyNumberFormat="1" applyFont="1" applyFill="1" applyBorder="1" applyAlignment="1" applyProtection="1">
      <alignment vertical="center"/>
      <protection locked="0"/>
    </xf>
    <xf numFmtId="175" fontId="26" fillId="0" borderId="16" xfId="2" applyNumberFormat="1" applyFont="1" applyBorder="1" applyAlignment="1" applyProtection="1">
      <alignment vertical="center"/>
    </xf>
    <xf numFmtId="41" fontId="26" fillId="0" borderId="65" xfId="2" applyNumberFormat="1" applyFont="1" applyBorder="1" applyAlignment="1" applyProtection="1">
      <alignment horizontal="right" vertical="center"/>
      <protection locked="0"/>
    </xf>
    <xf numFmtId="180" fontId="26" fillId="2" borderId="34" xfId="1" applyNumberFormat="1" applyFont="1" applyFill="1" applyBorder="1" applyAlignment="1" applyProtection="1">
      <alignment vertical="center"/>
      <protection locked="0"/>
    </xf>
    <xf numFmtId="41" fontId="26" fillId="0" borderId="18" xfId="2" applyNumberFormat="1" applyFont="1" applyBorder="1" applyAlignment="1" applyProtection="1">
      <alignment vertical="center"/>
      <protection locked="0"/>
    </xf>
    <xf numFmtId="9" fontId="26" fillId="0" borderId="18" xfId="2" applyNumberFormat="1" applyFont="1" applyBorder="1" applyAlignment="1" applyProtection="1">
      <alignment vertical="center"/>
      <protection locked="0"/>
    </xf>
    <xf numFmtId="0" fontId="26" fillId="0" borderId="16" xfId="0" applyFont="1" applyBorder="1" applyAlignment="1" applyProtection="1">
      <alignment vertical="center"/>
      <protection locked="0"/>
    </xf>
    <xf numFmtId="0" fontId="26" fillId="0" borderId="16" xfId="5" applyFont="1" applyBorder="1" applyAlignment="1" applyProtection="1">
      <alignment vertical="center"/>
      <protection locked="0"/>
    </xf>
    <xf numFmtId="180" fontId="26" fillId="2" borderId="50" xfId="1" applyNumberFormat="1" applyFont="1" applyFill="1" applyBorder="1" applyAlignment="1" applyProtection="1">
      <alignment vertical="center"/>
      <protection locked="0"/>
    </xf>
    <xf numFmtId="9" fontId="26" fillId="0" borderId="14" xfId="2" applyNumberFormat="1" applyFont="1" applyBorder="1" applyAlignment="1" applyProtection="1">
      <alignment vertical="center"/>
      <protection locked="0"/>
    </xf>
    <xf numFmtId="180" fontId="26" fillId="2" borderId="39" xfId="1" applyNumberFormat="1" applyFont="1" applyFill="1" applyBorder="1" applyAlignment="1" applyProtection="1">
      <alignment vertical="center"/>
      <protection locked="0"/>
    </xf>
    <xf numFmtId="0" fontId="26" fillId="0" borderId="21" xfId="5" applyFont="1" applyBorder="1" applyAlignment="1" applyProtection="1">
      <alignment vertical="center"/>
      <protection locked="0"/>
    </xf>
    <xf numFmtId="0" fontId="26" fillId="0" borderId="21" xfId="5" applyFont="1" applyBorder="1" applyAlignment="1">
      <alignment vertical="center"/>
    </xf>
    <xf numFmtId="41" fontId="26" fillId="0" borderId="21" xfId="2" applyNumberFormat="1" applyFont="1" applyBorder="1" applyAlignment="1" applyProtection="1">
      <alignment horizontal="right" vertical="center"/>
      <protection locked="0"/>
    </xf>
    <xf numFmtId="41" fontId="26" fillId="0" borderId="74" xfId="2" applyNumberFormat="1" applyFont="1" applyBorder="1" applyAlignment="1" applyProtection="1">
      <alignment horizontal="right" vertical="center"/>
      <protection locked="0"/>
    </xf>
    <xf numFmtId="41" fontId="26" fillId="0" borderId="21" xfId="2" applyNumberFormat="1" applyFont="1" applyBorder="1" applyAlignment="1" applyProtection="1">
      <alignment horizontal="center" vertical="center"/>
      <protection locked="0"/>
    </xf>
    <xf numFmtId="41" fontId="26" fillId="0" borderId="4" xfId="2" applyNumberFormat="1" applyFont="1" applyBorder="1" applyAlignment="1" applyProtection="1">
      <alignment vertical="center"/>
    </xf>
    <xf numFmtId="41" fontId="26" fillId="0" borderId="20" xfId="2" applyNumberFormat="1" applyFont="1" applyBorder="1" applyAlignment="1" applyProtection="1">
      <alignment vertical="center"/>
    </xf>
    <xf numFmtId="175" fontId="26" fillId="0" borderId="21" xfId="2" applyNumberFormat="1" applyFont="1" applyBorder="1" applyAlignment="1" applyProtection="1">
      <alignment vertical="center"/>
    </xf>
    <xf numFmtId="175" fontId="26" fillId="0" borderId="50" xfId="2" applyNumberFormat="1" applyFont="1" applyBorder="1" applyAlignment="1" applyProtection="1">
      <alignment vertical="center"/>
    </xf>
    <xf numFmtId="41" fontId="26" fillId="0" borderId="23" xfId="2" applyNumberFormat="1" applyFont="1" applyBorder="1" applyAlignment="1" applyProtection="1">
      <alignment vertical="center"/>
      <protection locked="0"/>
    </xf>
    <xf numFmtId="0" fontId="26" fillId="0" borderId="12" xfId="5" applyFont="1" applyBorder="1" applyAlignment="1" applyProtection="1">
      <alignment vertical="center"/>
      <protection locked="0"/>
    </xf>
    <xf numFmtId="175" fontId="26" fillId="0" borderId="8" xfId="2" applyNumberFormat="1" applyFont="1" applyBorder="1" applyAlignment="1" applyProtection="1">
      <alignment vertical="center"/>
    </xf>
    <xf numFmtId="41" fontId="26" fillId="0" borderId="14" xfId="2" applyNumberFormat="1" applyFont="1" applyBorder="1" applyAlignment="1" applyProtection="1">
      <alignment vertical="center"/>
      <protection locked="0"/>
    </xf>
    <xf numFmtId="0" fontId="26" fillId="0" borderId="16" xfId="5" applyFont="1" applyBorder="1" applyAlignment="1">
      <alignment vertical="center"/>
    </xf>
    <xf numFmtId="41" fontId="26" fillId="0" borderId="63" xfId="2" applyNumberFormat="1" applyFont="1" applyBorder="1" applyAlignment="1" applyProtection="1">
      <alignment horizontal="right" vertical="center"/>
      <protection locked="0"/>
    </xf>
    <xf numFmtId="41" fontId="26" fillId="0" borderId="65" xfId="2" applyNumberFormat="1" applyFont="1" applyBorder="1" applyAlignment="1" applyProtection="1">
      <alignment horizontal="center" vertical="center"/>
      <protection locked="0"/>
    </xf>
    <xf numFmtId="41" fontId="26" fillId="0" borderId="59" xfId="2" applyNumberFormat="1" applyFont="1" applyBorder="1" applyAlignment="1" applyProtection="1">
      <alignment vertical="center"/>
    </xf>
    <xf numFmtId="180" fontId="26" fillId="2" borderId="16" xfId="1" applyNumberFormat="1" applyFont="1" applyFill="1" applyBorder="1" applyAlignment="1" applyProtection="1">
      <alignment vertical="center"/>
      <protection locked="0"/>
    </xf>
    <xf numFmtId="0" fontId="26" fillId="0" borderId="11" xfId="5" applyFont="1" applyBorder="1" applyAlignment="1" applyProtection="1">
      <alignment vertical="center"/>
      <protection locked="0"/>
    </xf>
    <xf numFmtId="41" fontId="26" fillId="0" borderId="16" xfId="2" applyNumberFormat="1" applyFont="1" applyBorder="1" applyAlignment="1" applyProtection="1">
      <alignment vertical="center"/>
    </xf>
    <xf numFmtId="41" fontId="26" fillId="0" borderId="16" xfId="2" applyNumberFormat="1" applyFont="1" applyBorder="1" applyAlignment="1" applyProtection="1">
      <alignment vertical="center"/>
      <protection locked="0"/>
    </xf>
    <xf numFmtId="173" fontId="26" fillId="0" borderId="18" xfId="2" applyNumberFormat="1" applyFont="1" applyBorder="1" applyAlignment="1" applyProtection="1">
      <alignment vertical="center"/>
      <protection locked="0"/>
    </xf>
    <xf numFmtId="0" fontId="10" fillId="0" borderId="29" xfId="0" applyFont="1" applyBorder="1" applyAlignment="1" applyProtection="1">
      <alignment horizontal="center" vertical="center"/>
      <protection locked="0"/>
    </xf>
    <xf numFmtId="0" fontId="26" fillId="0" borderId="29" xfId="0" applyFont="1" applyBorder="1" applyAlignment="1">
      <alignment horizontal="center" vertical="center"/>
    </xf>
    <xf numFmtId="41" fontId="39" fillId="0" borderId="29" xfId="2" applyNumberFormat="1" applyFont="1" applyBorder="1" applyAlignment="1" applyProtection="1">
      <alignment horizontal="center" vertical="center" textRotation="90"/>
    </xf>
    <xf numFmtId="41" fontId="39" fillId="0" borderId="29" xfId="2" applyNumberFormat="1" applyFont="1" applyBorder="1" applyAlignment="1" applyProtection="1">
      <alignment horizontal="center" vertical="center" textRotation="90"/>
      <protection locked="0"/>
    </xf>
    <xf numFmtId="41" fontId="39" fillId="0" borderId="29" xfId="2" applyNumberFormat="1" applyFont="1" applyBorder="1" applyAlignment="1" applyProtection="1">
      <alignment horizontal="center" vertical="center"/>
    </xf>
    <xf numFmtId="173" fontId="26" fillId="0" borderId="29" xfId="4" applyNumberFormat="1" applyFont="1" applyBorder="1" applyAlignment="1" applyProtection="1">
      <alignment horizontal="center" vertical="center"/>
    </xf>
    <xf numFmtId="173" fontId="8" fillId="0" borderId="29" xfId="4" applyNumberFormat="1" applyFont="1" applyBorder="1" applyAlignment="1" applyProtection="1">
      <alignment horizontal="center" vertical="center"/>
      <protection locked="0"/>
    </xf>
    <xf numFmtId="10" fontId="26" fillId="0" borderId="29" xfId="4" applyNumberFormat="1" applyFont="1" applyBorder="1" applyAlignment="1" applyProtection="1">
      <alignment vertical="center"/>
    </xf>
    <xf numFmtId="41" fontId="3" fillId="0" borderId="29" xfId="2" applyNumberFormat="1" applyFont="1" applyBorder="1" applyAlignment="1" applyProtection="1">
      <alignment vertical="center"/>
      <protection locked="0"/>
    </xf>
    <xf numFmtId="41" fontId="8" fillId="0" borderId="0" xfId="2" applyNumberFormat="1" applyFont="1" applyAlignment="1" applyProtection="1">
      <alignment vertical="center"/>
    </xf>
    <xf numFmtId="172" fontId="3" fillId="0" borderId="0" xfId="2" applyNumberFormat="1" applyFont="1" applyBorder="1" applyProtection="1">
      <protection locked="0"/>
    </xf>
    <xf numFmtId="41" fontId="3" fillId="0" borderId="0" xfId="2" applyNumberFormat="1" applyFont="1" applyBorder="1" applyProtection="1">
      <protection locked="0"/>
    </xf>
    <xf numFmtId="173" fontId="3" fillId="0" borderId="0" xfId="2" applyNumberFormat="1" applyFont="1" applyBorder="1" applyProtection="1">
      <protection locked="0"/>
    </xf>
    <xf numFmtId="175" fontId="26" fillId="0" borderId="50" xfId="2" applyNumberFormat="1" applyFont="1" applyBorder="1" applyAlignment="1" applyProtection="1">
      <alignment vertical="center"/>
      <protection locked="0"/>
    </xf>
    <xf numFmtId="172" fontId="3" fillId="0" borderId="0" xfId="2" applyNumberFormat="1" applyFont="1" applyProtection="1">
      <protection locked="0"/>
    </xf>
    <xf numFmtId="41" fontId="26" fillId="0" borderId="29" xfId="2" applyNumberFormat="1" applyFont="1" applyBorder="1" applyAlignment="1" applyProtection="1">
      <alignment horizontal="center" vertical="center"/>
      <protection locked="0"/>
    </xf>
    <xf numFmtId="41" fontId="40" fillId="0" borderId="29" xfId="2" applyNumberFormat="1" applyFont="1" applyBorder="1" applyProtection="1">
      <protection locked="0"/>
    </xf>
    <xf numFmtId="175" fontId="40" fillId="0" borderId="29" xfId="2" applyNumberFormat="1" applyFont="1" applyBorder="1" applyProtection="1">
      <protection locked="0"/>
    </xf>
    <xf numFmtId="173" fontId="40" fillId="0" borderId="29" xfId="2" applyNumberFormat="1" applyFont="1" applyBorder="1" applyProtection="1">
      <protection locked="0"/>
    </xf>
    <xf numFmtId="175" fontId="26" fillId="0" borderId="29" xfId="2" applyNumberFormat="1" applyFont="1" applyBorder="1" applyAlignment="1" applyProtection="1">
      <alignment vertical="center"/>
      <protection locked="0"/>
    </xf>
    <xf numFmtId="0" fontId="26" fillId="0" borderId="32" xfId="5" applyFont="1" applyBorder="1" applyAlignment="1" applyProtection="1">
      <alignment horizontal="center"/>
      <protection locked="0"/>
    </xf>
    <xf numFmtId="0" fontId="26" fillId="0" borderId="14" xfId="5" applyFont="1" applyBorder="1" applyProtection="1">
      <protection locked="0"/>
    </xf>
    <xf numFmtId="0" fontId="26" fillId="0" borderId="14" xfId="5" applyFont="1" applyBorder="1"/>
    <xf numFmtId="41" fontId="26" fillId="0" borderId="14" xfId="2" applyNumberFormat="1" applyFont="1" applyBorder="1" applyProtection="1">
      <protection locked="0"/>
    </xf>
    <xf numFmtId="41" fontId="26" fillId="0" borderId="13" xfId="2" applyNumberFormat="1" applyFont="1" applyBorder="1" applyProtection="1">
      <protection locked="0"/>
    </xf>
    <xf numFmtId="41" fontId="26" fillId="0" borderId="12" xfId="2" applyNumberFormat="1" applyFont="1" applyBorder="1" applyProtection="1">
      <protection locked="0"/>
    </xf>
    <xf numFmtId="41" fontId="26" fillId="0" borderId="12" xfId="2" applyNumberFormat="1" applyFont="1" applyBorder="1" applyProtection="1"/>
    <xf numFmtId="41" fontId="26" fillId="0" borderId="13" xfId="2" applyNumberFormat="1" applyFont="1" applyBorder="1" applyProtection="1"/>
    <xf numFmtId="175" fontId="26" fillId="0" borderId="12" xfId="2" applyNumberFormat="1" applyFont="1" applyBorder="1" applyProtection="1"/>
    <xf numFmtId="173" fontId="26" fillId="0" borderId="14" xfId="2" applyNumberFormat="1" applyFont="1" applyBorder="1" applyProtection="1">
      <protection locked="0"/>
    </xf>
    <xf numFmtId="172" fontId="3" fillId="0" borderId="0" xfId="2" applyNumberFormat="1" applyFont="1" applyProtection="1"/>
    <xf numFmtId="0" fontId="26" fillId="0" borderId="34" xfId="5" applyFont="1" applyBorder="1" applyAlignment="1" applyProtection="1">
      <alignment horizontal="center"/>
      <protection locked="0"/>
    </xf>
    <xf numFmtId="0" fontId="26" fillId="0" borderId="18" xfId="5" applyFont="1" applyBorder="1" applyProtection="1">
      <protection locked="0"/>
    </xf>
    <xf numFmtId="173" fontId="26" fillId="0" borderId="16" xfId="2" applyNumberFormat="1" applyFont="1" applyBorder="1" applyProtection="1">
      <protection locked="0"/>
    </xf>
    <xf numFmtId="41" fontId="26" fillId="0" borderId="65" xfId="2" applyNumberFormat="1" applyFont="1" applyBorder="1" applyProtection="1">
      <protection locked="0"/>
    </xf>
    <xf numFmtId="41" fontId="26" fillId="0" borderId="16" xfId="2" applyNumberFormat="1" applyFont="1" applyBorder="1" applyProtection="1">
      <protection locked="0"/>
    </xf>
    <xf numFmtId="41" fontId="26" fillId="0" borderId="18" xfId="2" applyNumberFormat="1" applyFont="1" applyBorder="1" applyProtection="1">
      <protection locked="0"/>
    </xf>
    <xf numFmtId="41" fontId="26" fillId="0" borderId="17" xfId="2" applyNumberFormat="1" applyFont="1" applyBorder="1" applyProtection="1">
      <protection locked="0"/>
    </xf>
    <xf numFmtId="175" fontId="26" fillId="0" borderId="16" xfId="2" applyNumberFormat="1" applyFont="1" applyBorder="1" applyProtection="1"/>
    <xf numFmtId="41" fontId="26" fillId="0" borderId="50" xfId="2" applyNumberFormat="1" applyFont="1" applyBorder="1" applyProtection="1">
      <protection locked="0"/>
    </xf>
    <xf numFmtId="41" fontId="26" fillId="0" borderId="79" xfId="2" applyNumberFormat="1" applyFont="1" applyBorder="1" applyProtection="1">
      <protection locked="0"/>
    </xf>
    <xf numFmtId="41" fontId="26" fillId="0" borderId="63" xfId="2" applyNumberFormat="1" applyFont="1" applyBorder="1" applyProtection="1">
      <protection locked="0"/>
    </xf>
    <xf numFmtId="175" fontId="26" fillId="0" borderId="65" xfId="2" applyNumberFormat="1" applyFont="1" applyBorder="1" applyProtection="1"/>
    <xf numFmtId="173" fontId="26" fillId="0" borderId="65" xfId="2" applyNumberFormat="1" applyFont="1" applyBorder="1" applyProtection="1">
      <protection locked="0"/>
    </xf>
    <xf numFmtId="0" fontId="26" fillId="0" borderId="12" xfId="5" applyFont="1" applyBorder="1" applyAlignment="1" applyProtection="1">
      <alignment horizontal="center"/>
      <protection locked="0"/>
    </xf>
    <xf numFmtId="0" fontId="26" fillId="0" borderId="6" xfId="0" applyFont="1" applyBorder="1" applyProtection="1">
      <protection locked="0"/>
    </xf>
    <xf numFmtId="41" fontId="26" fillId="0" borderId="6" xfId="2" applyNumberFormat="1" applyFont="1" applyBorder="1" applyProtection="1">
      <protection locked="0"/>
    </xf>
    <xf numFmtId="41" fontId="26" fillId="0" borderId="20" xfId="2" applyNumberFormat="1" applyFont="1" applyBorder="1" applyProtection="1">
      <protection locked="0"/>
    </xf>
    <xf numFmtId="41" fontId="26" fillId="0" borderId="4" xfId="2" applyNumberFormat="1" applyFont="1" applyBorder="1" applyProtection="1">
      <protection locked="0"/>
    </xf>
    <xf numFmtId="41" fontId="26" fillId="0" borderId="59" xfId="2" applyNumberFormat="1" applyFont="1" applyBorder="1" applyProtection="1">
      <protection locked="0"/>
    </xf>
    <xf numFmtId="41" fontId="26" fillId="0" borderId="0" xfId="2" applyNumberFormat="1" applyFont="1" applyBorder="1" applyProtection="1">
      <protection locked="0"/>
    </xf>
    <xf numFmtId="175" fontId="26" fillId="0" borderId="59" xfId="2" applyNumberFormat="1" applyFont="1" applyBorder="1" applyProtection="1"/>
    <xf numFmtId="173" fontId="26" fillId="0" borderId="59" xfId="4" applyNumberFormat="1" applyFont="1" applyBorder="1" applyProtection="1">
      <protection locked="0"/>
    </xf>
    <xf numFmtId="0" fontId="26" fillId="0" borderId="27" xfId="0" applyFont="1" applyBorder="1" applyAlignment="1">
      <alignment horizontal="center" vertical="center"/>
    </xf>
    <xf numFmtId="41" fontId="39" fillId="0" borderId="27" xfId="2" applyNumberFormat="1" applyFont="1" applyBorder="1" applyAlignment="1" applyProtection="1">
      <alignment horizontal="center" textRotation="90"/>
    </xf>
    <xf numFmtId="41" fontId="39" fillId="0" borderId="25" xfId="2" applyNumberFormat="1" applyFont="1" applyBorder="1" applyAlignment="1" applyProtection="1">
      <alignment horizontal="center" textRotation="90"/>
    </xf>
    <xf numFmtId="41" fontId="39" fillId="0" borderId="29" xfId="2" applyNumberFormat="1" applyFont="1" applyBorder="1" applyAlignment="1" applyProtection="1">
      <alignment horizontal="center" textRotation="90"/>
    </xf>
    <xf numFmtId="41" fontId="39" fillId="0" borderId="26" xfId="2" applyNumberFormat="1" applyFont="1" applyBorder="1" applyAlignment="1" applyProtection="1">
      <alignment horizontal="center" textRotation="90"/>
    </xf>
    <xf numFmtId="41" fontId="39" fillId="0" borderId="29" xfId="2" applyNumberFormat="1" applyFont="1" applyBorder="1" applyAlignment="1" applyProtection="1">
      <alignment horizontal="center" textRotation="90"/>
      <protection locked="0"/>
    </xf>
    <xf numFmtId="41" fontId="39" fillId="0" borderId="26" xfId="2" applyNumberFormat="1" applyFont="1" applyBorder="1" applyAlignment="1" applyProtection="1">
      <alignment horizontal="center" vertical="center"/>
    </xf>
    <xf numFmtId="173" fontId="26" fillId="0" borderId="29" xfId="4" applyNumberFormat="1" applyFont="1" applyBorder="1" applyAlignment="1" applyProtection="1">
      <alignment vertical="center"/>
    </xf>
    <xf numFmtId="173" fontId="40" fillId="0" borderId="29" xfId="2" applyNumberFormat="1" applyFont="1" applyBorder="1" applyAlignment="1" applyProtection="1">
      <alignment vertical="center"/>
      <protection locked="0"/>
    </xf>
    <xf numFmtId="173" fontId="26" fillId="0" borderId="29" xfId="2" applyNumberFormat="1" applyFont="1" applyBorder="1" applyAlignment="1" applyProtection="1">
      <alignment vertical="center"/>
    </xf>
    <xf numFmtId="41" fontId="3" fillId="0" borderId="29" xfId="2" applyNumberFormat="1" applyFont="1" applyBorder="1" applyProtection="1">
      <protection locked="0"/>
    </xf>
    <xf numFmtId="41" fontId="39" fillId="2" borderId="27" xfId="2" applyNumberFormat="1" applyFont="1" applyFill="1" applyBorder="1" applyAlignment="1" applyProtection="1">
      <alignment horizontal="center" textRotation="90"/>
    </xf>
    <xf numFmtId="41" fontId="39" fillId="0" borderId="27" xfId="2" applyNumberFormat="1" applyFont="1" applyBorder="1" applyAlignment="1" applyProtection="1">
      <alignment horizontal="center" vertical="center"/>
    </xf>
    <xf numFmtId="10" fontId="26" fillId="0" borderId="1" xfId="4" applyNumberFormat="1" applyFont="1" applyBorder="1" applyAlignment="1" applyProtection="1">
      <alignment vertical="center"/>
    </xf>
    <xf numFmtId="0" fontId="10" fillId="0" borderId="6" xfId="0" applyFont="1" applyBorder="1" applyAlignment="1">
      <alignment horizontal="center" vertical="center"/>
    </xf>
    <xf numFmtId="41" fontId="8" fillId="0" borderId="6" xfId="2" applyNumberFormat="1" applyFont="1" applyBorder="1" applyAlignment="1" applyProtection="1">
      <alignment vertical="center"/>
      <protection locked="0"/>
    </xf>
    <xf numFmtId="41" fontId="8" fillId="0" borderId="4" xfId="2" applyNumberFormat="1" applyFont="1" applyBorder="1" applyAlignment="1" applyProtection="1">
      <alignment vertical="center"/>
      <protection locked="0"/>
    </xf>
    <xf numFmtId="41" fontId="8" fillId="0" borderId="20" xfId="2" applyNumberFormat="1" applyFont="1" applyBorder="1" applyAlignment="1" applyProtection="1">
      <alignment vertical="center"/>
      <protection locked="0"/>
    </xf>
    <xf numFmtId="41" fontId="8" fillId="0" borderId="29" xfId="2" applyNumberFormat="1" applyFont="1" applyBorder="1" applyAlignment="1" applyProtection="1">
      <alignment vertical="center"/>
      <protection locked="0"/>
    </xf>
    <xf numFmtId="41" fontId="8" fillId="0" borderId="75" xfId="2" applyNumberFormat="1" applyFont="1" applyBorder="1" applyAlignment="1" applyProtection="1">
      <alignment vertical="center"/>
      <protection locked="0"/>
    </xf>
    <xf numFmtId="41" fontId="8" fillId="0" borderId="27" xfId="2" applyNumberFormat="1" applyFont="1" applyBorder="1" applyAlignment="1" applyProtection="1">
      <alignment vertical="center"/>
    </xf>
    <xf numFmtId="41" fontId="3" fillId="0" borderId="4" xfId="2" applyNumberFormat="1" applyFont="1" applyBorder="1" applyProtection="1">
      <protection locked="0"/>
    </xf>
    <xf numFmtId="175" fontId="3" fillId="0" borderId="4" xfId="2" applyNumberFormat="1" applyFont="1" applyBorder="1" applyProtection="1">
      <protection locked="0"/>
    </xf>
    <xf numFmtId="173" fontId="3" fillId="0" borderId="4" xfId="2" applyNumberFormat="1" applyFont="1" applyBorder="1" applyProtection="1">
      <protection locked="0"/>
    </xf>
    <xf numFmtId="175" fontId="26" fillId="0" borderId="29" xfId="4" applyNumberFormat="1" applyFont="1" applyBorder="1" applyAlignment="1" applyProtection="1">
      <alignment vertical="center"/>
      <protection locked="0"/>
    </xf>
    <xf numFmtId="10" fontId="3" fillId="0" borderId="0" xfId="0" applyNumberFormat="1" applyFont="1" applyProtection="1">
      <protection locked="0"/>
    </xf>
    <xf numFmtId="175" fontId="3" fillId="0" borderId="0" xfId="2" applyNumberFormat="1" applyFont="1" applyAlignment="1" applyProtection="1">
      <alignment horizontal="left"/>
      <protection locked="0"/>
    </xf>
    <xf numFmtId="175" fontId="8" fillId="0" borderId="0" xfId="2" applyNumberFormat="1" applyFont="1" applyProtection="1">
      <protection locked="0"/>
    </xf>
    <xf numFmtId="0" fontId="11" fillId="0" borderId="0" xfId="0" applyFont="1" applyAlignment="1" applyProtection="1">
      <alignment vertical="center"/>
      <protection locked="0"/>
    </xf>
    <xf numFmtId="0" fontId="42" fillId="0" borderId="0" xfId="0" applyFont="1" applyAlignment="1" applyProtection="1">
      <alignment vertical="center"/>
      <protection locked="0"/>
    </xf>
    <xf numFmtId="172" fontId="3" fillId="0" borderId="0" xfId="2" applyNumberFormat="1" applyFont="1" applyAlignment="1" applyProtection="1">
      <alignment vertical="center"/>
      <protection locked="0"/>
    </xf>
    <xf numFmtId="0" fontId="43" fillId="0" borderId="0" xfId="0" applyFont="1" applyAlignment="1" applyProtection="1">
      <alignment vertical="center"/>
      <protection locked="0"/>
    </xf>
    <xf numFmtId="0" fontId="20" fillId="0" borderId="0" xfId="0" applyFont="1" applyProtection="1">
      <protection locked="0"/>
    </xf>
    <xf numFmtId="172" fontId="8" fillId="0" borderId="0" xfId="2" applyNumberFormat="1" applyFont="1" applyAlignment="1" applyProtection="1">
      <alignment vertical="center"/>
      <protection locked="0"/>
    </xf>
    <xf numFmtId="172" fontId="4" fillId="0" borderId="0" xfId="2" applyNumberFormat="1" applyFont="1" applyBorder="1" applyAlignment="1" applyProtection="1">
      <alignment vertical="center"/>
      <protection locked="0"/>
    </xf>
    <xf numFmtId="172" fontId="4" fillId="0" borderId="0" xfId="2" applyNumberFormat="1" applyFont="1" applyAlignment="1" applyProtection="1">
      <alignment vertical="center"/>
      <protection locked="0"/>
    </xf>
    <xf numFmtId="172" fontId="4" fillId="0" borderId="0" xfId="2" applyNumberFormat="1" applyFont="1" applyBorder="1" applyAlignment="1" applyProtection="1">
      <alignment horizontal="left" vertical="center"/>
      <protection locked="0"/>
    </xf>
    <xf numFmtId="172" fontId="3" fillId="0" borderId="0" xfId="2" applyNumberFormat="1" applyFont="1" applyBorder="1" applyAlignment="1" applyProtection="1">
      <alignment horizontal="left" vertical="center"/>
      <protection locked="0"/>
    </xf>
    <xf numFmtId="0" fontId="3" fillId="0" borderId="42" xfId="0" applyFont="1" applyBorder="1" applyAlignment="1" applyProtection="1">
      <alignment horizontal="center" vertical="center"/>
      <protection locked="0"/>
    </xf>
    <xf numFmtId="0" fontId="3" fillId="0" borderId="37" xfId="0" applyFont="1" applyBorder="1" applyAlignment="1" applyProtection="1">
      <alignment horizontal="left" vertical="center"/>
      <protection locked="0"/>
    </xf>
    <xf numFmtId="172" fontId="3" fillId="0" borderId="37" xfId="2" applyNumberFormat="1" applyFont="1" applyBorder="1" applyAlignment="1" applyProtection="1">
      <alignment horizontal="center" vertical="center"/>
      <protection locked="0"/>
    </xf>
    <xf numFmtId="0" fontId="3" fillId="0" borderId="33" xfId="0" applyFont="1" applyBorder="1" applyAlignment="1" applyProtection="1">
      <alignment horizontal="center" vertical="center"/>
      <protection locked="0"/>
    </xf>
    <xf numFmtId="41" fontId="3" fillId="0" borderId="37" xfId="2" applyNumberFormat="1" applyFont="1" applyBorder="1" applyAlignment="1" applyProtection="1">
      <alignment horizontal="center" vertical="center"/>
      <protection locked="0"/>
    </xf>
    <xf numFmtId="0" fontId="3" fillId="0" borderId="34" xfId="0" applyFont="1" applyBorder="1" applyAlignment="1" applyProtection="1">
      <alignment vertical="center"/>
      <protection locked="0"/>
    </xf>
    <xf numFmtId="41" fontId="3" fillId="0" borderId="28" xfId="2" applyNumberFormat="1" applyFont="1" applyBorder="1" applyAlignment="1" applyProtection="1">
      <alignment horizontal="center" vertical="center"/>
      <protection locked="0"/>
    </xf>
    <xf numFmtId="41" fontId="3" fillId="0" borderId="34" xfId="0" applyNumberFormat="1" applyFont="1" applyBorder="1" applyAlignment="1" applyProtection="1">
      <alignment vertical="center"/>
      <protection locked="0"/>
    </xf>
    <xf numFmtId="172" fontId="3" fillId="0" borderId="48" xfId="2" applyNumberFormat="1" applyFont="1" applyBorder="1" applyAlignment="1" applyProtection="1">
      <alignment vertical="center"/>
      <protection locked="0"/>
    </xf>
    <xf numFmtId="172" fontId="3" fillId="0" borderId="28" xfId="2" applyNumberFormat="1" applyFont="1" applyBorder="1" applyAlignment="1" applyProtection="1">
      <alignment horizontal="center" vertical="center"/>
      <protection locked="0"/>
    </xf>
    <xf numFmtId="41" fontId="3" fillId="0" borderId="48" xfId="2" applyNumberFormat="1" applyFont="1" applyBorder="1" applyAlignment="1" applyProtection="1">
      <alignment vertical="center"/>
      <protection locked="0"/>
    </xf>
    <xf numFmtId="41" fontId="3" fillId="0" borderId="28" xfId="2" applyNumberFormat="1" applyFont="1" applyBorder="1" applyAlignment="1" applyProtection="1">
      <alignment vertical="center"/>
      <protection locked="0"/>
    </xf>
    <xf numFmtId="41" fontId="3" fillId="0" borderId="53" xfId="2" applyNumberFormat="1" applyFont="1" applyBorder="1" applyAlignment="1" applyProtection="1">
      <alignment vertical="center"/>
      <protection locked="0"/>
    </xf>
    <xf numFmtId="41" fontId="3" fillId="0" borderId="43" xfId="0" applyNumberFormat="1" applyFont="1" applyBorder="1" applyAlignment="1" applyProtection="1">
      <alignment vertical="center"/>
      <protection locked="0"/>
    </xf>
    <xf numFmtId="41" fontId="3" fillId="0" borderId="28" xfId="2" applyNumberFormat="1" applyFont="1" applyBorder="1" applyAlignment="1" applyProtection="1">
      <alignment horizontal="left" vertical="center"/>
      <protection locked="0"/>
    </xf>
    <xf numFmtId="172" fontId="3" fillId="0" borderId="28" xfId="2" applyNumberFormat="1" applyFont="1" applyBorder="1" applyAlignment="1" applyProtection="1">
      <alignment vertical="center"/>
      <protection locked="0"/>
    </xf>
    <xf numFmtId="172" fontId="3" fillId="0" borderId="53" xfId="2" applyNumberFormat="1" applyFont="1" applyBorder="1" applyAlignment="1" applyProtection="1">
      <alignment vertical="center"/>
      <protection locked="0"/>
    </xf>
    <xf numFmtId="0" fontId="3" fillId="0" borderId="43" xfId="0" applyFont="1" applyBorder="1" applyAlignment="1" applyProtection="1">
      <alignment vertical="center"/>
      <protection locked="0"/>
    </xf>
    <xf numFmtId="172" fontId="3" fillId="0" borderId="35" xfId="2" applyNumberFormat="1" applyFont="1" applyBorder="1" applyAlignment="1" applyProtection="1">
      <alignment horizontal="center" vertical="center"/>
      <protection locked="0"/>
    </xf>
    <xf numFmtId="172" fontId="3" fillId="0" borderId="80" xfId="2" applyNumberFormat="1" applyFont="1" applyBorder="1" applyAlignment="1" applyProtection="1">
      <alignment vertical="center"/>
      <protection locked="0"/>
    </xf>
    <xf numFmtId="0" fontId="3" fillId="0" borderId="39" xfId="0" applyFont="1" applyBorder="1" applyAlignment="1" applyProtection="1">
      <alignment vertical="center"/>
      <protection locked="0"/>
    </xf>
    <xf numFmtId="0" fontId="3" fillId="0" borderId="68" xfId="0" applyFont="1" applyBorder="1" applyAlignment="1" applyProtection="1">
      <alignment vertical="center"/>
      <protection locked="0"/>
    </xf>
    <xf numFmtId="172" fontId="3" fillId="0" borderId="45" xfId="2" applyNumberFormat="1" applyFont="1" applyBorder="1" applyAlignment="1" applyProtection="1">
      <alignment vertical="center"/>
      <protection locked="0"/>
    </xf>
    <xf numFmtId="172" fontId="3" fillId="0" borderId="45" xfId="2" applyNumberFormat="1" applyFont="1" applyBorder="1" applyAlignment="1" applyProtection="1">
      <alignment horizontal="center" vertical="center"/>
      <protection locked="0"/>
    </xf>
    <xf numFmtId="172" fontId="3" fillId="0" borderId="54" xfId="2" applyNumberFormat="1" applyFont="1" applyBorder="1" applyAlignment="1" applyProtection="1">
      <alignment vertical="center"/>
      <protection locked="0"/>
    </xf>
    <xf numFmtId="0" fontId="3" fillId="0" borderId="46" xfId="0" applyFont="1" applyBorder="1" applyAlignment="1" applyProtection="1">
      <alignment vertical="center"/>
      <protection locked="0"/>
    </xf>
    <xf numFmtId="0" fontId="3" fillId="0" borderId="58" xfId="0" applyFont="1" applyBorder="1" applyProtection="1">
      <protection locked="0"/>
    </xf>
    <xf numFmtId="172" fontId="3" fillId="0" borderId="47" xfId="2" applyNumberFormat="1" applyFont="1" applyBorder="1" applyAlignment="1" applyProtection="1">
      <alignment vertical="center"/>
      <protection locked="0"/>
    </xf>
    <xf numFmtId="0" fontId="14" fillId="0" borderId="0" xfId="0" applyFont="1" applyAlignment="1" applyProtection="1">
      <alignment vertical="center"/>
      <protection locked="0"/>
    </xf>
    <xf numFmtId="172" fontId="14" fillId="0" borderId="0" xfId="2" applyNumberFormat="1" applyFont="1" applyAlignment="1" applyProtection="1">
      <alignment vertical="center"/>
      <protection locked="0"/>
    </xf>
    <xf numFmtId="172" fontId="8" fillId="0" borderId="0" xfId="2" applyNumberFormat="1" applyFont="1" applyProtection="1">
      <protection locked="0"/>
    </xf>
    <xf numFmtId="0" fontId="44" fillId="0" borderId="0" xfId="0" applyFont="1" applyProtection="1">
      <protection locked="0"/>
    </xf>
    <xf numFmtId="0" fontId="30" fillId="0" borderId="0" xfId="0" applyFont="1"/>
    <xf numFmtId="183" fontId="45" fillId="0" borderId="55" xfId="0" applyNumberFormat="1" applyFont="1" applyBorder="1" applyAlignment="1">
      <alignment horizontal="center"/>
    </xf>
    <xf numFmtId="15" fontId="45" fillId="0" borderId="62" xfId="0" applyNumberFormat="1" applyFont="1" applyBorder="1" applyAlignment="1">
      <alignment horizontal="center"/>
    </xf>
    <xf numFmtId="0" fontId="30" fillId="0" borderId="8" xfId="0" applyFont="1" applyBorder="1" applyProtection="1">
      <protection locked="0"/>
    </xf>
    <xf numFmtId="0" fontId="30" fillId="0" borderId="60" xfId="0" applyFont="1" applyBorder="1" applyAlignment="1" applyProtection="1">
      <alignment horizontal="center"/>
      <protection locked="0"/>
    </xf>
    <xf numFmtId="0" fontId="3" fillId="0" borderId="37" xfId="0" applyFont="1" applyBorder="1" applyAlignment="1" applyProtection="1">
      <alignment horizontal="center" vertical="center"/>
      <protection locked="0"/>
    </xf>
    <xf numFmtId="0" fontId="30" fillId="0" borderId="37" xfId="0" applyFont="1" applyBorder="1" applyAlignment="1" applyProtection="1">
      <alignment horizontal="center"/>
      <protection locked="0"/>
    </xf>
    <xf numFmtId="41" fontId="30" fillId="0" borderId="32" xfId="2" applyNumberFormat="1" applyFont="1" applyBorder="1" applyAlignment="1" applyProtection="1">
      <alignment horizontal="center"/>
    </xf>
    <xf numFmtId="0" fontId="30" fillId="0" borderId="16" xfId="0" applyFont="1" applyBorder="1" applyProtection="1">
      <protection locked="0"/>
    </xf>
    <xf numFmtId="0" fontId="30" fillId="0" borderId="49" xfId="0" applyFont="1" applyBorder="1" applyAlignment="1" applyProtection="1">
      <alignment horizontal="center"/>
      <protection locked="0"/>
    </xf>
    <xf numFmtId="0" fontId="3" fillId="0" borderId="28" xfId="0" applyFont="1" applyBorder="1" applyAlignment="1" applyProtection="1">
      <alignment horizontal="center" vertical="center"/>
      <protection locked="0"/>
    </xf>
    <xf numFmtId="0" fontId="30" fillId="0" borderId="28" xfId="0" applyFont="1" applyBorder="1" applyAlignment="1" applyProtection="1">
      <alignment horizontal="center"/>
      <protection locked="0"/>
    </xf>
    <xf numFmtId="41" fontId="30" fillId="0" borderId="34" xfId="2" applyNumberFormat="1" applyFont="1" applyBorder="1" applyAlignment="1" applyProtection="1">
      <alignment horizontal="center"/>
    </xf>
    <xf numFmtId="172" fontId="30" fillId="0" borderId="34" xfId="2" applyNumberFormat="1" applyFont="1" applyBorder="1" applyAlignment="1" applyProtection="1">
      <alignment horizontal="center"/>
    </xf>
    <xf numFmtId="0" fontId="3" fillId="0" borderId="49" xfId="0" applyFont="1" applyBorder="1" applyAlignment="1" applyProtection="1">
      <alignment vertical="center"/>
      <protection locked="0"/>
    </xf>
    <xf numFmtId="0" fontId="3" fillId="0" borderId="28" xfId="0" applyFont="1" applyBorder="1" applyAlignment="1" applyProtection="1">
      <alignment vertical="center"/>
      <protection locked="0"/>
    </xf>
    <xf numFmtId="0" fontId="30" fillId="2" borderId="28" xfId="0" applyFont="1" applyFill="1" applyBorder="1" applyAlignment="1" applyProtection="1">
      <alignment horizontal="center"/>
      <protection locked="0"/>
    </xf>
    <xf numFmtId="170" fontId="30" fillId="0" borderId="34" xfId="2" applyNumberFormat="1" applyFont="1" applyBorder="1" applyAlignment="1" applyProtection="1">
      <alignment horizontal="right"/>
    </xf>
    <xf numFmtId="175" fontId="30" fillId="0" borderId="34" xfId="2" applyNumberFormat="1" applyFont="1" applyBorder="1" applyAlignment="1" applyProtection="1">
      <alignment horizontal="center"/>
    </xf>
    <xf numFmtId="0" fontId="30" fillId="0" borderId="49" xfId="0" applyFont="1" applyBorder="1" applyProtection="1">
      <protection locked="0"/>
    </xf>
    <xf numFmtId="0" fontId="30" fillId="0" borderId="28" xfId="0" applyFont="1" applyBorder="1" applyProtection="1">
      <protection locked="0"/>
    </xf>
    <xf numFmtId="0" fontId="30" fillId="0" borderId="21" xfId="0" applyFont="1" applyBorder="1" applyProtection="1">
      <protection locked="0"/>
    </xf>
    <xf numFmtId="0" fontId="30" fillId="0" borderId="62" xfId="0" applyFont="1" applyBorder="1" applyProtection="1">
      <protection locked="0"/>
    </xf>
    <xf numFmtId="0" fontId="30" fillId="0" borderId="45" xfId="0" applyFont="1" applyBorder="1" applyProtection="1">
      <protection locked="0"/>
    </xf>
    <xf numFmtId="41" fontId="30" fillId="0" borderId="39" xfId="2" applyNumberFormat="1" applyFont="1" applyBorder="1" applyAlignment="1" applyProtection="1">
      <alignment horizontal="center"/>
    </xf>
    <xf numFmtId="0" fontId="30" fillId="0" borderId="47" xfId="0" applyFont="1" applyBorder="1" applyProtection="1">
      <protection locked="0"/>
    </xf>
    <xf numFmtId="41" fontId="7" fillId="9" borderId="28" xfId="0" applyNumberFormat="1" applyFont="1" applyFill="1" applyBorder="1" applyAlignment="1">
      <alignment horizontal="center" vertical="center"/>
    </xf>
    <xf numFmtId="41" fontId="15" fillId="4" borderId="28" xfId="2" applyNumberFormat="1" applyFont="1" applyFill="1" applyBorder="1" applyAlignment="1" applyProtection="1">
      <alignment horizontal="center" vertical="center"/>
    </xf>
    <xf numFmtId="0" fontId="10" fillId="2" borderId="50" xfId="0" applyFont="1" applyFill="1" applyBorder="1" applyAlignment="1" applyProtection="1">
      <alignment horizontal="center" vertical="center"/>
      <protection locked="0"/>
    </xf>
    <xf numFmtId="41" fontId="10" fillId="2" borderId="31" xfId="2" applyNumberFormat="1" applyFont="1" applyFill="1" applyBorder="1" applyAlignment="1" applyProtection="1">
      <alignment horizontal="center" vertical="center"/>
      <protection locked="0"/>
    </xf>
    <xf numFmtId="41" fontId="10" fillId="2" borderId="42" xfId="2" applyNumberFormat="1" applyFont="1" applyFill="1" applyBorder="1" applyAlignment="1" applyProtection="1">
      <alignment vertical="center"/>
      <protection locked="0"/>
    </xf>
    <xf numFmtId="41" fontId="10" fillId="2" borderId="38" xfId="2" applyNumberFormat="1" applyFont="1" applyFill="1" applyBorder="1" applyAlignment="1" applyProtection="1">
      <alignment vertical="center"/>
      <protection locked="0"/>
    </xf>
    <xf numFmtId="41" fontId="10" fillId="2" borderId="44" xfId="2" applyNumberFormat="1" applyFont="1" applyFill="1" applyBorder="1" applyAlignment="1" applyProtection="1">
      <alignment vertical="center"/>
      <protection locked="0"/>
    </xf>
    <xf numFmtId="172" fontId="10" fillId="2" borderId="45" xfId="2" applyNumberFormat="1" applyFont="1" applyFill="1" applyBorder="1" applyAlignment="1" applyProtection="1">
      <alignment vertical="center"/>
      <protection locked="0"/>
    </xf>
    <xf numFmtId="41" fontId="10" fillId="2" borderId="79" xfId="2" applyNumberFormat="1" applyFont="1" applyFill="1" applyBorder="1" applyAlignment="1" applyProtection="1">
      <alignment vertical="center"/>
      <protection locked="0"/>
    </xf>
    <xf numFmtId="0" fontId="10" fillId="2" borderId="65" xfId="0" applyFont="1" applyFill="1" applyBorder="1" applyAlignment="1" applyProtection="1">
      <alignment vertical="center"/>
      <protection locked="0"/>
    </xf>
    <xf numFmtId="172" fontId="3" fillId="0" borderId="31" xfId="2" applyNumberFormat="1" applyFont="1" applyBorder="1" applyAlignment="1" applyProtection="1">
      <alignment horizontal="center" vertical="center"/>
      <protection locked="0"/>
    </xf>
    <xf numFmtId="182" fontId="3" fillId="0" borderId="32" xfId="0" applyNumberFormat="1" applyFont="1" applyBorder="1" applyAlignment="1" applyProtection="1">
      <alignment vertical="center"/>
      <protection locked="0"/>
    </xf>
    <xf numFmtId="172" fontId="3" fillId="0" borderId="0" xfId="0" applyNumberFormat="1" applyFont="1" applyAlignment="1" applyProtection="1">
      <alignment vertical="center"/>
      <protection locked="0"/>
    </xf>
    <xf numFmtId="180" fontId="50" fillId="2" borderId="28" xfId="1" applyNumberFormat="1" applyFont="1" applyFill="1" applyBorder="1" applyAlignment="1" applyProtection="1">
      <protection locked="0"/>
    </xf>
    <xf numFmtId="41" fontId="30" fillId="0" borderId="61" xfId="0" applyNumberFormat="1" applyFont="1" applyBorder="1" applyAlignment="1">
      <alignment vertical="center"/>
    </xf>
    <xf numFmtId="41" fontId="50" fillId="0" borderId="28" xfId="2" applyNumberFormat="1" applyFont="1" applyBorder="1" applyAlignment="1" applyProtection="1">
      <alignment horizontal="center" vertical="center"/>
    </xf>
    <xf numFmtId="3" fontId="50" fillId="2" borderId="28" xfId="6" applyNumberFormat="1" applyFont="1" applyFill="1" applyBorder="1" applyAlignment="1" applyProtection="1">
      <alignment horizontal="center" vertical="center"/>
      <protection locked="0"/>
    </xf>
    <xf numFmtId="41" fontId="50" fillId="0" borderId="28" xfId="2" applyNumberFormat="1" applyFont="1" applyBorder="1" applyAlignment="1" applyProtection="1">
      <alignment horizontal="center" vertical="center"/>
      <protection locked="0"/>
    </xf>
    <xf numFmtId="41" fontId="50" fillId="2" borderId="28" xfId="2" applyNumberFormat="1" applyFont="1" applyFill="1" applyBorder="1" applyProtection="1">
      <protection locked="0"/>
    </xf>
    <xf numFmtId="1" fontId="50" fillId="0" borderId="28" xfId="6" applyNumberFormat="1" applyFont="1" applyBorder="1" applyAlignment="1" applyProtection="1">
      <alignment horizontal="center" vertical="center"/>
      <protection locked="0"/>
    </xf>
    <xf numFmtId="3" fontId="4" fillId="2" borderId="28" xfId="6" applyNumberFormat="1" applyFont="1" applyFill="1" applyBorder="1" applyAlignment="1" applyProtection="1">
      <alignment horizontal="center" vertical="center"/>
      <protection locked="0"/>
    </xf>
    <xf numFmtId="1" fontId="50" fillId="0" borderId="28" xfId="6" applyNumberFormat="1" applyFont="1" applyBorder="1" applyAlignment="1">
      <alignment horizontal="center" vertical="center"/>
    </xf>
    <xf numFmtId="0" fontId="49" fillId="0" borderId="48" xfId="6" applyFont="1" applyBorder="1" applyAlignment="1" applyProtection="1">
      <alignment horizontal="left" vertical="center"/>
      <protection locked="0"/>
    </xf>
    <xf numFmtId="0" fontId="4" fillId="0" borderId="15" xfId="5" applyFont="1" applyBorder="1" applyProtection="1">
      <protection locked="0"/>
    </xf>
    <xf numFmtId="180" fontId="4" fillId="2" borderId="28" xfId="1" applyNumberFormat="1" applyFont="1" applyFill="1" applyBorder="1" applyAlignment="1" applyProtection="1">
      <protection locked="0"/>
    </xf>
    <xf numFmtId="0" fontId="52" fillId="0" borderId="0" xfId="0" applyFont="1" applyAlignment="1" applyProtection="1">
      <alignment vertical="center"/>
      <protection locked="0"/>
    </xf>
    <xf numFmtId="0" fontId="26" fillId="0" borderId="8" xfId="5" applyFont="1" applyBorder="1" applyAlignment="1" applyProtection="1">
      <alignment horizontal="center"/>
      <protection locked="0"/>
    </xf>
    <xf numFmtId="180" fontId="4" fillId="2" borderId="31" xfId="1" applyNumberFormat="1" applyFont="1" applyFill="1" applyBorder="1" applyAlignment="1" applyProtection="1">
      <protection locked="0"/>
    </xf>
    <xf numFmtId="41" fontId="50" fillId="0" borderId="31" xfId="2" applyNumberFormat="1" applyFont="1" applyBorder="1" applyAlignment="1" applyProtection="1">
      <alignment horizontal="center" vertical="center"/>
    </xf>
    <xf numFmtId="9" fontId="50" fillId="0" borderId="10" xfId="4" applyFont="1" applyBorder="1" applyAlignment="1" applyProtection="1">
      <alignment horizontal="center" vertical="center"/>
    </xf>
    <xf numFmtId="0" fontId="26" fillId="0" borderId="16" xfId="5" applyFont="1" applyBorder="1" applyAlignment="1" applyProtection="1">
      <alignment horizontal="center"/>
      <protection locked="0"/>
    </xf>
    <xf numFmtId="9" fontId="50" fillId="0" borderId="18" xfId="4" applyFont="1" applyBorder="1" applyAlignment="1" applyProtection="1">
      <alignment horizontal="center" vertical="center"/>
    </xf>
    <xf numFmtId="0" fontId="30" fillId="0" borderId="33" xfId="6" applyFont="1" applyBorder="1" applyAlignment="1" applyProtection="1">
      <alignment horizontal="center" vertical="center"/>
      <protection locked="0"/>
    </xf>
    <xf numFmtId="0" fontId="30" fillId="0" borderId="44" xfId="6" applyFont="1" applyBorder="1" applyAlignment="1" applyProtection="1">
      <alignment horizontal="center" vertical="center"/>
      <protection locked="0"/>
    </xf>
    <xf numFmtId="180" fontId="4" fillId="2" borderId="45" xfId="1" applyNumberFormat="1" applyFont="1" applyFill="1" applyBorder="1" applyAlignment="1" applyProtection="1">
      <protection locked="0"/>
    </xf>
    <xf numFmtId="41" fontId="50" fillId="0" borderId="45" xfId="2" applyNumberFormat="1" applyFont="1" applyBorder="1" applyAlignment="1" applyProtection="1">
      <alignment horizontal="center" vertical="center"/>
      <protection locked="0"/>
    </xf>
    <xf numFmtId="9" fontId="50" fillId="0" borderId="23" xfId="4" applyFont="1" applyBorder="1" applyAlignment="1" applyProtection="1">
      <alignment horizontal="center" vertical="center"/>
    </xf>
    <xf numFmtId="0" fontId="26" fillId="0" borderId="9" xfId="5" applyFont="1" applyBorder="1" applyProtection="1">
      <protection locked="0"/>
    </xf>
    <xf numFmtId="0" fontId="26" fillId="0" borderId="17" xfId="5" applyFont="1" applyBorder="1" applyProtection="1">
      <protection locked="0"/>
    </xf>
    <xf numFmtId="0" fontId="30" fillId="0" borderId="48" xfId="0" applyFont="1" applyBorder="1" applyAlignment="1" applyProtection="1">
      <alignment vertical="center"/>
      <protection locked="0"/>
    </xf>
    <xf numFmtId="0" fontId="49" fillId="0" borderId="54" xfId="6" applyFont="1" applyBorder="1" applyAlignment="1" applyProtection="1">
      <alignment horizontal="left" vertical="center"/>
      <protection locked="0"/>
    </xf>
    <xf numFmtId="0" fontId="26" fillId="0" borderId="8" xfId="5" applyFont="1" applyBorder="1"/>
    <xf numFmtId="0" fontId="26" fillId="0" borderId="12" xfId="5" applyFont="1" applyBorder="1"/>
    <xf numFmtId="0" fontId="26" fillId="0" borderId="12" xfId="5" applyFont="1" applyBorder="1" applyProtection="1">
      <protection locked="0"/>
    </xf>
    <xf numFmtId="0" fontId="30" fillId="0" borderId="16" xfId="0" applyFont="1" applyBorder="1" applyAlignment="1">
      <alignment vertical="center"/>
    </xf>
    <xf numFmtId="0" fontId="49" fillId="0" borderId="16" xfId="6" applyFont="1" applyBorder="1" applyAlignment="1" applyProtection="1">
      <alignment horizontal="left" vertical="center"/>
      <protection locked="0"/>
    </xf>
    <xf numFmtId="0" fontId="49" fillId="0" borderId="21" xfId="6" applyFont="1" applyBorder="1" applyAlignment="1" applyProtection="1">
      <alignment horizontal="left" vertical="center"/>
      <protection locked="0"/>
    </xf>
    <xf numFmtId="0" fontId="47" fillId="3" borderId="35" xfId="6" applyFont="1" applyFill="1" applyBorder="1" applyAlignment="1" applyProtection="1">
      <alignment horizontal="center" vertical="center"/>
      <protection locked="0"/>
    </xf>
    <xf numFmtId="0" fontId="48" fillId="10" borderId="35" xfId="6" applyFont="1" applyFill="1" applyBorder="1" applyAlignment="1" applyProtection="1">
      <alignment horizontal="center" vertical="center"/>
      <protection locked="0"/>
    </xf>
    <xf numFmtId="0" fontId="48" fillId="10" borderId="35" xfId="6" applyFont="1" applyFill="1" applyBorder="1" applyAlignment="1">
      <alignment horizontal="center" vertical="center"/>
    </xf>
    <xf numFmtId="0" fontId="33" fillId="10" borderId="35" xfId="6" applyFont="1" applyFill="1" applyBorder="1" applyAlignment="1" applyProtection="1">
      <alignment horizontal="center" vertical="center"/>
      <protection locked="0"/>
    </xf>
    <xf numFmtId="3" fontId="33" fillId="10" borderId="35" xfId="6" applyNumberFormat="1" applyFont="1" applyFill="1" applyBorder="1" applyAlignment="1" applyProtection="1">
      <alignment horizontal="center" vertical="center"/>
      <protection locked="0"/>
    </xf>
    <xf numFmtId="1" fontId="33" fillId="10" borderId="35" xfId="6" applyNumberFormat="1" applyFont="1" applyFill="1" applyBorder="1" applyAlignment="1" applyProtection="1">
      <alignment horizontal="center" vertical="center"/>
      <protection locked="0"/>
    </xf>
    <xf numFmtId="0" fontId="26" fillId="0" borderId="7" xfId="5" applyFont="1" applyBorder="1" applyAlignment="1" applyProtection="1">
      <alignment horizontal="center" vertical="center"/>
      <protection locked="0"/>
    </xf>
    <xf numFmtId="0" fontId="26" fillId="0" borderId="8" xfId="6" applyFont="1" applyBorder="1" applyAlignment="1">
      <alignment vertical="center"/>
    </xf>
    <xf numFmtId="180" fontId="50" fillId="2" borderId="31" xfId="1" applyNumberFormat="1" applyFont="1" applyFill="1" applyBorder="1" applyAlignment="1" applyProtection="1">
      <protection locked="0"/>
    </xf>
    <xf numFmtId="41" fontId="30" fillId="0" borderId="31" xfId="2" applyNumberFormat="1" applyFont="1" applyBorder="1" applyAlignment="1" applyProtection="1">
      <alignment vertical="center"/>
    </xf>
    <xf numFmtId="0" fontId="26" fillId="0" borderId="7" xfId="6" applyFont="1" applyBorder="1" applyAlignment="1" applyProtection="1">
      <alignment vertical="center"/>
      <protection locked="0"/>
    </xf>
    <xf numFmtId="0" fontId="26" fillId="0" borderId="15" xfId="6" applyFont="1" applyBorder="1" applyAlignment="1" applyProtection="1">
      <alignment vertical="center"/>
      <protection locked="0"/>
    </xf>
    <xf numFmtId="0" fontId="26" fillId="0" borderId="15" xfId="0" applyFont="1" applyBorder="1" applyAlignment="1" applyProtection="1">
      <alignment vertical="center"/>
      <protection locked="0"/>
    </xf>
    <xf numFmtId="0" fontId="26" fillId="0" borderId="15" xfId="5" applyFont="1" applyBorder="1" applyAlignment="1" applyProtection="1">
      <alignment vertical="center"/>
      <protection locked="0"/>
    </xf>
    <xf numFmtId="0" fontId="0" fillId="0" borderId="13" xfId="0" applyBorder="1" applyProtection="1">
      <protection locked="0"/>
    </xf>
    <xf numFmtId="0" fontId="3" fillId="0" borderId="81" xfId="0" applyFont="1" applyBorder="1" applyProtection="1">
      <protection locked="0"/>
    </xf>
    <xf numFmtId="0" fontId="0" fillId="0" borderId="81" xfId="0" applyBorder="1" applyProtection="1">
      <protection locked="0"/>
    </xf>
    <xf numFmtId="0" fontId="0" fillId="0" borderId="82" xfId="0" applyBorder="1" applyProtection="1">
      <protection locked="0"/>
    </xf>
    <xf numFmtId="1" fontId="0" fillId="0" borderId="61" xfId="0" applyNumberFormat="1" applyBorder="1" applyProtection="1">
      <protection locked="0"/>
    </xf>
    <xf numFmtId="0" fontId="27" fillId="0" borderId="51" xfId="0" applyFont="1" applyBorder="1" applyAlignment="1" applyProtection="1">
      <alignment vertical="center"/>
      <protection locked="0"/>
    </xf>
    <xf numFmtId="41" fontId="0" fillId="0" borderId="61" xfId="2" applyNumberFormat="1" applyFont="1" applyBorder="1" applyAlignment="1" applyProtection="1">
      <alignment vertical="center"/>
      <protection locked="0"/>
    </xf>
    <xf numFmtId="0" fontId="0" fillId="0" borderId="84" xfId="0" applyBorder="1" applyProtection="1">
      <protection locked="0"/>
    </xf>
    <xf numFmtId="0" fontId="0" fillId="0" borderId="61" xfId="0" applyBorder="1" applyProtection="1">
      <protection locked="0"/>
    </xf>
    <xf numFmtId="0" fontId="3" fillId="0" borderId="61" xfId="0" applyFont="1" applyBorder="1" applyProtection="1">
      <protection locked="0"/>
    </xf>
    <xf numFmtId="41" fontId="3" fillId="0" borderId="41" xfId="0" applyNumberFormat="1" applyFont="1" applyBorder="1" applyProtection="1">
      <protection locked="0"/>
    </xf>
    <xf numFmtId="0" fontId="0" fillId="0" borderId="11" xfId="0" applyBorder="1" applyProtection="1">
      <protection locked="0"/>
    </xf>
    <xf numFmtId="0" fontId="0" fillId="0" borderId="60" xfId="0" applyBorder="1" applyProtection="1">
      <protection locked="0"/>
    </xf>
    <xf numFmtId="41" fontId="3" fillId="0" borderId="41" xfId="2" applyNumberFormat="1" applyFont="1" applyBorder="1" applyProtection="1">
      <protection locked="0"/>
    </xf>
    <xf numFmtId="1" fontId="27" fillId="0" borderId="61" xfId="0" applyNumberFormat="1" applyFont="1" applyBorder="1" applyAlignment="1" applyProtection="1">
      <alignment vertical="center"/>
      <protection locked="0"/>
    </xf>
    <xf numFmtId="0" fontId="11" fillId="0" borderId="61" xfId="0" applyFont="1" applyBorder="1" applyProtection="1">
      <protection locked="0"/>
    </xf>
    <xf numFmtId="41" fontId="11" fillId="0" borderId="41" xfId="0" applyNumberFormat="1" applyFont="1" applyBorder="1" applyProtection="1">
      <protection locked="0"/>
    </xf>
    <xf numFmtId="0" fontId="27" fillId="0" borderId="53" xfId="0" applyFont="1" applyBorder="1" applyAlignment="1" applyProtection="1">
      <alignment vertical="center"/>
      <protection locked="0"/>
    </xf>
    <xf numFmtId="41" fontId="27" fillId="0" borderId="60" xfId="2" applyNumberFormat="1" applyFont="1" applyBorder="1" applyAlignment="1" applyProtection="1">
      <alignment vertical="center"/>
      <protection locked="0"/>
    </xf>
    <xf numFmtId="3" fontId="27" fillId="0" borderId="61" xfId="0" applyNumberFormat="1" applyFont="1" applyBorder="1" applyAlignment="1" applyProtection="1">
      <alignment vertical="center"/>
      <protection locked="0"/>
    </xf>
    <xf numFmtId="0" fontId="0" fillId="0" borderId="36" xfId="0" applyBorder="1" applyProtection="1">
      <protection locked="0"/>
    </xf>
    <xf numFmtId="172" fontId="0" fillId="0" borderId="61" xfId="2" applyNumberFormat="1" applyFont="1" applyBorder="1" applyAlignment="1" applyProtection="1">
      <alignment vertical="center"/>
      <protection locked="0"/>
    </xf>
    <xf numFmtId="41" fontId="11" fillId="0" borderId="41" xfId="2" applyNumberFormat="1" applyFont="1" applyBorder="1" applyProtection="1">
      <protection locked="0"/>
    </xf>
    <xf numFmtId="9" fontId="3" fillId="0" borderId="41" xfId="4" applyFont="1" applyBorder="1" applyProtection="1">
      <protection locked="0"/>
    </xf>
    <xf numFmtId="175" fontId="27" fillId="0" borderId="61" xfId="0" applyNumberFormat="1" applyFont="1" applyBorder="1" applyAlignment="1" applyProtection="1">
      <alignment vertical="center"/>
      <protection locked="0"/>
    </xf>
    <xf numFmtId="0" fontId="54" fillId="0" borderId="61" xfId="0" applyFont="1" applyBorder="1" applyProtection="1">
      <protection locked="0"/>
    </xf>
    <xf numFmtId="9" fontId="54" fillId="0" borderId="41" xfId="4" applyFont="1" applyBorder="1" applyProtection="1">
      <protection locked="0"/>
    </xf>
    <xf numFmtId="0" fontId="54" fillId="0" borderId="41" xfId="0" applyFont="1" applyBorder="1" applyProtection="1">
      <protection locked="0"/>
    </xf>
    <xf numFmtId="41" fontId="27" fillId="0" borderId="61" xfId="2" applyNumberFormat="1" applyFont="1" applyBorder="1" applyAlignment="1" applyProtection="1">
      <alignment vertical="center"/>
      <protection locked="0"/>
    </xf>
    <xf numFmtId="0" fontId="3" fillId="0" borderId="86" xfId="0" applyFont="1" applyBorder="1" applyProtection="1">
      <protection locked="0"/>
    </xf>
    <xf numFmtId="9" fontId="3" fillId="0" borderId="87" xfId="4" applyFont="1" applyBorder="1" applyProtection="1">
      <protection locked="0"/>
    </xf>
    <xf numFmtId="0" fontId="3" fillId="0" borderId="87" xfId="0" applyFont="1" applyBorder="1" applyProtection="1">
      <protection locked="0"/>
    </xf>
    <xf numFmtId="0" fontId="54" fillId="0" borderId="88" xfId="0" applyFont="1" applyBorder="1" applyProtection="1">
      <protection locked="0"/>
    </xf>
    <xf numFmtId="9" fontId="54" fillId="0" borderId="89" xfId="4" applyFont="1" applyBorder="1" applyProtection="1">
      <protection locked="0"/>
    </xf>
    <xf numFmtId="0" fontId="54" fillId="0" borderId="86" xfId="0" applyFont="1" applyBorder="1" applyProtection="1">
      <protection locked="0"/>
    </xf>
    <xf numFmtId="41" fontId="0" fillId="0" borderId="60" xfId="2" applyNumberFormat="1" applyFont="1" applyBorder="1" applyAlignment="1" applyProtection="1">
      <alignment vertical="center"/>
      <protection locked="0"/>
    </xf>
    <xf numFmtId="41" fontId="0" fillId="0" borderId="0" xfId="2" applyNumberFormat="1" applyFont="1" applyBorder="1" applyAlignment="1" applyProtection="1">
      <alignment vertical="center"/>
      <protection locked="0"/>
    </xf>
    <xf numFmtId="9" fontId="27" fillId="0" borderId="60" xfId="4" applyFont="1" applyBorder="1" applyAlignment="1" applyProtection="1">
      <alignment vertical="center"/>
      <protection locked="0"/>
    </xf>
    <xf numFmtId="41" fontId="27" fillId="0" borderId="61" xfId="0" applyNumberFormat="1" applyFont="1" applyBorder="1" applyAlignment="1" applyProtection="1">
      <alignment vertical="center"/>
      <protection locked="0"/>
    </xf>
    <xf numFmtId="0" fontId="3" fillId="0" borderId="41" xfId="0" applyFont="1" applyBorder="1" applyProtection="1">
      <protection locked="0"/>
    </xf>
    <xf numFmtId="0" fontId="3" fillId="0" borderId="97" xfId="0" applyFont="1" applyBorder="1" applyProtection="1">
      <protection locked="0"/>
    </xf>
    <xf numFmtId="0" fontId="3" fillId="0" borderId="98" xfId="0" applyFont="1" applyBorder="1" applyProtection="1">
      <protection locked="0"/>
    </xf>
    <xf numFmtId="0" fontId="27" fillId="2" borderId="0" xfId="0" applyFont="1" applyFill="1" applyAlignment="1" applyProtection="1">
      <alignment horizontal="center" vertical="center"/>
      <protection locked="0"/>
    </xf>
    <xf numFmtId="41" fontId="11" fillId="0" borderId="41" xfId="4" applyNumberFormat="1" applyFont="1" applyBorder="1" applyProtection="1">
      <protection locked="0"/>
    </xf>
    <xf numFmtId="0" fontId="3" fillId="0" borderId="99" xfId="0" applyFont="1" applyBorder="1" applyProtection="1">
      <protection locked="0"/>
    </xf>
    <xf numFmtId="0" fontId="3" fillId="0" borderId="100" xfId="0" applyFont="1" applyBorder="1" applyProtection="1">
      <protection locked="0"/>
    </xf>
    <xf numFmtId="0" fontId="3" fillId="0" borderId="85" xfId="0" applyFont="1" applyBorder="1" applyProtection="1">
      <protection locked="0"/>
    </xf>
    <xf numFmtId="0" fontId="3" fillId="0" borderId="91" xfId="0" applyFont="1" applyBorder="1" applyProtection="1">
      <protection locked="0"/>
    </xf>
    <xf numFmtId="0" fontId="3" fillId="0" borderId="90" xfId="0" applyFont="1" applyBorder="1" applyProtection="1">
      <protection locked="0"/>
    </xf>
    <xf numFmtId="0" fontId="0" fillId="0" borderId="101" xfId="0" applyBorder="1" applyProtection="1">
      <protection locked="0"/>
    </xf>
    <xf numFmtId="41" fontId="3" fillId="0" borderId="28" xfId="0" applyNumberFormat="1" applyFont="1" applyBorder="1" applyProtection="1">
      <protection locked="0"/>
    </xf>
    <xf numFmtId="1" fontId="3" fillId="0" borderId="28" xfId="0" applyNumberFormat="1" applyFont="1" applyBorder="1" applyProtection="1">
      <protection locked="0"/>
    </xf>
    <xf numFmtId="0" fontId="7" fillId="0" borderId="53" xfId="0" applyFont="1" applyBorder="1" applyAlignment="1" applyProtection="1">
      <alignment vertical="center"/>
      <protection locked="0"/>
    </xf>
    <xf numFmtId="9" fontId="7" fillId="0" borderId="60" xfId="4" applyFont="1" applyBorder="1" applyAlignment="1" applyProtection="1">
      <alignment vertical="center"/>
      <protection locked="0"/>
    </xf>
    <xf numFmtId="9" fontId="7" fillId="0" borderId="61" xfId="4" applyFont="1" applyBorder="1" applyAlignment="1" applyProtection="1">
      <alignment vertical="center"/>
      <protection locked="0"/>
    </xf>
    <xf numFmtId="0" fontId="55" fillId="0" borderId="28" xfId="0" applyFont="1" applyBorder="1" applyProtection="1">
      <protection locked="0"/>
    </xf>
    <xf numFmtId="41" fontId="55" fillId="0" borderId="28" xfId="0" applyNumberFormat="1" applyFont="1" applyBorder="1" applyProtection="1">
      <protection locked="0"/>
    </xf>
    <xf numFmtId="1" fontId="55" fillId="0" borderId="28" xfId="0" applyNumberFormat="1" applyFont="1" applyBorder="1" applyProtection="1">
      <protection locked="0"/>
    </xf>
    <xf numFmtId="0" fontId="27" fillId="0" borderId="51" xfId="0" applyFont="1" applyBorder="1" applyProtection="1">
      <protection locked="0"/>
    </xf>
    <xf numFmtId="41" fontId="0" fillId="0" borderId="61" xfId="2" applyNumberFormat="1" applyFont="1" applyBorder="1" applyProtection="1">
      <protection locked="0"/>
    </xf>
    <xf numFmtId="9" fontId="3" fillId="0" borderId="0" xfId="4" applyFont="1" applyProtection="1">
      <protection locked="0"/>
    </xf>
    <xf numFmtId="0" fontId="0" fillId="0" borderId="51" xfId="0" applyBorder="1" applyProtection="1">
      <protection locked="0"/>
    </xf>
    <xf numFmtId="0" fontId="32" fillId="0" borderId="53" xfId="0" applyFont="1" applyBorder="1" applyProtection="1">
      <protection locked="0"/>
    </xf>
    <xf numFmtId="9" fontId="32" fillId="0" borderId="60" xfId="4" applyFont="1" applyBorder="1" applyProtection="1">
      <protection locked="0"/>
    </xf>
    <xf numFmtId="9" fontId="32" fillId="0" borderId="0" xfId="4" applyFont="1" applyBorder="1" applyProtection="1">
      <protection locked="0"/>
    </xf>
    <xf numFmtId="0" fontId="32" fillId="0" borderId="51" xfId="0" applyFont="1" applyBorder="1" applyProtection="1">
      <protection locked="0"/>
    </xf>
    <xf numFmtId="41" fontId="32" fillId="0" borderId="61" xfId="4" applyNumberFormat="1" applyFont="1" applyBorder="1" applyProtection="1">
      <protection locked="0"/>
    </xf>
    <xf numFmtId="0" fontId="0" fillId="0" borderId="53" xfId="0" applyBorder="1" applyProtection="1">
      <protection locked="0"/>
    </xf>
    <xf numFmtId="9" fontId="0" fillId="0" borderId="60" xfId="4" applyFont="1" applyBorder="1" applyProtection="1">
      <protection locked="0"/>
    </xf>
    <xf numFmtId="0" fontId="3" fillId="0" borderId="40" xfId="0" applyFont="1" applyBorder="1" applyProtection="1">
      <protection locked="0"/>
    </xf>
    <xf numFmtId="0" fontId="11" fillId="0" borderId="40" xfId="0" applyFont="1" applyBorder="1" applyProtection="1">
      <protection locked="0"/>
    </xf>
    <xf numFmtId="9" fontId="27" fillId="0" borderId="61" xfId="4" applyFont="1" applyBorder="1" applyAlignment="1" applyProtection="1">
      <alignment vertical="center"/>
      <protection locked="0"/>
    </xf>
    <xf numFmtId="0" fontId="54" fillId="0" borderId="40" xfId="0" applyFont="1" applyBorder="1" applyProtection="1">
      <protection locked="0"/>
    </xf>
    <xf numFmtId="0" fontId="7" fillId="0" borderId="51" xfId="0" applyFont="1" applyBorder="1" applyAlignment="1" applyProtection="1">
      <alignment vertical="center"/>
      <protection locked="0"/>
    </xf>
    <xf numFmtId="41" fontId="7" fillId="0" borderId="61" xfId="2" applyNumberFormat="1" applyFont="1" applyBorder="1" applyAlignment="1" applyProtection="1">
      <alignment vertical="center"/>
      <protection locked="0"/>
    </xf>
    <xf numFmtId="184" fontId="0" fillId="0" borderId="61" xfId="2" applyNumberFormat="1" applyFont="1" applyBorder="1" applyAlignment="1" applyProtection="1">
      <alignment vertical="center"/>
      <protection locked="0"/>
    </xf>
    <xf numFmtId="185" fontId="0" fillId="0" borderId="61" xfId="2" applyNumberFormat="1" applyFont="1" applyBorder="1" applyAlignment="1" applyProtection="1">
      <alignment vertical="center"/>
      <protection locked="0"/>
    </xf>
    <xf numFmtId="0" fontId="0" fillId="0" borderId="63" xfId="0" applyBorder="1" applyProtection="1">
      <protection locked="0"/>
    </xf>
    <xf numFmtId="186" fontId="0" fillId="0" borderId="61" xfId="2" applyNumberFormat="1" applyFont="1" applyBorder="1" applyAlignment="1" applyProtection="1">
      <alignment vertical="center"/>
      <protection locked="0"/>
    </xf>
    <xf numFmtId="180" fontId="27" fillId="0" borderId="61" xfId="1" applyNumberFormat="1" applyFont="1" applyBorder="1" applyAlignment="1" applyProtection="1">
      <alignment vertical="center"/>
      <protection locked="0"/>
    </xf>
    <xf numFmtId="0" fontId="56" fillId="0" borderId="51" xfId="0" applyFont="1" applyBorder="1" applyAlignment="1" applyProtection="1">
      <alignment vertical="center"/>
      <protection locked="0"/>
    </xf>
    <xf numFmtId="41" fontId="56" fillId="0" borderId="61" xfId="2" applyNumberFormat="1" applyFont="1" applyBorder="1" applyAlignment="1" applyProtection="1">
      <alignment vertical="center"/>
      <protection locked="0"/>
    </xf>
    <xf numFmtId="41" fontId="32" fillId="0" borderId="61" xfId="2" applyNumberFormat="1" applyFont="1" applyBorder="1" applyAlignment="1" applyProtection="1">
      <alignment vertical="center"/>
      <protection locked="0"/>
    </xf>
    <xf numFmtId="41" fontId="7" fillId="0" borderId="60" xfId="2" applyNumberFormat="1" applyFont="1" applyBorder="1" applyAlignment="1" applyProtection="1">
      <alignment vertical="center"/>
      <protection locked="0"/>
    </xf>
    <xf numFmtId="41" fontId="0" fillId="0" borderId="51" xfId="2" applyNumberFormat="1" applyFont="1" applyBorder="1" applyAlignment="1" applyProtection="1">
      <alignment vertical="center"/>
      <protection locked="0"/>
    </xf>
    <xf numFmtId="0" fontId="30" fillId="0" borderId="51" xfId="0" applyFont="1" applyBorder="1" applyAlignment="1" applyProtection="1">
      <alignment vertical="center"/>
      <protection locked="0"/>
    </xf>
    <xf numFmtId="9" fontId="0" fillId="0" borderId="61" xfId="4" applyFont="1" applyBorder="1" applyAlignment="1" applyProtection="1">
      <alignment vertical="center"/>
      <protection locked="0"/>
    </xf>
    <xf numFmtId="41" fontId="32" fillId="0" borderId="51" xfId="2" applyNumberFormat="1" applyFont="1" applyBorder="1" applyAlignment="1" applyProtection="1">
      <alignment vertical="center"/>
      <protection locked="0"/>
    </xf>
    <xf numFmtId="41" fontId="27" fillId="0" borderId="51" xfId="2" applyNumberFormat="1" applyFont="1" applyBorder="1" applyAlignment="1" applyProtection="1">
      <alignment vertical="center"/>
      <protection locked="0"/>
    </xf>
    <xf numFmtId="41" fontId="57" fillId="0" borderId="61" xfId="2" applyNumberFormat="1" applyFont="1" applyBorder="1" applyAlignment="1" applyProtection="1">
      <alignment vertical="center"/>
      <protection locked="0"/>
    </xf>
    <xf numFmtId="0" fontId="58" fillId="0" borderId="53" xfId="0" applyFont="1" applyBorder="1" applyAlignment="1" applyProtection="1">
      <alignment vertical="center"/>
      <protection locked="0"/>
    </xf>
    <xf numFmtId="9" fontId="58" fillId="0" borderId="60" xfId="4" applyFont="1" applyBorder="1" applyAlignment="1" applyProtection="1">
      <alignment vertical="center"/>
      <protection locked="0"/>
    </xf>
    <xf numFmtId="180" fontId="0" fillId="0" borderId="61" xfId="1" applyNumberFormat="1" applyFont="1" applyBorder="1" applyProtection="1">
      <protection locked="0"/>
    </xf>
    <xf numFmtId="0" fontId="30" fillId="0" borderId="61" xfId="0" applyFont="1" applyBorder="1" applyAlignment="1" applyProtection="1">
      <alignment vertical="center"/>
      <protection locked="0"/>
    </xf>
    <xf numFmtId="0" fontId="30" fillId="0" borderId="53" xfId="0" applyFont="1" applyBorder="1" applyAlignment="1" applyProtection="1">
      <alignment vertical="center"/>
      <protection locked="0"/>
    </xf>
    <xf numFmtId="41" fontId="58" fillId="0" borderId="60" xfId="2" applyNumberFormat="1" applyFont="1" applyBorder="1" applyAlignment="1" applyProtection="1">
      <alignment vertical="center"/>
      <protection locked="0"/>
    </xf>
    <xf numFmtId="0" fontId="56" fillId="0" borderId="53" xfId="0" applyFont="1" applyBorder="1" applyAlignment="1" applyProtection="1">
      <alignment vertical="center"/>
      <protection locked="0"/>
    </xf>
    <xf numFmtId="9" fontId="56" fillId="0" borderId="60" xfId="4" applyFont="1" applyBorder="1" applyAlignment="1" applyProtection="1">
      <alignment vertical="center"/>
      <protection locked="0"/>
    </xf>
    <xf numFmtId="0" fontId="58" fillId="0" borderId="51" xfId="0" applyFont="1" applyBorder="1" applyAlignment="1" applyProtection="1">
      <alignment vertical="center"/>
      <protection locked="0"/>
    </xf>
    <xf numFmtId="41" fontId="57" fillId="0" borderId="51" xfId="2" applyNumberFormat="1" applyFont="1" applyFill="1" applyBorder="1" applyAlignment="1" applyProtection="1">
      <alignment vertical="center"/>
      <protection locked="0"/>
    </xf>
    <xf numFmtId="41" fontId="57" fillId="0" borderId="61" xfId="0" applyNumberFormat="1" applyFont="1" applyBorder="1" applyProtection="1">
      <protection locked="0"/>
    </xf>
    <xf numFmtId="41" fontId="0" fillId="0" borderId="51" xfId="2" applyNumberFormat="1" applyFont="1" applyFill="1" applyBorder="1" applyAlignment="1" applyProtection="1">
      <alignment vertical="center"/>
      <protection locked="0"/>
    </xf>
    <xf numFmtId="41" fontId="57" fillId="0" borderId="60" xfId="4" applyNumberFormat="1" applyFont="1" applyBorder="1" applyProtection="1">
      <protection locked="0"/>
    </xf>
    <xf numFmtId="41" fontId="57" fillId="0" borderId="53" xfId="2" applyNumberFormat="1" applyFont="1" applyFill="1" applyBorder="1" applyAlignment="1" applyProtection="1">
      <alignment vertical="center"/>
      <protection locked="0"/>
    </xf>
    <xf numFmtId="0" fontId="3" fillId="0" borderId="29" xfId="0" applyFont="1" applyBorder="1" applyProtection="1">
      <protection locked="0"/>
    </xf>
    <xf numFmtId="0" fontId="3" fillId="0" borderId="36" xfId="0" applyFont="1" applyBorder="1" applyProtection="1">
      <protection locked="0"/>
    </xf>
    <xf numFmtId="0" fontId="11" fillId="0" borderId="36" xfId="0" applyFont="1" applyBorder="1" applyProtection="1">
      <protection locked="0"/>
    </xf>
    <xf numFmtId="0" fontId="54" fillId="0" borderId="36" xfId="0" applyFont="1" applyBorder="1" applyProtection="1">
      <protection locked="0"/>
    </xf>
    <xf numFmtId="0" fontId="3" fillId="0" borderId="104" xfId="0" applyFont="1" applyBorder="1" applyProtection="1">
      <protection locked="0"/>
    </xf>
    <xf numFmtId="41" fontId="3" fillId="0" borderId="36" xfId="0" applyNumberFormat="1" applyFont="1" applyBorder="1" applyProtection="1">
      <protection locked="0"/>
    </xf>
    <xf numFmtId="41" fontId="3" fillId="0" borderId="36" xfId="2" applyNumberFormat="1" applyFont="1" applyBorder="1" applyProtection="1">
      <protection locked="0"/>
    </xf>
    <xf numFmtId="41" fontId="11" fillId="0" borderId="36" xfId="0" applyNumberFormat="1" applyFont="1" applyBorder="1" applyProtection="1">
      <protection locked="0"/>
    </xf>
    <xf numFmtId="9" fontId="54" fillId="0" borderId="36" xfId="4" applyFont="1" applyBorder="1" applyProtection="1">
      <protection locked="0"/>
    </xf>
    <xf numFmtId="0" fontId="3" fillId="0" borderId="88" xfId="0" applyFont="1" applyBorder="1" applyProtection="1">
      <protection locked="0"/>
    </xf>
    <xf numFmtId="41" fontId="11" fillId="0" borderId="36" xfId="4" applyNumberFormat="1" applyFont="1" applyBorder="1" applyProtection="1">
      <protection locked="0"/>
    </xf>
    <xf numFmtId="9" fontId="3" fillId="0" borderId="36" xfId="4" applyFont="1" applyBorder="1" applyProtection="1">
      <protection locked="0"/>
    </xf>
    <xf numFmtId="9" fontId="54" fillId="0" borderId="104" xfId="4" applyFont="1" applyBorder="1" applyProtection="1">
      <protection locked="0"/>
    </xf>
    <xf numFmtId="0" fontId="3" fillId="0" borderId="106" xfId="0" applyFont="1" applyBorder="1" applyProtection="1">
      <protection locked="0"/>
    </xf>
    <xf numFmtId="164" fontId="30" fillId="0" borderId="61" xfId="0" applyNumberFormat="1" applyFont="1" applyBorder="1" applyAlignment="1" applyProtection="1">
      <alignment vertical="center"/>
      <protection locked="0"/>
    </xf>
    <xf numFmtId="41" fontId="0" fillId="0" borderId="13" xfId="4" applyNumberFormat="1" applyFont="1" applyBorder="1" applyProtection="1">
      <protection locked="0"/>
    </xf>
    <xf numFmtId="0" fontId="59" fillId="0" borderId="51" xfId="0" applyFont="1" applyBorder="1" applyAlignment="1" applyProtection="1">
      <alignment vertical="center"/>
      <protection locked="0"/>
    </xf>
    <xf numFmtId="41" fontId="60" fillId="0" borderId="61" xfId="2" applyNumberFormat="1" applyFont="1" applyBorder="1" applyAlignment="1" applyProtection="1">
      <alignment vertical="center"/>
      <protection locked="0"/>
    </xf>
    <xf numFmtId="41" fontId="0" fillId="0" borderId="60" xfId="4" applyNumberFormat="1" applyFont="1" applyBorder="1" applyProtection="1">
      <protection locked="0"/>
    </xf>
    <xf numFmtId="0" fontId="55" fillId="0" borderId="61" xfId="0" applyFont="1" applyBorder="1" applyProtection="1">
      <protection locked="0"/>
    </xf>
    <xf numFmtId="41" fontId="55" fillId="0" borderId="41" xfId="2" applyNumberFormat="1" applyFont="1" applyBorder="1" applyProtection="1">
      <protection locked="0"/>
    </xf>
    <xf numFmtId="41" fontId="0" fillId="0" borderId="61" xfId="0" applyNumberFormat="1" applyBorder="1" applyProtection="1">
      <protection locked="0"/>
    </xf>
    <xf numFmtId="182" fontId="0" fillId="0" borderId="61" xfId="0" applyNumberFormat="1" applyBorder="1" applyProtection="1">
      <protection locked="0"/>
    </xf>
    <xf numFmtId="0" fontId="60" fillId="0" borderId="60" xfId="0" applyFont="1" applyBorder="1" applyProtection="1">
      <protection locked="0"/>
    </xf>
    <xf numFmtId="0" fontId="60" fillId="0" borderId="53" xfId="0" applyFont="1" applyBorder="1" applyProtection="1">
      <protection locked="0"/>
    </xf>
    <xf numFmtId="0" fontId="55" fillId="0" borderId="40" xfId="0" applyFont="1" applyBorder="1" applyProtection="1">
      <protection locked="0"/>
    </xf>
    <xf numFmtId="41" fontId="55" fillId="0" borderId="36" xfId="2" applyNumberFormat="1" applyFont="1" applyBorder="1" applyProtection="1">
      <protection locked="0"/>
    </xf>
    <xf numFmtId="41" fontId="3" fillId="0" borderId="36" xfId="4" applyNumberFormat="1" applyFont="1" applyBorder="1" applyProtection="1">
      <protection locked="0"/>
    </xf>
    <xf numFmtId="41" fontId="55" fillId="0" borderId="36" xfId="4" applyNumberFormat="1" applyFont="1" applyBorder="1" applyProtection="1">
      <protection locked="0"/>
    </xf>
    <xf numFmtId="41" fontId="1" fillId="0" borderId="61" xfId="2" applyNumberFormat="1" applyFont="1" applyBorder="1" applyAlignment="1" applyProtection="1">
      <alignment vertical="center"/>
      <protection locked="0"/>
    </xf>
    <xf numFmtId="0" fontId="22" fillId="2" borderId="5" xfId="0" applyFont="1" applyFill="1" applyBorder="1" applyAlignment="1">
      <alignment vertical="center"/>
    </xf>
    <xf numFmtId="0" fontId="22" fillId="2" borderId="20" xfId="0" applyFont="1" applyFill="1" applyBorder="1" applyAlignment="1">
      <alignment vertical="center"/>
    </xf>
    <xf numFmtId="0" fontId="3" fillId="2" borderId="20" xfId="0" applyFont="1" applyFill="1" applyBorder="1" applyAlignment="1">
      <alignment vertical="center"/>
    </xf>
    <xf numFmtId="41" fontId="3" fillId="2" borderId="20" xfId="2" applyNumberFormat="1" applyFont="1" applyFill="1" applyBorder="1" applyAlignment="1" applyProtection="1">
      <alignment vertical="center"/>
    </xf>
    <xf numFmtId="41" fontId="3" fillId="2" borderId="6" xfId="2" applyNumberFormat="1" applyFont="1" applyFill="1" applyBorder="1" applyAlignment="1" applyProtection="1">
      <alignment vertical="center"/>
    </xf>
    <xf numFmtId="0" fontId="3" fillId="0" borderId="0" xfId="0" applyFont="1"/>
    <xf numFmtId="0" fontId="22" fillId="0" borderId="0" xfId="0" applyFont="1"/>
    <xf numFmtId="0" fontId="3" fillId="0" borderId="0" xfId="0" applyFont="1" applyAlignment="1">
      <alignment horizontal="center"/>
    </xf>
    <xf numFmtId="41" fontId="3" fillId="0" borderId="0" xfId="0" applyNumberFormat="1" applyFont="1"/>
    <xf numFmtId="172" fontId="3" fillId="0" borderId="31" xfId="2" applyNumberFormat="1" applyFont="1" applyBorder="1" applyAlignment="1" applyProtection="1">
      <alignment horizontal="center" vertical="center"/>
    </xf>
    <xf numFmtId="172" fontId="3" fillId="0" borderId="28" xfId="2" applyNumberFormat="1" applyFont="1" applyBorder="1" applyAlignment="1" applyProtection="1">
      <alignment horizontal="center" vertical="center"/>
    </xf>
    <xf numFmtId="41" fontId="3" fillId="0" borderId="28" xfId="2" applyNumberFormat="1" applyFont="1" applyBorder="1" applyAlignment="1" applyProtection="1">
      <alignment horizontal="center" vertical="center"/>
    </xf>
    <xf numFmtId="41" fontId="3" fillId="0" borderId="45" xfId="2" applyNumberFormat="1" applyFont="1" applyBorder="1" applyAlignment="1" applyProtection="1">
      <alignment horizontal="center" vertical="center"/>
    </xf>
    <xf numFmtId="172" fontId="3" fillId="0" borderId="45" xfId="2" applyNumberFormat="1" applyFont="1" applyBorder="1" applyAlignment="1" applyProtection="1">
      <alignment horizontal="center" vertical="center"/>
    </xf>
    <xf numFmtId="41" fontId="3" fillId="0" borderId="37" xfId="2" applyNumberFormat="1" applyFont="1" applyBorder="1" applyAlignment="1" applyProtection="1">
      <alignment horizontal="center" vertical="center"/>
    </xf>
    <xf numFmtId="172" fontId="3" fillId="0" borderId="37" xfId="2" applyNumberFormat="1" applyFont="1" applyBorder="1" applyAlignment="1" applyProtection="1">
      <alignment horizontal="center" vertical="center"/>
    </xf>
    <xf numFmtId="172" fontId="3" fillId="0" borderId="35" xfId="2" applyNumberFormat="1" applyFont="1" applyBorder="1" applyAlignment="1" applyProtection="1">
      <alignment horizontal="center" vertical="center"/>
    </xf>
    <xf numFmtId="172" fontId="3" fillId="0" borderId="45" xfId="2" applyNumberFormat="1" applyFont="1" applyBorder="1" applyAlignment="1" applyProtection="1">
      <alignment vertical="center"/>
    </xf>
    <xf numFmtId="172" fontId="3" fillId="0" borderId="36" xfId="2" applyNumberFormat="1" applyFont="1" applyBorder="1" applyAlignment="1" applyProtection="1">
      <alignment horizontal="center" vertical="center"/>
    </xf>
    <xf numFmtId="0" fontId="50" fillId="0" borderId="49" xfId="0" applyFont="1" applyBorder="1" applyAlignment="1" applyProtection="1">
      <alignment vertical="center"/>
      <protection locked="0"/>
    </xf>
    <xf numFmtId="0" fontId="50" fillId="0" borderId="62" xfId="0" applyFont="1" applyBorder="1" applyAlignment="1" applyProtection="1">
      <alignment vertical="center"/>
      <protection locked="0"/>
    </xf>
    <xf numFmtId="0" fontId="50" fillId="0" borderId="55" xfId="0" applyFont="1" applyBorder="1" applyAlignment="1" applyProtection="1">
      <alignment vertical="center"/>
      <protection locked="0"/>
    </xf>
    <xf numFmtId="0" fontId="48" fillId="3" borderId="0" xfId="6" applyFont="1" applyFill="1" applyAlignment="1" applyProtection="1">
      <alignment horizontal="center" vertical="center"/>
      <protection locked="0"/>
    </xf>
    <xf numFmtId="0" fontId="51" fillId="3" borderId="0" xfId="6" applyFont="1" applyFill="1" applyAlignment="1" applyProtection="1">
      <alignment horizontal="left" vertical="center"/>
      <protection locked="0"/>
    </xf>
    <xf numFmtId="0" fontId="51" fillId="3" borderId="4" xfId="6" applyFont="1" applyFill="1" applyBorder="1" applyAlignment="1">
      <alignment horizontal="left" vertical="center"/>
    </xf>
    <xf numFmtId="0" fontId="50" fillId="3" borderId="64" xfId="0" applyFont="1" applyFill="1" applyBorder="1" applyAlignment="1" applyProtection="1">
      <alignment vertical="center"/>
      <protection locked="0"/>
    </xf>
    <xf numFmtId="180" fontId="4" fillId="3" borderId="68" xfId="1" applyNumberFormat="1" applyFont="1" applyFill="1" applyBorder="1" applyAlignment="1" applyProtection="1">
      <protection locked="0"/>
    </xf>
    <xf numFmtId="41" fontId="50" fillId="3" borderId="68" xfId="2" applyNumberFormat="1" applyFont="1" applyFill="1" applyBorder="1" applyAlignment="1" applyProtection="1">
      <alignment horizontal="center" vertical="center"/>
      <protection locked="0"/>
    </xf>
    <xf numFmtId="180" fontId="50" fillId="3" borderId="6" xfId="4" applyNumberFormat="1" applyFont="1" applyFill="1" applyBorder="1" applyAlignment="1" applyProtection="1">
      <alignment horizontal="center" vertical="center"/>
    </xf>
    <xf numFmtId="0" fontId="48" fillId="4" borderId="37" xfId="6" applyFont="1" applyFill="1" applyBorder="1" applyAlignment="1" applyProtection="1">
      <alignment horizontal="center" vertical="center"/>
      <protection locked="0"/>
    </xf>
    <xf numFmtId="0" fontId="51" fillId="4" borderId="53" xfId="6" applyFont="1" applyFill="1" applyBorder="1" applyAlignment="1" applyProtection="1">
      <alignment horizontal="left" vertical="center"/>
      <protection locked="0"/>
    </xf>
    <xf numFmtId="180" fontId="4" fillId="4" borderId="37" xfId="1" applyNumberFormat="1" applyFont="1" applyFill="1" applyBorder="1" applyAlignment="1" applyProtection="1">
      <protection locked="0"/>
    </xf>
    <xf numFmtId="41" fontId="50" fillId="4" borderId="37" xfId="2" applyNumberFormat="1" applyFont="1" applyFill="1" applyBorder="1" applyAlignment="1" applyProtection="1">
      <alignment horizontal="center" vertical="center"/>
      <protection locked="0"/>
    </xf>
    <xf numFmtId="0" fontId="62" fillId="0" borderId="30" xfId="6" applyFont="1" applyBorder="1" applyAlignment="1" applyProtection="1">
      <alignment horizontal="left" vertical="center"/>
      <protection locked="0"/>
    </xf>
    <xf numFmtId="0" fontId="62" fillId="0" borderId="33" xfId="6" applyFont="1" applyBorder="1" applyAlignment="1" applyProtection="1">
      <alignment horizontal="left" vertical="center"/>
      <protection locked="0"/>
    </xf>
    <xf numFmtId="0" fontId="62" fillId="0" borderId="15" xfId="6" applyFont="1" applyBorder="1" applyAlignment="1" applyProtection="1">
      <alignment horizontal="left" vertical="center"/>
      <protection locked="0"/>
    </xf>
    <xf numFmtId="0" fontId="62" fillId="0" borderId="33" xfId="0" applyFont="1" applyBorder="1" applyAlignment="1" applyProtection="1">
      <alignment vertical="center"/>
      <protection locked="0"/>
    </xf>
    <xf numFmtId="0" fontId="62" fillId="0" borderId="15" xfId="5" applyFont="1" applyBorder="1" applyProtection="1">
      <protection locked="0"/>
    </xf>
    <xf numFmtId="0" fontId="37" fillId="0" borderId="15" xfId="5" applyFont="1" applyBorder="1" applyProtection="1">
      <protection locked="0"/>
    </xf>
    <xf numFmtId="0" fontId="62" fillId="4" borderId="42" xfId="0" applyFont="1" applyFill="1" applyBorder="1" applyAlignment="1" applyProtection="1">
      <alignment vertical="center"/>
      <protection locked="0"/>
    </xf>
    <xf numFmtId="41" fontId="55" fillId="0" borderId="41" xfId="4" applyNumberFormat="1" applyFont="1" applyBorder="1" applyProtection="1">
      <protection locked="0"/>
    </xf>
    <xf numFmtId="0" fontId="50" fillId="0" borderId="28" xfId="6" applyFont="1" applyBorder="1" applyAlignment="1" applyProtection="1">
      <alignment horizontal="center" vertical="center"/>
      <protection locked="0"/>
    </xf>
    <xf numFmtId="173" fontId="0" fillId="0" borderId="0" xfId="4" applyNumberFormat="1" applyFont="1" applyFill="1" applyBorder="1" applyProtection="1">
      <protection locked="0"/>
    </xf>
    <xf numFmtId="164" fontId="3" fillId="2" borderId="20" xfId="0" applyNumberFormat="1" applyFont="1" applyFill="1" applyBorder="1" applyAlignment="1">
      <alignment vertical="center"/>
    </xf>
    <xf numFmtId="41" fontId="26" fillId="0" borderId="8" xfId="2" applyNumberFormat="1" applyFont="1" applyBorder="1" applyAlignment="1" applyProtection="1">
      <alignment horizontal="right" vertical="center"/>
      <protection locked="0"/>
    </xf>
    <xf numFmtId="41" fontId="26" fillId="0" borderId="9" xfId="2" applyNumberFormat="1" applyFont="1" applyBorder="1" applyAlignment="1" applyProtection="1">
      <alignment horizontal="right" vertical="center"/>
      <protection locked="0"/>
    </xf>
    <xf numFmtId="41" fontId="26" fillId="0" borderId="8" xfId="2" applyNumberFormat="1" applyFont="1" applyBorder="1" applyAlignment="1" applyProtection="1">
      <alignment horizontal="center" vertical="center"/>
      <protection locked="0"/>
    </xf>
    <xf numFmtId="41" fontId="26" fillId="0" borderId="8" xfId="2" applyNumberFormat="1" applyFont="1" applyBorder="1" applyAlignment="1" applyProtection="1">
      <alignment vertical="center"/>
    </xf>
    <xf numFmtId="41" fontId="26" fillId="0" borderId="9" xfId="2" applyNumberFormat="1" applyFont="1" applyBorder="1" applyAlignment="1" applyProtection="1">
      <alignment vertical="center"/>
    </xf>
    <xf numFmtId="9" fontId="26" fillId="0" borderId="10" xfId="4" applyFont="1" applyBorder="1" applyAlignment="1" applyProtection="1">
      <alignment vertical="center"/>
      <protection locked="0"/>
    </xf>
    <xf numFmtId="175" fontId="26" fillId="0" borderId="10" xfId="2" applyNumberFormat="1" applyFont="1" applyBorder="1" applyAlignment="1" applyProtection="1">
      <alignment vertical="center"/>
    </xf>
    <xf numFmtId="9" fontId="26" fillId="0" borderId="23" xfId="2" applyNumberFormat="1" applyFont="1" applyBorder="1" applyAlignment="1" applyProtection="1">
      <alignment vertical="center"/>
      <protection locked="0"/>
    </xf>
    <xf numFmtId="175" fontId="26" fillId="0" borderId="6" xfId="2" applyNumberFormat="1" applyFont="1" applyBorder="1" applyAlignment="1" applyProtection="1">
      <alignment vertical="center"/>
    </xf>
    <xf numFmtId="41" fontId="15" fillId="0" borderId="45" xfId="0" applyNumberFormat="1" applyFont="1" applyBorder="1" applyAlignment="1" applyProtection="1">
      <alignment horizontal="center" vertical="center"/>
      <protection locked="0"/>
    </xf>
    <xf numFmtId="0" fontId="3" fillId="0" borderId="47" xfId="0" applyFont="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0" fontId="3" fillId="3" borderId="24" xfId="0" applyFont="1" applyFill="1" applyBorder="1" applyAlignment="1" applyProtection="1">
      <alignment horizontal="center" vertical="center"/>
      <protection locked="0"/>
    </xf>
    <xf numFmtId="41" fontId="3" fillId="0" borderId="0" xfId="0" applyNumberFormat="1" applyFont="1" applyAlignment="1" applyProtection="1">
      <alignment horizontal="center" vertical="center"/>
      <protection locked="0"/>
    </xf>
    <xf numFmtId="0" fontId="3" fillId="0" borderId="50" xfId="0" applyFont="1" applyBorder="1" applyAlignment="1" applyProtection="1">
      <alignment horizontal="center" vertical="center"/>
      <protection locked="0"/>
    </xf>
    <xf numFmtId="0" fontId="3" fillId="0" borderId="24" xfId="0" applyFont="1" applyBorder="1" applyAlignment="1" applyProtection="1">
      <alignment horizontal="center" vertical="center"/>
      <protection locked="0"/>
    </xf>
    <xf numFmtId="0" fontId="3" fillId="3" borderId="2" xfId="0" applyFont="1" applyFill="1" applyBorder="1" applyAlignment="1" applyProtection="1">
      <alignment horizontal="center" vertical="center"/>
      <protection locked="0"/>
    </xf>
    <xf numFmtId="41" fontId="3" fillId="0" borderId="2" xfId="0" applyNumberFormat="1" applyFont="1" applyBorder="1" applyAlignment="1" applyProtection="1">
      <alignment horizontal="center" vertical="center"/>
      <protection locked="0"/>
    </xf>
    <xf numFmtId="41" fontId="3" fillId="0" borderId="3" xfId="0" applyNumberFormat="1" applyFont="1" applyBorder="1" applyAlignment="1" applyProtection="1">
      <alignment horizontal="center" vertical="center"/>
      <protection locked="0"/>
    </xf>
    <xf numFmtId="0" fontId="8" fillId="0" borderId="5" xfId="0" applyFont="1" applyBorder="1" applyAlignment="1" applyProtection="1">
      <alignment horizontal="center" vertical="center"/>
      <protection locked="0"/>
    </xf>
    <xf numFmtId="0" fontId="8" fillId="0" borderId="24" xfId="0" applyFont="1" applyBorder="1" applyAlignment="1" applyProtection="1">
      <alignment horizontal="center" vertical="center"/>
      <protection locked="0"/>
    </xf>
    <xf numFmtId="0" fontId="3" fillId="0" borderId="2" xfId="0" applyFont="1" applyBorder="1" applyAlignment="1" applyProtection="1">
      <alignment horizontal="center" vertical="center"/>
      <protection locked="0"/>
    </xf>
    <xf numFmtId="0" fontId="3" fillId="3" borderId="5" xfId="0" applyFont="1" applyFill="1" applyBorder="1" applyAlignment="1" applyProtection="1">
      <alignment horizontal="center" vertical="center"/>
      <protection locked="0"/>
    </xf>
    <xf numFmtId="0" fontId="3" fillId="3" borderId="25" xfId="0" applyFont="1" applyFill="1" applyBorder="1" applyAlignment="1" applyProtection="1">
      <alignment horizontal="center" vertical="center"/>
      <protection locked="0"/>
    </xf>
    <xf numFmtId="0" fontId="3" fillId="0" borderId="25" xfId="0" applyFont="1" applyBorder="1" applyAlignment="1" applyProtection="1">
      <alignment horizontal="center" vertical="center"/>
      <protection locked="0"/>
    </xf>
    <xf numFmtId="41" fontId="3" fillId="0" borderId="27" xfId="0" applyNumberFormat="1" applyFont="1" applyBorder="1" applyAlignment="1" applyProtection="1">
      <alignment horizontal="center" vertical="center"/>
      <protection locked="0"/>
    </xf>
    <xf numFmtId="182" fontId="3" fillId="0" borderId="2" xfId="0" applyNumberFormat="1" applyFont="1" applyBorder="1" applyAlignment="1" applyProtection="1">
      <alignment horizontal="center" vertical="center"/>
      <protection locked="0"/>
    </xf>
    <xf numFmtId="182" fontId="3" fillId="0" borderId="3" xfId="0" applyNumberFormat="1" applyFont="1" applyBorder="1" applyAlignment="1" applyProtection="1">
      <alignment horizontal="center" vertical="center"/>
      <protection locked="0"/>
    </xf>
    <xf numFmtId="41" fontId="3" fillId="0" borderId="5" xfId="0" applyNumberFormat="1" applyFont="1" applyBorder="1" applyAlignment="1" applyProtection="1">
      <alignment horizontal="center" vertical="center"/>
      <protection locked="0"/>
    </xf>
    <xf numFmtId="41" fontId="3" fillId="0" borderId="6" xfId="0" applyNumberFormat="1" applyFont="1" applyBorder="1" applyAlignment="1" applyProtection="1">
      <alignment horizontal="center" vertical="center"/>
      <protection locked="0"/>
    </xf>
    <xf numFmtId="41" fontId="3" fillId="0" borderId="50" xfId="0" applyNumberFormat="1" applyFont="1" applyBorder="1" applyAlignment="1" applyProtection="1">
      <alignment horizontal="center" vertical="center"/>
      <protection locked="0"/>
    </xf>
    <xf numFmtId="0" fontId="0" fillId="0" borderId="49" xfId="0" applyBorder="1" applyProtection="1">
      <protection locked="0"/>
    </xf>
    <xf numFmtId="0" fontId="0" fillId="0" borderId="66" xfId="0" applyBorder="1" applyProtection="1">
      <protection locked="0"/>
    </xf>
    <xf numFmtId="0" fontId="3" fillId="0" borderId="19" xfId="0" applyFont="1" applyBorder="1" applyAlignment="1">
      <alignment vertical="center"/>
    </xf>
    <xf numFmtId="0" fontId="3" fillId="0" borderId="65" xfId="0" applyFont="1" applyBorder="1" applyAlignment="1">
      <alignment vertical="center"/>
    </xf>
    <xf numFmtId="0" fontId="3" fillId="0" borderId="63" xfId="0" applyFont="1" applyBorder="1" applyAlignment="1">
      <alignment vertical="center"/>
    </xf>
    <xf numFmtId="164" fontId="3" fillId="0" borderId="65" xfId="0" applyNumberFormat="1" applyFont="1" applyBorder="1" applyAlignment="1">
      <alignment vertical="center"/>
    </xf>
    <xf numFmtId="168" fontId="3" fillId="0" borderId="59" xfId="0" applyNumberFormat="1" applyFont="1" applyBorder="1" applyAlignment="1">
      <alignment vertical="center"/>
    </xf>
    <xf numFmtId="164" fontId="3" fillId="0" borderId="0" xfId="0" applyNumberFormat="1" applyFont="1" applyAlignment="1">
      <alignment vertical="center"/>
    </xf>
    <xf numFmtId="0" fontId="3" fillId="0" borderId="79" xfId="0" applyFont="1" applyBorder="1" applyAlignment="1">
      <alignment vertical="center"/>
    </xf>
    <xf numFmtId="0" fontId="4" fillId="2" borderId="2" xfId="0" applyFont="1" applyFill="1" applyBorder="1" applyAlignment="1" applyProtection="1">
      <alignment vertical="center"/>
      <protection locked="0"/>
    </xf>
    <xf numFmtId="0" fontId="3" fillId="0" borderId="22" xfId="0" applyFont="1" applyBorder="1" applyAlignment="1">
      <alignment vertical="center"/>
    </xf>
    <xf numFmtId="0" fontId="4" fillId="2" borderId="21" xfId="0" applyFont="1" applyFill="1" applyBorder="1" applyAlignment="1" applyProtection="1">
      <alignment vertical="center"/>
      <protection locked="0"/>
    </xf>
    <xf numFmtId="0" fontId="3" fillId="0" borderId="74" xfId="0" applyFont="1" applyBorder="1" applyAlignment="1">
      <alignment vertical="center"/>
    </xf>
    <xf numFmtId="168" fontId="3" fillId="0" borderId="4" xfId="0" applyNumberFormat="1" applyFont="1" applyBorder="1" applyAlignment="1">
      <alignment vertical="center"/>
    </xf>
    <xf numFmtId="164" fontId="3" fillId="0" borderId="20" xfId="0" applyNumberFormat="1" applyFont="1" applyBorder="1" applyAlignment="1">
      <alignment vertical="center"/>
    </xf>
    <xf numFmtId="14" fontId="3" fillId="0" borderId="7" xfId="0" applyNumberFormat="1" applyFont="1" applyBorder="1" applyAlignment="1">
      <alignment vertical="center"/>
    </xf>
    <xf numFmtId="0" fontId="3" fillId="0" borderId="7" xfId="0" applyFont="1" applyBorder="1" applyAlignment="1" applyProtection="1">
      <alignment horizontal="center" vertical="center"/>
      <protection locked="0"/>
    </xf>
    <xf numFmtId="0" fontId="3" fillId="0" borderId="15" xfId="0" applyFont="1" applyBorder="1" applyAlignment="1" applyProtection="1">
      <alignment horizontal="center" vertical="center"/>
      <protection locked="0"/>
    </xf>
    <xf numFmtId="0" fontId="3" fillId="0" borderId="22" xfId="0" applyFont="1" applyBorder="1" applyAlignment="1" applyProtection="1">
      <alignment horizontal="center" vertical="center"/>
      <protection locked="0"/>
    </xf>
    <xf numFmtId="0" fontId="3" fillId="0" borderId="30" xfId="0" applyFont="1" applyBorder="1" applyAlignment="1" applyProtection="1">
      <alignment horizontal="left" vertical="center"/>
      <protection locked="0"/>
    </xf>
    <xf numFmtId="0" fontId="3" fillId="0" borderId="33" xfId="0" applyFont="1" applyBorder="1" applyAlignment="1" applyProtection="1">
      <alignment horizontal="left" vertical="center"/>
      <protection locked="0"/>
    </xf>
    <xf numFmtId="0" fontId="3" fillId="0" borderId="44" xfId="0" applyFont="1" applyBorder="1" applyAlignment="1" applyProtection="1">
      <alignment horizontal="left" vertical="center"/>
      <protection locked="0"/>
    </xf>
    <xf numFmtId="41" fontId="3" fillId="0" borderId="45" xfId="2" applyNumberFormat="1" applyFont="1" applyBorder="1" applyAlignment="1" applyProtection="1">
      <alignment horizontal="center" vertical="center"/>
      <protection locked="0"/>
    </xf>
    <xf numFmtId="0" fontId="3" fillId="0" borderId="1" xfId="0" applyFont="1" applyBorder="1" applyAlignment="1" applyProtection="1">
      <alignment horizontal="center" vertical="center"/>
      <protection locked="0"/>
    </xf>
    <xf numFmtId="0" fontId="0" fillId="0" borderId="4" xfId="0" applyBorder="1" applyAlignment="1" applyProtection="1">
      <alignment horizontal="center" vertical="center"/>
      <protection locked="0"/>
    </xf>
    <xf numFmtId="182" fontId="3" fillId="0" borderId="6" xfId="0" applyNumberFormat="1" applyFont="1" applyBorder="1" applyAlignment="1" applyProtection="1">
      <alignment horizontal="center" vertical="center"/>
      <protection locked="0"/>
    </xf>
    <xf numFmtId="41" fontId="3" fillId="0" borderId="50" xfId="0" applyNumberFormat="1" applyFont="1" applyBorder="1" applyAlignment="1" applyProtection="1">
      <alignment vertical="center"/>
      <protection locked="0"/>
    </xf>
    <xf numFmtId="41" fontId="3" fillId="0" borderId="20" xfId="0" applyNumberFormat="1" applyFont="1" applyBorder="1" applyAlignment="1" applyProtection="1">
      <alignment vertical="center"/>
      <protection locked="0"/>
    </xf>
    <xf numFmtId="0" fontId="3" fillId="3" borderId="25" xfId="0" applyFont="1" applyFill="1" applyBorder="1" applyAlignment="1" applyProtection="1">
      <alignment vertical="center"/>
      <protection locked="0"/>
    </xf>
    <xf numFmtId="0" fontId="3" fillId="3" borderId="26" xfId="0" applyFont="1" applyFill="1" applyBorder="1" applyAlignment="1" applyProtection="1">
      <alignment vertical="center"/>
      <protection locked="0"/>
    </xf>
    <xf numFmtId="0" fontId="3" fillId="3" borderId="27" xfId="0" applyFont="1" applyFill="1" applyBorder="1" applyAlignment="1" applyProtection="1">
      <alignment vertical="center"/>
      <protection locked="0"/>
    </xf>
    <xf numFmtId="41" fontId="3" fillId="0" borderId="47" xfId="0" applyNumberFormat="1" applyFont="1" applyBorder="1" applyAlignment="1" applyProtection="1">
      <alignment vertical="center"/>
      <protection locked="0"/>
    </xf>
    <xf numFmtId="41" fontId="3" fillId="0" borderId="25" xfId="0" applyNumberFormat="1" applyFont="1" applyBorder="1" applyAlignment="1" applyProtection="1">
      <alignment horizontal="center" vertical="center"/>
      <protection locked="0"/>
    </xf>
    <xf numFmtId="0" fontId="3" fillId="0" borderId="26" xfId="0" applyFont="1" applyBorder="1" applyAlignment="1" applyProtection="1">
      <alignment horizontal="center" vertical="center"/>
      <protection locked="0"/>
    </xf>
    <xf numFmtId="0" fontId="3" fillId="0" borderId="27" xfId="0" applyFont="1" applyBorder="1" applyAlignment="1" applyProtection="1">
      <alignment horizontal="center" vertical="center"/>
      <protection locked="0"/>
    </xf>
    <xf numFmtId="0" fontId="27" fillId="0" borderId="40" xfId="0" applyFont="1" applyBorder="1" applyAlignment="1" applyProtection="1">
      <alignment vertical="center"/>
      <protection locked="0"/>
    </xf>
    <xf numFmtId="0" fontId="3" fillId="3" borderId="24" xfId="0" applyFont="1" applyFill="1" applyBorder="1" applyAlignment="1" applyProtection="1">
      <alignment vertical="center"/>
      <protection locked="0"/>
    </xf>
    <xf numFmtId="0" fontId="3" fillId="11" borderId="0" xfId="0" applyFont="1" applyFill="1" applyAlignment="1" applyProtection="1">
      <alignment vertical="center"/>
      <protection locked="0"/>
    </xf>
    <xf numFmtId="0" fontId="3" fillId="7" borderId="0" xfId="0" applyFont="1" applyFill="1" applyAlignment="1" applyProtection="1">
      <alignment vertical="center"/>
      <protection locked="0"/>
    </xf>
    <xf numFmtId="0" fontId="3" fillId="7" borderId="50" xfId="0" applyFont="1" applyFill="1" applyBorder="1" applyAlignment="1" applyProtection="1">
      <alignment vertical="center"/>
      <protection locked="0"/>
    </xf>
    <xf numFmtId="170" fontId="27" fillId="0" borderId="49" xfId="0" applyNumberFormat="1" applyFont="1" applyBorder="1" applyAlignment="1" applyProtection="1">
      <alignment vertical="center"/>
      <protection locked="0"/>
    </xf>
    <xf numFmtId="182" fontId="3" fillId="0" borderId="34" xfId="0" applyNumberFormat="1" applyFont="1" applyBorder="1" applyAlignment="1" applyProtection="1">
      <alignment vertical="center"/>
      <protection locked="0"/>
    </xf>
    <xf numFmtId="0" fontId="26" fillId="0" borderId="13" xfId="5" applyFont="1" applyBorder="1" applyAlignment="1" applyProtection="1">
      <alignment horizontal="center" vertical="center"/>
      <protection locked="0"/>
    </xf>
    <xf numFmtId="0" fontId="49" fillId="0" borderId="53" xfId="6" applyFont="1" applyBorder="1" applyAlignment="1" applyProtection="1">
      <alignment horizontal="left" vertical="center"/>
      <protection locked="0"/>
    </xf>
    <xf numFmtId="0" fontId="62" fillId="0" borderId="42" xfId="0" applyFont="1" applyBorder="1" applyAlignment="1" applyProtection="1">
      <alignment vertical="center"/>
      <protection locked="0"/>
    </xf>
    <xf numFmtId="180" fontId="4" fillId="2" borderId="37" xfId="1" applyNumberFormat="1" applyFont="1" applyFill="1" applyBorder="1" applyAlignment="1" applyProtection="1">
      <protection locked="0"/>
    </xf>
    <xf numFmtId="41" fontId="50" fillId="0" borderId="37" xfId="2" applyNumberFormat="1" applyFont="1" applyBorder="1" applyAlignment="1" applyProtection="1">
      <alignment horizontal="center" vertical="center"/>
      <protection locked="0"/>
    </xf>
    <xf numFmtId="0" fontId="48" fillId="0" borderId="33" xfId="6" applyFont="1" applyBorder="1" applyAlignment="1" applyProtection="1">
      <alignment horizontal="center" vertical="center"/>
      <protection locked="0"/>
    </xf>
    <xf numFmtId="0" fontId="48" fillId="0" borderId="48" xfId="0" applyFont="1" applyBorder="1" applyAlignment="1" applyProtection="1">
      <alignment vertical="center"/>
      <protection locked="0"/>
    </xf>
    <xf numFmtId="0" fontId="48" fillId="0" borderId="16" xfId="0" applyFont="1" applyBorder="1" applyAlignment="1">
      <alignment vertical="center"/>
    </xf>
    <xf numFmtId="15" fontId="3" fillId="0" borderId="11" xfId="0" applyNumberFormat="1" applyFont="1" applyBorder="1" applyAlignment="1">
      <alignment horizontal="center" vertical="center"/>
    </xf>
    <xf numFmtId="187" fontId="3" fillId="0" borderId="11" xfId="0" applyNumberFormat="1" applyFont="1" applyBorder="1" applyAlignment="1">
      <alignment vertical="center"/>
    </xf>
    <xf numFmtId="187" fontId="3" fillId="0" borderId="15" xfId="0" applyNumberFormat="1" applyFont="1" applyBorder="1" applyAlignment="1">
      <alignment vertical="center"/>
    </xf>
    <xf numFmtId="41" fontId="3" fillId="0" borderId="24" xfId="0" applyNumberFormat="1" applyFont="1" applyBorder="1" applyAlignment="1" applyProtection="1">
      <alignment horizontal="center" vertical="center"/>
      <protection locked="0"/>
    </xf>
    <xf numFmtId="3" fontId="27" fillId="0" borderId="35" xfId="0" applyNumberFormat="1" applyFont="1" applyBorder="1" applyAlignment="1" applyProtection="1">
      <alignment vertical="center"/>
      <protection locked="0"/>
    </xf>
    <xf numFmtId="3" fontId="27" fillId="0" borderId="28" xfId="0" applyNumberFormat="1" applyFont="1" applyBorder="1" applyAlignment="1" applyProtection="1">
      <alignment vertical="center"/>
      <protection locked="0"/>
    </xf>
    <xf numFmtId="15" fontId="3" fillId="0" borderId="1" xfId="0" applyNumberFormat="1" applyFont="1" applyBorder="1" applyAlignment="1">
      <alignment horizontal="center" vertical="center"/>
    </xf>
    <xf numFmtId="15" fontId="3" fillId="0" borderId="12" xfId="0" applyNumberFormat="1" applyFont="1" applyBorder="1" applyAlignment="1">
      <alignment horizontal="center" vertical="center"/>
    </xf>
    <xf numFmtId="0" fontId="3" fillId="0" borderId="1" xfId="0" applyFont="1" applyBorder="1" applyAlignment="1">
      <alignment horizontal="center" vertical="center"/>
    </xf>
    <xf numFmtId="0" fontId="3" fillId="0" borderId="12" xfId="0" applyFont="1" applyBorder="1" applyAlignment="1">
      <alignment horizontal="center" vertical="center"/>
    </xf>
    <xf numFmtId="0" fontId="6" fillId="0" borderId="0" xfId="0" applyFont="1" applyAlignment="1">
      <alignment horizontal="center" vertical="center"/>
    </xf>
    <xf numFmtId="0" fontId="7" fillId="0" borderId="0" xfId="0" applyFont="1" applyAlignment="1">
      <alignment horizontal="left" vertical="center"/>
    </xf>
    <xf numFmtId="0" fontId="8" fillId="0" borderId="1" xfId="0" applyFont="1" applyBorder="1" applyAlignment="1">
      <alignment horizontal="center" vertical="center"/>
    </xf>
    <xf numFmtId="0" fontId="8" fillId="0" borderId="4" xfId="0" applyFont="1" applyBorder="1" applyAlignment="1">
      <alignment horizontal="center" vertical="center"/>
    </xf>
    <xf numFmtId="9" fontId="8" fillId="0" borderId="5" xfId="0" applyNumberFormat="1" applyFont="1" applyBorder="1" applyAlignment="1">
      <alignment horizontal="center" vertical="center"/>
    </xf>
    <xf numFmtId="9" fontId="8" fillId="0" borderId="6" xfId="0" applyNumberFormat="1" applyFont="1" applyBorder="1" applyAlignment="1">
      <alignment horizontal="center" vertical="center"/>
    </xf>
    <xf numFmtId="0" fontId="10" fillId="0" borderId="25" xfId="0" applyFont="1" applyBorder="1" applyAlignment="1">
      <alignment horizontal="center" vertical="center"/>
    </xf>
    <xf numFmtId="0" fontId="10" fillId="0" borderId="26" xfId="0" applyFont="1" applyBorder="1" applyAlignment="1">
      <alignment horizontal="center" vertical="center"/>
    </xf>
    <xf numFmtId="0" fontId="10" fillId="0" borderId="27" xfId="0" applyFont="1" applyBorder="1" applyAlignment="1">
      <alignment horizontal="center" vertical="center"/>
    </xf>
    <xf numFmtId="0" fontId="8" fillId="0" borderId="0" xfId="0" applyFont="1" applyAlignment="1">
      <alignment horizontal="center" vertical="center"/>
    </xf>
    <xf numFmtId="0" fontId="10" fillId="0" borderId="5" xfId="0" applyFont="1" applyBorder="1" applyAlignment="1">
      <alignment horizontal="center" vertical="center"/>
    </xf>
    <xf numFmtId="0" fontId="10" fillId="0" borderId="20" xfId="0" applyFont="1" applyBorder="1" applyAlignment="1">
      <alignment horizontal="center" vertical="center"/>
    </xf>
    <xf numFmtId="0" fontId="10" fillId="0" borderId="6" xfId="0" applyFont="1" applyBorder="1" applyAlignment="1">
      <alignment horizontal="center" vertical="center"/>
    </xf>
    <xf numFmtId="168" fontId="3" fillId="0" borderId="5" xfId="0" applyNumberFormat="1" applyFont="1" applyBorder="1" applyAlignment="1">
      <alignment horizontal="center" vertical="center"/>
    </xf>
    <xf numFmtId="168" fontId="3" fillId="0" borderId="6" xfId="0" applyNumberFormat="1" applyFont="1" applyBorder="1" applyAlignment="1">
      <alignment horizontal="center" vertical="center"/>
    </xf>
    <xf numFmtId="169" fontId="3" fillId="0" borderId="5" xfId="0" applyNumberFormat="1" applyFont="1" applyBorder="1" applyAlignment="1">
      <alignment horizontal="center" vertical="center"/>
    </xf>
    <xf numFmtId="169" fontId="3" fillId="0" borderId="6" xfId="0" applyNumberFormat="1" applyFont="1" applyBorder="1" applyAlignment="1">
      <alignment horizontal="center" vertical="center"/>
    </xf>
    <xf numFmtId="0" fontId="10" fillId="3" borderId="5" xfId="0" applyFont="1" applyFill="1" applyBorder="1" applyAlignment="1">
      <alignment horizontal="center" vertical="center"/>
    </xf>
    <xf numFmtId="0" fontId="10" fillId="3" borderId="20" xfId="0" applyFont="1" applyFill="1" applyBorder="1" applyAlignment="1">
      <alignment horizontal="center" vertical="center"/>
    </xf>
    <xf numFmtId="0" fontId="10" fillId="3" borderId="6" xfId="0" applyFont="1" applyFill="1" applyBorder="1" applyAlignment="1">
      <alignment horizontal="center" vertical="center"/>
    </xf>
    <xf numFmtId="164" fontId="3" fillId="3" borderId="25" xfId="0" applyNumberFormat="1" applyFont="1" applyFill="1" applyBorder="1" applyAlignment="1">
      <alignment horizontal="center" vertical="center"/>
    </xf>
    <xf numFmtId="164" fontId="3" fillId="3" borderId="26" xfId="0" applyNumberFormat="1" applyFont="1" applyFill="1" applyBorder="1" applyAlignment="1">
      <alignment horizontal="center" vertical="center"/>
    </xf>
    <xf numFmtId="164" fontId="3" fillId="3" borderId="27" xfId="0" applyNumberFormat="1" applyFont="1" applyFill="1" applyBorder="1" applyAlignment="1">
      <alignment horizontal="center" vertical="center"/>
    </xf>
    <xf numFmtId="0" fontId="14" fillId="6" borderId="48" xfId="0" applyFont="1" applyFill="1" applyBorder="1" applyAlignment="1" applyProtection="1">
      <alignment vertical="center"/>
      <protection locked="0"/>
    </xf>
    <xf numFmtId="0" fontId="14" fillId="6" borderId="49" xfId="0" applyFont="1" applyFill="1" applyBorder="1" applyAlignment="1" applyProtection="1">
      <alignment vertical="center"/>
      <protection locked="0"/>
    </xf>
    <xf numFmtId="0" fontId="15" fillId="7" borderId="0" xfId="0" applyFont="1" applyFill="1" applyAlignment="1" applyProtection="1">
      <alignment horizontal="center"/>
      <protection locked="0"/>
    </xf>
    <xf numFmtId="0" fontId="6" fillId="7" borderId="0" xfId="0" applyFont="1" applyFill="1" applyAlignment="1" applyProtection="1">
      <alignment horizontal="center"/>
      <protection locked="0"/>
    </xf>
    <xf numFmtId="0" fontId="6" fillId="0" borderId="0" xfId="0" applyFont="1" applyAlignment="1" applyProtection="1">
      <alignment horizontal="center" vertical="center"/>
      <protection locked="0"/>
    </xf>
    <xf numFmtId="171" fontId="7" fillId="0" borderId="0" xfId="0" applyNumberFormat="1" applyFont="1" applyAlignment="1" applyProtection="1">
      <alignment horizontal="center" vertical="center"/>
      <protection locked="0"/>
    </xf>
    <xf numFmtId="0" fontId="7" fillId="0" borderId="0" xfId="0" applyFont="1" applyAlignment="1" applyProtection="1">
      <alignment horizontal="center" vertical="center"/>
      <protection locked="0"/>
    </xf>
    <xf numFmtId="187" fontId="18" fillId="0" borderId="38" xfId="0" applyNumberFormat="1" applyFont="1" applyBorder="1" applyAlignment="1" applyProtection="1">
      <alignment horizontal="center" vertical="center"/>
      <protection locked="0"/>
    </xf>
    <xf numFmtId="187" fontId="18" fillId="0" borderId="40" xfId="0" applyNumberFormat="1" applyFont="1" applyBorder="1" applyAlignment="1" applyProtection="1">
      <alignment horizontal="center" vertical="center"/>
      <protection locked="0"/>
    </xf>
    <xf numFmtId="188" fontId="18" fillId="0" borderId="38" xfId="0" applyNumberFormat="1" applyFont="1" applyBorder="1" applyAlignment="1" applyProtection="1">
      <alignment horizontal="center" vertical="center"/>
      <protection locked="0"/>
    </xf>
    <xf numFmtId="188" fontId="18" fillId="0" borderId="40" xfId="0" applyNumberFormat="1" applyFont="1" applyBorder="1" applyAlignment="1" applyProtection="1">
      <alignment horizontal="center" vertical="center"/>
      <protection locked="0"/>
    </xf>
    <xf numFmtId="188" fontId="18" fillId="0" borderId="42" xfId="0" applyNumberFormat="1" applyFont="1" applyBorder="1" applyAlignment="1" applyProtection="1">
      <alignment horizontal="center" vertical="center"/>
      <protection locked="0"/>
    </xf>
    <xf numFmtId="14" fontId="18" fillId="4" borderId="40" xfId="0" applyNumberFormat="1" applyFont="1" applyFill="1" applyBorder="1" applyAlignment="1" applyProtection="1">
      <alignment horizontal="center" vertical="center"/>
      <protection locked="0"/>
    </xf>
    <xf numFmtId="14" fontId="18" fillId="4" borderId="42" xfId="0" applyNumberFormat="1" applyFont="1" applyFill="1" applyBorder="1" applyAlignment="1" applyProtection="1">
      <alignment horizontal="center" vertical="center"/>
      <protection locked="0"/>
    </xf>
    <xf numFmtId="0" fontId="18" fillId="4" borderId="40" xfId="0" applyFont="1" applyFill="1" applyBorder="1" applyAlignment="1" applyProtection="1">
      <alignment horizontal="center" vertical="center"/>
      <protection locked="0"/>
    </xf>
    <xf numFmtId="0" fontId="18" fillId="4" borderId="42" xfId="0" applyFont="1" applyFill="1" applyBorder="1" applyAlignment="1" applyProtection="1">
      <alignment horizontal="center" vertical="center"/>
      <protection locked="0"/>
    </xf>
    <xf numFmtId="0" fontId="15" fillId="4" borderId="40" xfId="0" applyFont="1" applyFill="1" applyBorder="1" applyAlignment="1" applyProtection="1">
      <alignment horizontal="center" vertical="center"/>
      <protection locked="0"/>
    </xf>
    <xf numFmtId="0" fontId="15" fillId="4" borderId="42" xfId="0" applyFont="1" applyFill="1" applyBorder="1" applyAlignment="1" applyProtection="1">
      <alignment horizontal="center" vertical="center"/>
      <protection locked="0"/>
    </xf>
    <xf numFmtId="0" fontId="8" fillId="4" borderId="0" xfId="0" applyFont="1" applyFill="1" applyAlignment="1" applyProtection="1">
      <alignment horizontal="center" vertical="center"/>
      <protection locked="0"/>
    </xf>
    <xf numFmtId="0" fontId="3"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5" fillId="0" borderId="0" xfId="0" applyFont="1" applyAlignment="1" applyProtection="1">
      <alignment vertical="center"/>
      <protection locked="0"/>
    </xf>
    <xf numFmtId="0" fontId="15" fillId="0" borderId="30" xfId="0" applyFont="1" applyBorder="1" applyAlignment="1" applyProtection="1">
      <alignment horizontal="center" vertical="center"/>
      <protection locked="0"/>
    </xf>
    <xf numFmtId="0" fontId="15" fillId="0" borderId="44" xfId="0" applyFont="1" applyBorder="1" applyAlignment="1" applyProtection="1">
      <alignment horizontal="center" vertical="center"/>
      <protection locked="0"/>
    </xf>
    <xf numFmtId="0" fontId="15" fillId="0" borderId="31" xfId="0" applyFont="1" applyBorder="1" applyAlignment="1" applyProtection="1">
      <alignment horizontal="center" vertical="center"/>
      <protection locked="0"/>
    </xf>
    <xf numFmtId="0" fontId="15" fillId="0" borderId="45" xfId="0" applyFont="1" applyBorder="1" applyAlignment="1" applyProtection="1">
      <alignment horizontal="center" vertical="center"/>
      <protection locked="0"/>
    </xf>
    <xf numFmtId="0" fontId="15" fillId="0" borderId="32" xfId="0" applyFont="1" applyBorder="1" applyAlignment="1" applyProtection="1">
      <alignment horizontal="center" vertical="center"/>
      <protection locked="0"/>
    </xf>
    <xf numFmtId="0" fontId="15" fillId="0" borderId="46" xfId="0" applyFont="1" applyBorder="1" applyAlignment="1" applyProtection="1">
      <alignment horizontal="center" vertical="center"/>
      <protection locked="0"/>
    </xf>
    <xf numFmtId="15" fontId="18" fillId="0" borderId="58" xfId="0" applyNumberFormat="1" applyFont="1" applyBorder="1" applyAlignment="1" applyProtection="1">
      <alignment horizontal="center" vertical="center" textRotation="90" wrapText="1"/>
      <protection locked="0"/>
    </xf>
    <xf numFmtId="15" fontId="18" fillId="0" borderId="61" xfId="0" applyNumberFormat="1" applyFont="1" applyBorder="1" applyAlignment="1" applyProtection="1">
      <alignment horizontal="center" vertical="center" textRotation="90" wrapText="1"/>
      <protection locked="0"/>
    </xf>
    <xf numFmtId="15" fontId="18" fillId="0" borderId="35" xfId="0" applyNumberFormat="1" applyFont="1" applyBorder="1" applyAlignment="1" applyProtection="1">
      <alignment horizontal="center" vertical="center" textRotation="90"/>
      <protection locked="0"/>
    </xf>
    <xf numFmtId="15" fontId="18" fillId="0" borderId="36" xfId="0" applyNumberFormat="1" applyFont="1" applyBorder="1" applyAlignment="1" applyProtection="1">
      <alignment horizontal="center" vertical="center" textRotation="90"/>
      <protection locked="0"/>
    </xf>
    <xf numFmtId="188" fontId="18" fillId="0" borderId="35" xfId="0" applyNumberFormat="1" applyFont="1" applyBorder="1" applyAlignment="1" applyProtection="1">
      <alignment horizontal="center" vertical="center" textRotation="90"/>
      <protection locked="0"/>
    </xf>
    <xf numFmtId="188" fontId="18" fillId="0" borderId="36" xfId="0" applyNumberFormat="1" applyFont="1" applyBorder="1" applyAlignment="1" applyProtection="1">
      <alignment horizontal="center" vertical="center" textRotation="90"/>
      <protection locked="0"/>
    </xf>
    <xf numFmtId="0" fontId="11" fillId="0" borderId="0" xfId="0" applyFont="1" applyAlignment="1" applyProtection="1">
      <alignment horizontal="left" vertical="center"/>
      <protection locked="0"/>
    </xf>
    <xf numFmtId="0" fontId="3" fillId="0" borderId="0" xfId="0" applyFont="1" applyAlignment="1" applyProtection="1">
      <alignment horizontal="left" vertical="center"/>
      <protection locked="0"/>
    </xf>
    <xf numFmtId="0" fontId="10" fillId="2" borderId="0" xfId="0" applyFont="1" applyFill="1" applyAlignment="1" applyProtection="1">
      <alignment horizontal="center" vertical="center"/>
      <protection locked="0"/>
    </xf>
    <xf numFmtId="0" fontId="19" fillId="2" borderId="0" xfId="0" applyFont="1" applyFill="1" applyAlignment="1" applyProtection="1">
      <alignment horizontal="center" vertical="center"/>
      <protection locked="0"/>
    </xf>
    <xf numFmtId="0" fontId="10" fillId="2" borderId="0" xfId="0" applyFont="1" applyFill="1" applyAlignment="1" applyProtection="1">
      <alignment horizontal="left" vertical="center"/>
      <protection locked="0"/>
    </xf>
    <xf numFmtId="0" fontId="20" fillId="2" borderId="0" xfId="0" applyFont="1" applyFill="1" applyAlignment="1" applyProtection="1">
      <alignment horizontal="center" vertical="center"/>
      <protection locked="0"/>
    </xf>
    <xf numFmtId="0" fontId="10" fillId="2" borderId="1" xfId="0" applyFont="1" applyFill="1" applyBorder="1" applyAlignment="1" applyProtection="1">
      <alignment horizontal="center" vertical="center" wrapText="1"/>
      <protection locked="0"/>
    </xf>
    <xf numFmtId="0" fontId="10" fillId="2" borderId="12" xfId="0" applyFont="1" applyFill="1" applyBorder="1" applyAlignment="1" applyProtection="1">
      <alignment horizontal="center" vertical="center" wrapText="1"/>
      <protection locked="0"/>
    </xf>
    <xf numFmtId="0" fontId="10" fillId="2" borderId="1" xfId="0" applyFont="1" applyFill="1" applyBorder="1" applyAlignment="1" applyProtection="1">
      <alignment horizontal="center" vertical="center"/>
      <protection locked="0"/>
    </xf>
    <xf numFmtId="0" fontId="10" fillId="2" borderId="59" xfId="0" applyFont="1" applyFill="1" applyBorder="1" applyAlignment="1" applyProtection="1">
      <alignment horizontal="center" vertical="center"/>
      <protection locked="0"/>
    </xf>
    <xf numFmtId="0" fontId="10" fillId="2" borderId="4" xfId="0" applyFont="1" applyFill="1" applyBorder="1" applyAlignment="1" applyProtection="1">
      <alignment horizontal="center" vertical="center"/>
      <protection locked="0"/>
    </xf>
    <xf numFmtId="0" fontId="10" fillId="2" borderId="7" xfId="0" applyFont="1" applyFill="1" applyBorder="1" applyAlignment="1" applyProtection="1">
      <alignment horizontal="center" vertical="center"/>
      <protection locked="0"/>
    </xf>
    <xf numFmtId="0" fontId="10" fillId="2" borderId="55" xfId="0" applyFont="1" applyFill="1" applyBorder="1" applyAlignment="1" applyProtection="1">
      <alignment horizontal="center" vertical="center"/>
      <protection locked="0"/>
    </xf>
    <xf numFmtId="0" fontId="10" fillId="2" borderId="56" xfId="0" applyFont="1" applyFill="1" applyBorder="1" applyAlignment="1" applyProtection="1">
      <alignment horizontal="center" vertical="center"/>
      <protection locked="0"/>
    </xf>
    <xf numFmtId="187" fontId="10" fillId="2" borderId="57" xfId="0" applyNumberFormat="1" applyFont="1" applyFill="1" applyBorder="1" applyAlignment="1" applyProtection="1">
      <alignment horizontal="center" vertical="center"/>
      <protection locked="0"/>
    </xf>
    <xf numFmtId="187" fontId="10" fillId="2" borderId="58" xfId="0" applyNumberFormat="1" applyFont="1" applyFill="1" applyBorder="1" applyAlignment="1" applyProtection="1">
      <alignment horizontal="center" vertical="center"/>
      <protection locked="0"/>
    </xf>
    <xf numFmtId="187" fontId="10" fillId="2" borderId="53" xfId="0" applyNumberFormat="1" applyFont="1" applyFill="1" applyBorder="1" applyAlignment="1" applyProtection="1">
      <alignment horizontal="center" vertical="center"/>
      <protection locked="0"/>
    </xf>
    <xf numFmtId="187" fontId="10" fillId="2" borderId="60" xfId="0" applyNumberFormat="1" applyFont="1" applyFill="1" applyBorder="1" applyAlignment="1" applyProtection="1">
      <alignment horizontal="center" vertical="center"/>
      <protection locked="0"/>
    </xf>
    <xf numFmtId="0" fontId="10" fillId="2" borderId="10" xfId="0" applyFont="1" applyFill="1" applyBorder="1" applyAlignment="1" applyProtection="1">
      <alignment horizontal="center" vertical="center"/>
      <protection locked="0"/>
    </xf>
    <xf numFmtId="0" fontId="10" fillId="2" borderId="59" xfId="0" applyFont="1" applyFill="1" applyBorder="1" applyAlignment="1" applyProtection="1">
      <alignment horizontal="center" vertical="center" wrapText="1"/>
      <protection locked="0"/>
    </xf>
    <xf numFmtId="0" fontId="10" fillId="2" borderId="15" xfId="0" applyFont="1" applyFill="1" applyBorder="1" applyAlignment="1" applyProtection="1">
      <alignment horizontal="center" vertical="center"/>
      <protection locked="0"/>
    </xf>
    <xf numFmtId="0" fontId="10" fillId="2" borderId="49" xfId="0" applyFont="1" applyFill="1" applyBorder="1" applyAlignment="1" applyProtection="1">
      <alignment horizontal="center" vertical="center"/>
      <protection locked="0"/>
    </xf>
    <xf numFmtId="0" fontId="10" fillId="2" borderId="48" xfId="0" applyFont="1" applyFill="1" applyBorder="1" applyAlignment="1" applyProtection="1">
      <alignment horizontal="center" vertical="center"/>
      <protection locked="0"/>
    </xf>
    <xf numFmtId="0" fontId="21" fillId="2" borderId="48" xfId="0" applyFont="1" applyFill="1" applyBorder="1" applyAlignment="1" applyProtection="1">
      <alignment horizontal="center" vertical="center" wrapText="1"/>
      <protection locked="0"/>
    </xf>
    <xf numFmtId="0" fontId="21" fillId="2" borderId="49" xfId="0" applyFont="1" applyFill="1" applyBorder="1" applyAlignment="1" applyProtection="1">
      <alignment horizontal="center" vertical="center" wrapText="1"/>
      <protection locked="0"/>
    </xf>
    <xf numFmtId="0" fontId="10" fillId="2" borderId="18" xfId="0" applyFont="1" applyFill="1" applyBorder="1" applyAlignment="1" applyProtection="1">
      <alignment horizontal="center" vertical="center"/>
      <protection locked="0"/>
    </xf>
    <xf numFmtId="14" fontId="10" fillId="2" borderId="57" xfId="0" applyNumberFormat="1" applyFont="1" applyFill="1" applyBorder="1" applyAlignment="1" applyProtection="1">
      <alignment horizontal="center" vertical="center"/>
      <protection locked="0"/>
    </xf>
    <xf numFmtId="14" fontId="10" fillId="2" borderId="58" xfId="0" applyNumberFormat="1" applyFont="1" applyFill="1" applyBorder="1" applyAlignment="1" applyProtection="1">
      <alignment horizontal="center" vertical="center"/>
      <protection locked="0"/>
    </xf>
    <xf numFmtId="14" fontId="10" fillId="2" borderId="53" xfId="0" applyNumberFormat="1" applyFont="1" applyFill="1" applyBorder="1" applyAlignment="1" applyProtection="1">
      <alignment horizontal="center" vertical="center"/>
      <protection locked="0"/>
    </xf>
    <xf numFmtId="14" fontId="10" fillId="2" borderId="60" xfId="0" applyNumberFormat="1" applyFont="1" applyFill="1" applyBorder="1" applyAlignment="1" applyProtection="1">
      <alignment horizontal="center" vertical="center"/>
      <protection locked="0"/>
    </xf>
    <xf numFmtId="0" fontId="21" fillId="2" borderId="56" xfId="0" applyFont="1" applyFill="1" applyBorder="1" applyAlignment="1" applyProtection="1">
      <alignment horizontal="center" vertical="center"/>
      <protection locked="0"/>
    </xf>
    <xf numFmtId="0" fontId="21" fillId="2" borderId="55" xfId="0" applyFont="1" applyFill="1" applyBorder="1" applyAlignment="1" applyProtection="1">
      <alignment horizontal="center" vertical="center"/>
      <protection locked="0"/>
    </xf>
    <xf numFmtId="0" fontId="10" fillId="2" borderId="57" xfId="0" applyFont="1" applyFill="1" applyBorder="1" applyAlignment="1" applyProtection="1">
      <alignment horizontal="center" vertical="center"/>
      <protection locked="0"/>
    </xf>
    <xf numFmtId="0" fontId="10" fillId="2" borderId="58" xfId="0" applyFont="1" applyFill="1" applyBorder="1" applyAlignment="1" applyProtection="1">
      <alignment horizontal="center" vertical="center"/>
      <protection locked="0"/>
    </xf>
    <xf numFmtId="0" fontId="10" fillId="2" borderId="51" xfId="0" applyFont="1" applyFill="1" applyBorder="1" applyAlignment="1" applyProtection="1">
      <alignment horizontal="center" vertical="center"/>
      <protection locked="0"/>
    </xf>
    <xf numFmtId="0" fontId="10" fillId="2" borderId="61" xfId="0" applyFont="1" applyFill="1" applyBorder="1" applyAlignment="1" applyProtection="1">
      <alignment horizontal="center" vertical="center"/>
      <protection locked="0"/>
    </xf>
    <xf numFmtId="0" fontId="10" fillId="2" borderId="53" xfId="0" applyFont="1" applyFill="1" applyBorder="1" applyAlignment="1" applyProtection="1">
      <alignment horizontal="center" vertical="center"/>
      <protection locked="0"/>
    </xf>
    <xf numFmtId="0" fontId="10" fillId="2" borderId="60" xfId="0" applyFont="1" applyFill="1" applyBorder="1" applyAlignment="1" applyProtection="1">
      <alignment horizontal="center" vertical="center"/>
      <protection locked="0"/>
    </xf>
    <xf numFmtId="0" fontId="21" fillId="2" borderId="48" xfId="0" applyFont="1" applyFill="1" applyBorder="1" applyAlignment="1" applyProtection="1">
      <alignment horizontal="center" vertical="center"/>
      <protection locked="0"/>
    </xf>
    <xf numFmtId="0" fontId="21" fillId="2" borderId="49" xfId="0" applyFont="1" applyFill="1" applyBorder="1" applyAlignment="1" applyProtection="1">
      <alignment horizontal="center" vertical="center"/>
      <protection locked="0"/>
    </xf>
    <xf numFmtId="164" fontId="10" fillId="2" borderId="26" xfId="0" applyNumberFormat="1" applyFont="1" applyFill="1" applyBorder="1" applyAlignment="1" applyProtection="1">
      <alignment horizontal="center" vertical="center"/>
      <protection locked="0"/>
    </xf>
    <xf numFmtId="164" fontId="10" fillId="2" borderId="70" xfId="0" applyNumberFormat="1" applyFont="1" applyFill="1" applyBorder="1" applyAlignment="1" applyProtection="1">
      <alignment horizontal="center" vertical="center"/>
      <protection locked="0"/>
    </xf>
    <xf numFmtId="164" fontId="10" fillId="2" borderId="71" xfId="0" applyNumberFormat="1" applyFont="1" applyFill="1" applyBorder="1" applyAlignment="1" applyProtection="1">
      <alignment horizontal="center" vertical="center"/>
      <protection locked="0"/>
    </xf>
    <xf numFmtId="164" fontId="10" fillId="2" borderId="71" xfId="2" applyNumberFormat="1" applyFont="1" applyFill="1" applyBorder="1" applyAlignment="1" applyProtection="1">
      <alignment horizontal="center" vertical="center"/>
      <protection locked="0"/>
    </xf>
    <xf numFmtId="164" fontId="10" fillId="2" borderId="70" xfId="2" applyNumberFormat="1" applyFont="1" applyFill="1" applyBorder="1" applyAlignment="1" applyProtection="1">
      <alignment horizontal="center" vertical="center"/>
      <protection locked="0"/>
    </xf>
    <xf numFmtId="164" fontId="10" fillId="2" borderId="27" xfId="2" applyNumberFormat="1" applyFont="1" applyFill="1" applyBorder="1" applyAlignment="1" applyProtection="1">
      <alignment horizontal="center" vertical="center"/>
      <protection locked="0"/>
    </xf>
    <xf numFmtId="164" fontId="10" fillId="2" borderId="0" xfId="0" applyNumberFormat="1" applyFont="1" applyFill="1" applyAlignment="1" applyProtection="1">
      <alignment horizontal="center" vertical="center"/>
      <protection locked="0"/>
    </xf>
    <xf numFmtId="41" fontId="10" fillId="2" borderId="71" xfId="2" applyNumberFormat="1" applyFont="1" applyFill="1" applyBorder="1" applyAlignment="1" applyProtection="1">
      <alignment horizontal="right" vertical="center"/>
      <protection locked="0"/>
    </xf>
    <xf numFmtId="41" fontId="10" fillId="2" borderId="70" xfId="2" applyNumberFormat="1" applyFont="1" applyFill="1" applyBorder="1" applyAlignment="1" applyProtection="1">
      <alignment horizontal="right" vertical="center"/>
      <protection locked="0"/>
    </xf>
    <xf numFmtId="0" fontId="10" fillId="2" borderId="0" xfId="0" applyFont="1" applyFill="1" applyAlignment="1" applyProtection="1">
      <alignment vertical="center"/>
      <protection locked="0"/>
    </xf>
    <xf numFmtId="0" fontId="10" fillId="2" borderId="23" xfId="0" applyFont="1" applyFill="1" applyBorder="1" applyAlignment="1" applyProtection="1">
      <alignment horizontal="center" vertical="center"/>
      <protection locked="0"/>
    </xf>
    <xf numFmtId="0" fontId="10" fillId="2" borderId="31" xfId="0" applyFont="1" applyFill="1" applyBorder="1" applyAlignment="1" applyProtection="1">
      <alignment horizontal="center" vertical="center"/>
      <protection locked="0"/>
    </xf>
    <xf numFmtId="176" fontId="10" fillId="2" borderId="31" xfId="0" applyNumberFormat="1" applyFont="1" applyFill="1" applyBorder="1" applyAlignment="1" applyProtection="1">
      <alignment horizontal="center" vertical="center"/>
      <protection locked="0"/>
    </xf>
    <xf numFmtId="176" fontId="10" fillId="2" borderId="28" xfId="0" applyNumberFormat="1" applyFont="1" applyFill="1" applyBorder="1" applyAlignment="1" applyProtection="1">
      <alignment horizontal="center" vertical="center"/>
      <protection locked="0"/>
    </xf>
    <xf numFmtId="0" fontId="10" fillId="2" borderId="32" xfId="0" applyFont="1" applyFill="1" applyBorder="1" applyAlignment="1" applyProtection="1">
      <alignment horizontal="center" vertical="center"/>
      <protection locked="0"/>
    </xf>
    <xf numFmtId="0" fontId="10" fillId="2" borderId="50" xfId="0" applyFont="1" applyFill="1" applyBorder="1" applyAlignment="1" applyProtection="1">
      <alignment horizontal="center" vertical="center" wrapText="1"/>
      <protection locked="0"/>
    </xf>
    <xf numFmtId="0" fontId="10" fillId="2" borderId="28" xfId="0" applyFont="1" applyFill="1" applyBorder="1" applyAlignment="1" applyProtection="1">
      <alignment horizontal="center" vertical="center"/>
      <protection locked="0"/>
    </xf>
    <xf numFmtId="0" fontId="10" fillId="2" borderId="34" xfId="0" applyFont="1" applyFill="1" applyBorder="1" applyAlignment="1" applyProtection="1">
      <alignment horizontal="center" vertical="center"/>
      <protection locked="0"/>
    </xf>
    <xf numFmtId="164" fontId="10" fillId="2" borderId="26" xfId="2" applyNumberFormat="1" applyFont="1" applyFill="1" applyBorder="1" applyAlignment="1" applyProtection="1">
      <alignment horizontal="left" vertical="center"/>
      <protection locked="0"/>
    </xf>
    <xf numFmtId="164" fontId="10" fillId="2" borderId="70" xfId="2" applyNumberFormat="1" applyFont="1" applyFill="1" applyBorder="1" applyAlignment="1" applyProtection="1">
      <alignment horizontal="left" vertical="center"/>
      <protection locked="0"/>
    </xf>
    <xf numFmtId="0" fontId="10" fillId="2" borderId="4" xfId="0" applyFont="1" applyFill="1" applyBorder="1" applyAlignment="1" applyProtection="1">
      <alignment horizontal="center" vertical="center" wrapText="1"/>
      <protection locked="0"/>
    </xf>
    <xf numFmtId="164" fontId="10" fillId="2" borderId="2" xfId="2" applyNumberFormat="1" applyFont="1" applyFill="1" applyBorder="1" applyAlignment="1" applyProtection="1">
      <alignment horizontal="center" vertical="center"/>
      <protection locked="0"/>
    </xf>
    <xf numFmtId="164" fontId="10" fillId="2" borderId="58" xfId="2" applyNumberFormat="1" applyFont="1" applyFill="1" applyBorder="1" applyAlignment="1" applyProtection="1">
      <alignment horizontal="center" vertical="center"/>
      <protection locked="0"/>
    </xf>
    <xf numFmtId="164" fontId="10" fillId="2" borderId="57" xfId="2" applyNumberFormat="1" applyFont="1" applyFill="1" applyBorder="1" applyAlignment="1" applyProtection="1">
      <alignment horizontal="center" vertical="center"/>
      <protection locked="0"/>
    </xf>
    <xf numFmtId="164" fontId="10" fillId="2" borderId="56" xfId="2" applyNumberFormat="1" applyFont="1" applyFill="1" applyBorder="1" applyAlignment="1" applyProtection="1">
      <alignment horizontal="center" vertical="center"/>
      <protection locked="0"/>
    </xf>
    <xf numFmtId="164" fontId="10" fillId="2" borderId="55" xfId="2" applyNumberFormat="1" applyFont="1" applyFill="1" applyBorder="1" applyAlignment="1" applyProtection="1">
      <alignment horizontal="center" vertical="center"/>
      <protection locked="0"/>
    </xf>
    <xf numFmtId="164" fontId="10" fillId="2" borderId="9" xfId="2" applyNumberFormat="1" applyFont="1" applyFill="1" applyBorder="1" applyAlignment="1" applyProtection="1">
      <alignment horizontal="center" vertical="center"/>
      <protection locked="0"/>
    </xf>
    <xf numFmtId="164" fontId="10" fillId="2" borderId="57" xfId="2" applyNumberFormat="1" applyFont="1" applyFill="1" applyBorder="1" applyAlignment="1" applyProtection="1">
      <alignment vertical="center"/>
      <protection locked="0"/>
    </xf>
    <xf numFmtId="164" fontId="10" fillId="2" borderId="58" xfId="2" applyNumberFormat="1" applyFont="1" applyFill="1" applyBorder="1" applyAlignment="1" applyProtection="1">
      <alignment vertical="center"/>
      <protection locked="0"/>
    </xf>
    <xf numFmtId="164" fontId="10" fillId="2" borderId="56" xfId="2" applyNumberFormat="1" applyFont="1" applyFill="1" applyBorder="1" applyAlignment="1" applyProtection="1">
      <alignment vertical="center"/>
      <protection locked="0"/>
    </xf>
    <xf numFmtId="164" fontId="10" fillId="2" borderId="10" xfId="2" applyNumberFormat="1" applyFont="1" applyFill="1" applyBorder="1" applyAlignment="1" applyProtection="1">
      <alignment vertical="center"/>
      <protection locked="0"/>
    </xf>
    <xf numFmtId="164" fontId="10" fillId="2" borderId="22" xfId="2" applyNumberFormat="1" applyFont="1" applyFill="1" applyBorder="1" applyAlignment="1" applyProtection="1">
      <alignment horizontal="center" vertical="center"/>
      <protection locked="0"/>
    </xf>
    <xf numFmtId="164" fontId="10" fillId="2" borderId="62" xfId="2" applyNumberFormat="1" applyFont="1" applyFill="1" applyBorder="1" applyAlignment="1" applyProtection="1">
      <alignment horizontal="center" vertical="center"/>
      <protection locked="0"/>
    </xf>
    <xf numFmtId="164" fontId="10" fillId="2" borderId="54" xfId="2" applyNumberFormat="1" applyFont="1" applyFill="1" applyBorder="1" applyAlignment="1" applyProtection="1">
      <alignment horizontal="center" vertical="center"/>
      <protection locked="0"/>
    </xf>
    <xf numFmtId="164" fontId="10" fillId="2" borderId="73" xfId="2" applyNumberFormat="1" applyFont="1" applyFill="1" applyBorder="1" applyAlignment="1" applyProtection="1">
      <alignment horizontal="center" vertical="center"/>
      <protection locked="0"/>
    </xf>
    <xf numFmtId="164" fontId="10" fillId="2" borderId="67" xfId="2" applyNumberFormat="1" applyFont="1" applyFill="1" applyBorder="1" applyAlignment="1" applyProtection="1">
      <alignment horizontal="center" vertical="center"/>
      <protection locked="0"/>
    </xf>
    <xf numFmtId="164" fontId="10" fillId="2" borderId="20" xfId="2" applyNumberFormat="1" applyFont="1" applyFill="1" applyBorder="1" applyAlignment="1" applyProtection="1">
      <alignment horizontal="center" vertical="center"/>
      <protection locked="0"/>
    </xf>
    <xf numFmtId="41" fontId="10" fillId="2" borderId="56" xfId="2" applyNumberFormat="1" applyFont="1" applyFill="1" applyBorder="1" applyAlignment="1" applyProtection="1">
      <alignment horizontal="left" vertical="center"/>
      <protection locked="0"/>
    </xf>
    <xf numFmtId="41" fontId="10" fillId="2" borderId="55" xfId="2" applyNumberFormat="1" applyFont="1" applyFill="1" applyBorder="1" applyAlignment="1" applyProtection="1">
      <alignment horizontal="left" vertical="center"/>
      <protection locked="0"/>
    </xf>
    <xf numFmtId="164" fontId="10" fillId="2" borderId="54" xfId="2" applyNumberFormat="1" applyFont="1" applyFill="1" applyBorder="1" applyAlignment="1" applyProtection="1">
      <alignment vertical="center"/>
      <protection locked="0"/>
    </xf>
    <xf numFmtId="164" fontId="10" fillId="2" borderId="62" xfId="2" applyNumberFormat="1" applyFont="1" applyFill="1" applyBorder="1" applyAlignment="1" applyProtection="1">
      <alignment vertical="center"/>
      <protection locked="0"/>
    </xf>
    <xf numFmtId="164" fontId="10" fillId="2" borderId="73" xfId="2" applyNumberFormat="1" applyFont="1" applyFill="1" applyBorder="1" applyAlignment="1" applyProtection="1">
      <alignment vertical="center"/>
      <protection locked="0"/>
    </xf>
    <xf numFmtId="164" fontId="10" fillId="2" borderId="6" xfId="2" applyNumberFormat="1" applyFont="1" applyFill="1" applyBorder="1" applyAlignment="1" applyProtection="1">
      <alignment vertical="center"/>
      <protection locked="0"/>
    </xf>
    <xf numFmtId="41" fontId="10" fillId="2" borderId="9" xfId="2" applyNumberFormat="1" applyFont="1" applyFill="1" applyBorder="1" applyAlignment="1" applyProtection="1">
      <alignment vertical="center"/>
      <protection locked="0"/>
    </xf>
    <xf numFmtId="41" fontId="10" fillId="2" borderId="55" xfId="2" applyNumberFormat="1" applyFont="1" applyFill="1" applyBorder="1" applyAlignment="1" applyProtection="1">
      <alignment vertical="center"/>
      <protection locked="0"/>
    </xf>
    <xf numFmtId="41" fontId="10" fillId="2" borderId="56" xfId="2" applyNumberFormat="1" applyFont="1" applyFill="1" applyBorder="1" applyAlignment="1" applyProtection="1">
      <alignment vertical="center"/>
      <protection locked="0"/>
    </xf>
    <xf numFmtId="41" fontId="10" fillId="2" borderId="54" xfId="2" applyNumberFormat="1" applyFont="1" applyFill="1" applyBorder="1" applyAlignment="1" applyProtection="1">
      <alignment horizontal="left" vertical="center"/>
      <protection locked="0"/>
    </xf>
    <xf numFmtId="41" fontId="10" fillId="2" borderId="62" xfId="2" applyNumberFormat="1" applyFont="1" applyFill="1" applyBorder="1" applyAlignment="1" applyProtection="1">
      <alignment horizontal="left" vertical="center"/>
      <protection locked="0"/>
    </xf>
    <xf numFmtId="164" fontId="10" fillId="2" borderId="9" xfId="2" applyNumberFormat="1" applyFont="1" applyFill="1" applyBorder="1" applyAlignment="1" applyProtection="1">
      <alignment vertical="center"/>
      <protection locked="0"/>
    </xf>
    <xf numFmtId="164" fontId="10" fillId="2" borderId="55" xfId="2" applyNumberFormat="1" applyFont="1" applyFill="1" applyBorder="1" applyAlignment="1" applyProtection="1">
      <alignment vertical="center"/>
      <protection locked="0"/>
    </xf>
    <xf numFmtId="41" fontId="10" fillId="2" borderId="43" xfId="2" applyNumberFormat="1" applyFont="1" applyFill="1" applyBorder="1" applyAlignment="1" applyProtection="1">
      <alignment horizontal="center" vertical="center"/>
      <protection locked="0"/>
    </xf>
    <xf numFmtId="41" fontId="10" fillId="2" borderId="74" xfId="2" applyNumberFormat="1" applyFont="1" applyFill="1" applyBorder="1" applyAlignment="1" applyProtection="1">
      <alignment vertical="center"/>
      <protection locked="0"/>
    </xf>
    <xf numFmtId="41" fontId="10" fillId="2" borderId="62" xfId="2" applyNumberFormat="1" applyFont="1" applyFill="1" applyBorder="1" applyAlignment="1" applyProtection="1">
      <alignment vertical="center"/>
      <protection locked="0"/>
    </xf>
    <xf numFmtId="41" fontId="10" fillId="2" borderId="54" xfId="2" applyNumberFormat="1" applyFont="1" applyFill="1" applyBorder="1" applyAlignment="1" applyProtection="1">
      <alignment vertical="center"/>
      <protection locked="0"/>
    </xf>
    <xf numFmtId="164" fontId="10" fillId="2" borderId="74" xfId="2" applyNumberFormat="1" applyFont="1" applyFill="1" applyBorder="1" applyAlignment="1" applyProtection="1">
      <alignment vertical="center"/>
      <protection locked="0"/>
    </xf>
    <xf numFmtId="41" fontId="10" fillId="2" borderId="75" xfId="2" applyNumberFormat="1" applyFont="1" applyFill="1" applyBorder="1" applyAlignment="1" applyProtection="1">
      <alignment vertical="center"/>
      <protection locked="0"/>
    </xf>
    <xf numFmtId="164" fontId="10" fillId="2" borderId="56" xfId="2" applyNumberFormat="1" applyFont="1" applyFill="1" applyBorder="1" applyAlignment="1" applyProtection="1">
      <alignment horizontal="left" vertical="center"/>
      <protection locked="0"/>
    </xf>
    <xf numFmtId="164" fontId="10" fillId="2" borderId="55" xfId="2" applyNumberFormat="1" applyFont="1" applyFill="1" applyBorder="1" applyAlignment="1" applyProtection="1">
      <alignment horizontal="left" vertical="center"/>
      <protection locked="0"/>
    </xf>
    <xf numFmtId="164" fontId="10" fillId="2" borderId="54" xfId="2" applyNumberFormat="1" applyFont="1" applyFill="1" applyBorder="1" applyAlignment="1" applyProtection="1">
      <alignment horizontal="left" vertical="center"/>
      <protection locked="0"/>
    </xf>
    <xf numFmtId="164" fontId="10" fillId="2" borderId="62" xfId="2" applyNumberFormat="1" applyFont="1" applyFill="1" applyBorder="1" applyAlignment="1" applyProtection="1">
      <alignment horizontal="left" vertical="center"/>
      <protection locked="0"/>
    </xf>
    <xf numFmtId="164" fontId="10" fillId="2" borderId="45" xfId="2" applyNumberFormat="1" applyFont="1" applyFill="1" applyBorder="1" applyAlignment="1" applyProtection="1">
      <alignment vertical="center"/>
      <protection locked="0"/>
    </xf>
    <xf numFmtId="164" fontId="10" fillId="2" borderId="23" xfId="2" applyNumberFormat="1" applyFont="1" applyFill="1" applyBorder="1" applyAlignment="1" applyProtection="1">
      <alignment vertical="center"/>
      <protection locked="0"/>
    </xf>
    <xf numFmtId="41" fontId="10" fillId="2" borderId="26" xfId="2" applyNumberFormat="1" applyFont="1" applyFill="1" applyBorder="1" applyAlignment="1" applyProtection="1">
      <alignment vertical="center"/>
      <protection locked="0"/>
    </xf>
    <xf numFmtId="41" fontId="10" fillId="2" borderId="70" xfId="2" applyNumberFormat="1" applyFont="1" applyFill="1" applyBorder="1" applyAlignment="1" applyProtection="1">
      <alignment vertical="center"/>
      <protection locked="0"/>
    </xf>
    <xf numFmtId="41" fontId="10" fillId="2" borderId="71" xfId="2" applyNumberFormat="1" applyFont="1" applyFill="1" applyBorder="1" applyAlignment="1" applyProtection="1">
      <alignment vertical="center"/>
      <protection locked="0"/>
    </xf>
    <xf numFmtId="41" fontId="10" fillId="2" borderId="71" xfId="2" applyNumberFormat="1" applyFont="1" applyFill="1" applyBorder="1" applyAlignment="1" applyProtection="1">
      <alignment horizontal="center" vertical="center"/>
      <protection locked="0"/>
    </xf>
    <xf numFmtId="41" fontId="10" fillId="2" borderId="26" xfId="2" applyNumberFormat="1" applyFont="1" applyFill="1" applyBorder="1" applyAlignment="1" applyProtection="1">
      <alignment horizontal="center" vertical="center"/>
      <protection locked="0"/>
    </xf>
    <xf numFmtId="41" fontId="10" fillId="2" borderId="27" xfId="2" applyNumberFormat="1" applyFont="1" applyFill="1" applyBorder="1" applyAlignment="1" applyProtection="1">
      <alignment horizontal="center" vertical="center"/>
      <protection locked="0"/>
    </xf>
    <xf numFmtId="0" fontId="10" fillId="2" borderId="3" xfId="0" applyFont="1" applyFill="1" applyBorder="1" applyAlignment="1" applyProtection="1">
      <alignment horizontal="center" vertical="center"/>
      <protection locked="0"/>
    </xf>
    <xf numFmtId="0" fontId="10" fillId="2" borderId="50" xfId="0" applyFont="1" applyFill="1" applyBorder="1" applyAlignment="1" applyProtection="1">
      <alignment horizontal="center" vertical="center"/>
      <protection locked="0"/>
    </xf>
    <xf numFmtId="0" fontId="10" fillId="2" borderId="6" xfId="0" applyFont="1" applyFill="1" applyBorder="1" applyAlignment="1" applyProtection="1">
      <alignment horizontal="center" vertical="center"/>
      <protection locked="0"/>
    </xf>
    <xf numFmtId="0" fontId="10" fillId="2" borderId="28" xfId="2" applyNumberFormat="1" applyFont="1" applyFill="1" applyBorder="1" applyAlignment="1" applyProtection="1">
      <alignment horizontal="center" vertical="center"/>
      <protection locked="0"/>
    </xf>
    <xf numFmtId="177" fontId="10" fillId="2" borderId="57" xfId="0" applyNumberFormat="1" applyFont="1" applyFill="1" applyBorder="1" applyAlignment="1" applyProtection="1">
      <alignment horizontal="center" vertical="center"/>
      <protection locked="0"/>
    </xf>
    <xf numFmtId="177" fontId="10" fillId="2" borderId="58" xfId="0" applyNumberFormat="1" applyFont="1" applyFill="1" applyBorder="1" applyAlignment="1" applyProtection="1">
      <alignment horizontal="center" vertical="center"/>
      <protection locked="0"/>
    </xf>
    <xf numFmtId="177" fontId="10" fillId="2" borderId="53" xfId="0" applyNumberFormat="1" applyFont="1" applyFill="1" applyBorder="1" applyAlignment="1" applyProtection="1">
      <alignment horizontal="center" vertical="center"/>
      <protection locked="0"/>
    </xf>
    <xf numFmtId="177" fontId="10" fillId="2" borderId="60" xfId="0" applyNumberFormat="1" applyFont="1" applyFill="1" applyBorder="1" applyAlignment="1" applyProtection="1">
      <alignment horizontal="center" vertical="center"/>
      <protection locked="0"/>
    </xf>
    <xf numFmtId="177" fontId="10" fillId="2" borderId="31" xfId="0" applyNumberFormat="1" applyFont="1" applyFill="1" applyBorder="1" applyAlignment="1" applyProtection="1">
      <alignment horizontal="center" vertical="center"/>
      <protection locked="0"/>
    </xf>
    <xf numFmtId="177" fontId="10" fillId="2" borderId="28" xfId="0" applyNumberFormat="1" applyFont="1" applyFill="1" applyBorder="1" applyAlignment="1" applyProtection="1">
      <alignment horizontal="center" vertical="center"/>
      <protection locked="0"/>
    </xf>
    <xf numFmtId="0" fontId="10" fillId="2" borderId="1" xfId="0" applyFont="1" applyFill="1" applyBorder="1" applyAlignment="1" applyProtection="1">
      <alignment horizontal="center" vertical="center" textRotation="255"/>
      <protection locked="0"/>
    </xf>
    <xf numFmtId="0" fontId="10" fillId="2" borderId="59" xfId="0" applyFont="1" applyFill="1" applyBorder="1" applyAlignment="1" applyProtection="1">
      <alignment horizontal="center" vertical="center" textRotation="255"/>
      <protection locked="0"/>
    </xf>
    <xf numFmtId="0" fontId="10" fillId="2" borderId="4" xfId="0" applyFont="1" applyFill="1" applyBorder="1" applyAlignment="1" applyProtection="1">
      <alignment horizontal="center" vertical="center" textRotation="255"/>
      <protection locked="0"/>
    </xf>
    <xf numFmtId="0" fontId="10" fillId="2" borderId="25" xfId="0" applyFont="1" applyFill="1" applyBorder="1" applyAlignment="1" applyProtection="1">
      <alignment horizontal="left" vertical="center"/>
      <protection locked="0"/>
    </xf>
    <xf numFmtId="0" fontId="10" fillId="2" borderId="26" xfId="0" applyFont="1" applyFill="1" applyBorder="1" applyAlignment="1" applyProtection="1">
      <alignment horizontal="left" vertical="center"/>
      <protection locked="0"/>
    </xf>
    <xf numFmtId="0" fontId="10" fillId="2" borderId="27" xfId="0" applyFont="1" applyFill="1" applyBorder="1" applyAlignment="1" applyProtection="1">
      <alignment horizontal="left" vertical="center"/>
      <protection locked="0"/>
    </xf>
    <xf numFmtId="164" fontId="10" fillId="2" borderId="25" xfId="2" applyNumberFormat="1" applyFont="1" applyFill="1" applyBorder="1" applyAlignment="1" applyProtection="1">
      <alignment horizontal="center" vertical="center"/>
      <protection locked="0"/>
    </xf>
    <xf numFmtId="164" fontId="10" fillId="2" borderId="26" xfId="2" applyNumberFormat="1" applyFont="1" applyFill="1" applyBorder="1" applyAlignment="1" applyProtection="1">
      <alignment horizontal="center" vertical="center"/>
      <protection locked="0"/>
    </xf>
    <xf numFmtId="41" fontId="10" fillId="2" borderId="70" xfId="2" applyNumberFormat="1" applyFont="1" applyFill="1" applyBorder="1" applyAlignment="1" applyProtection="1">
      <alignment horizontal="center" vertical="center"/>
      <protection locked="0"/>
    </xf>
    <xf numFmtId="0" fontId="10" fillId="2" borderId="48" xfId="2" applyNumberFormat="1" applyFont="1" applyFill="1" applyBorder="1" applyAlignment="1" applyProtection="1">
      <alignment horizontal="center" vertical="center"/>
      <protection locked="0"/>
    </xf>
    <xf numFmtId="0" fontId="10" fillId="2" borderId="49" xfId="2" applyNumberFormat="1" applyFont="1" applyFill="1" applyBorder="1" applyAlignment="1" applyProtection="1">
      <alignment horizontal="center" vertical="center"/>
      <protection locked="0"/>
    </xf>
    <xf numFmtId="41" fontId="10" fillId="2" borderId="25" xfId="2" applyNumberFormat="1" applyFont="1" applyFill="1" applyBorder="1" applyAlignment="1" applyProtection="1">
      <alignment horizontal="center" vertical="center"/>
      <protection locked="0"/>
    </xf>
    <xf numFmtId="0" fontId="10" fillId="2" borderId="25" xfId="0" applyFont="1" applyFill="1" applyBorder="1" applyAlignment="1">
      <alignment horizontal="center" vertical="center"/>
    </xf>
    <xf numFmtId="0" fontId="10" fillId="2" borderId="26" xfId="0" applyFont="1" applyFill="1" applyBorder="1" applyAlignment="1">
      <alignment horizontal="center" vertical="center"/>
    </xf>
    <xf numFmtId="0" fontId="10" fillId="2" borderId="27" xfId="0" applyFont="1" applyFill="1" applyBorder="1" applyAlignment="1">
      <alignment horizontal="center" vertical="center"/>
    </xf>
    <xf numFmtId="41" fontId="10" fillId="2" borderId="25" xfId="2" applyNumberFormat="1" applyFont="1" applyFill="1" applyBorder="1" applyAlignment="1" applyProtection="1">
      <alignment horizontal="center" vertical="center"/>
    </xf>
    <xf numFmtId="41" fontId="10" fillId="2" borderId="70" xfId="2" applyNumberFormat="1" applyFont="1" applyFill="1" applyBorder="1" applyAlignment="1" applyProtection="1">
      <alignment horizontal="center" vertical="center"/>
    </xf>
    <xf numFmtId="41" fontId="10" fillId="2" borderId="71" xfId="2" applyNumberFormat="1" applyFont="1" applyFill="1" applyBorder="1" applyAlignment="1" applyProtection="1">
      <alignment horizontal="center" vertical="center"/>
    </xf>
    <xf numFmtId="164" fontId="10" fillId="2" borderId="71" xfId="2" applyNumberFormat="1" applyFont="1" applyFill="1" applyBorder="1" applyAlignment="1" applyProtection="1">
      <alignment horizontal="center" vertical="center"/>
    </xf>
    <xf numFmtId="164" fontId="10" fillId="2" borderId="70" xfId="2" applyNumberFormat="1" applyFont="1" applyFill="1" applyBorder="1" applyAlignment="1" applyProtection="1">
      <alignment horizontal="center" vertical="center"/>
    </xf>
    <xf numFmtId="41" fontId="10" fillId="2" borderId="26" xfId="2" applyNumberFormat="1" applyFont="1" applyFill="1" applyBorder="1" applyAlignment="1" applyProtection="1">
      <alignment horizontal="center" vertical="center"/>
    </xf>
    <xf numFmtId="41" fontId="10" fillId="2" borderId="27" xfId="2" applyNumberFormat="1" applyFont="1" applyFill="1" applyBorder="1" applyAlignment="1" applyProtection="1">
      <alignment horizontal="center" vertical="center"/>
    </xf>
    <xf numFmtId="0" fontId="8" fillId="2" borderId="0" xfId="0" applyFont="1" applyFill="1" applyAlignment="1" applyProtection="1">
      <alignment horizontal="center" vertical="center"/>
      <protection locked="0"/>
    </xf>
    <xf numFmtId="0" fontId="3" fillId="2" borderId="26" xfId="0" applyFont="1" applyFill="1" applyBorder="1" applyAlignment="1">
      <alignment horizontal="center" vertical="center"/>
    </xf>
    <xf numFmtId="0" fontId="3" fillId="2" borderId="0" xfId="0" applyFont="1" applyFill="1" applyAlignment="1" applyProtection="1">
      <alignment horizontal="left" vertical="center"/>
      <protection locked="0"/>
    </xf>
    <xf numFmtId="0" fontId="7" fillId="2" borderId="27" xfId="0" applyFont="1" applyFill="1" applyBorder="1" applyAlignment="1" applyProtection="1">
      <alignment horizontal="center" vertical="center"/>
      <protection locked="0"/>
    </xf>
    <xf numFmtId="0" fontId="7" fillId="2" borderId="29" xfId="0" applyFont="1" applyFill="1" applyBorder="1" applyAlignment="1" applyProtection="1">
      <alignment horizontal="center" vertical="center"/>
      <protection locked="0"/>
    </xf>
    <xf numFmtId="0" fontId="15" fillId="0" borderId="25" xfId="0" applyFont="1" applyBorder="1" applyAlignment="1" applyProtection="1">
      <alignment horizontal="center" vertical="center"/>
      <protection locked="0"/>
    </xf>
    <xf numFmtId="0" fontId="15" fillId="0" borderId="26" xfId="0" applyFont="1" applyBorder="1" applyAlignment="1" applyProtection="1">
      <alignment horizontal="center" vertical="center"/>
      <protection locked="0"/>
    </xf>
    <xf numFmtId="0" fontId="15" fillId="0" borderId="27" xfId="0" applyFont="1" applyBorder="1" applyAlignment="1" applyProtection="1">
      <alignment horizontal="center" vertical="center"/>
      <protection locked="0"/>
    </xf>
    <xf numFmtId="0" fontId="8" fillId="2" borderId="27" xfId="0" applyFont="1" applyFill="1" applyBorder="1" applyAlignment="1" applyProtection="1">
      <alignment horizontal="center" vertical="center"/>
      <protection locked="0"/>
    </xf>
    <xf numFmtId="0" fontId="8" fillId="2" borderId="29" xfId="0" applyFont="1" applyFill="1" applyBorder="1" applyAlignment="1" applyProtection="1">
      <alignment horizontal="center" vertical="center"/>
      <protection locked="0"/>
    </xf>
    <xf numFmtId="0" fontId="15" fillId="2" borderId="26" xfId="0" applyFont="1" applyFill="1" applyBorder="1" applyAlignment="1" applyProtection="1">
      <alignment horizontal="center" vertical="center"/>
      <protection locked="0"/>
    </xf>
    <xf numFmtId="0" fontId="15" fillId="2" borderId="27" xfId="0" applyFont="1" applyFill="1" applyBorder="1" applyAlignment="1" applyProtection="1">
      <alignment horizontal="center" vertical="center"/>
      <protection locked="0"/>
    </xf>
    <xf numFmtId="0" fontId="11" fillId="0" borderId="0" xfId="0" applyFont="1" applyAlignment="1" applyProtection="1">
      <alignment horizontal="center" vertical="top" wrapText="1"/>
      <protection locked="0"/>
    </xf>
    <xf numFmtId="176" fontId="3" fillId="0" borderId="0" xfId="2" applyNumberFormat="1" applyFont="1" applyProtection="1"/>
    <xf numFmtId="41" fontId="3" fillId="0" borderId="0" xfId="2" applyNumberFormat="1" applyFont="1" applyProtection="1"/>
    <xf numFmtId="0" fontId="6" fillId="0" borderId="0" xfId="0" applyFont="1" applyAlignment="1" applyProtection="1">
      <alignment horizontal="center"/>
      <protection locked="0"/>
    </xf>
    <xf numFmtId="177" fontId="8" fillId="0" borderId="0" xfId="0" applyNumberFormat="1" applyFont="1" applyAlignment="1" applyProtection="1">
      <alignment horizontal="center"/>
      <protection locked="0"/>
    </xf>
    <xf numFmtId="0" fontId="8" fillId="0" borderId="0" xfId="0" applyFont="1" applyAlignment="1" applyProtection="1">
      <alignment horizontal="center"/>
      <protection locked="0"/>
    </xf>
    <xf numFmtId="41" fontId="32" fillId="0" borderId="0" xfId="2" applyNumberFormat="1" applyFont="1" applyProtection="1">
      <protection locked="0"/>
    </xf>
    <xf numFmtId="176" fontId="3" fillId="0" borderId="0" xfId="0" applyNumberFormat="1" applyFont="1"/>
    <xf numFmtId="0" fontId="8" fillId="0" borderId="0" xfId="0" quotePrefix="1" applyFont="1" applyAlignment="1">
      <alignment horizontal="center"/>
    </xf>
    <xf numFmtId="0" fontId="8" fillId="0" borderId="0" xfId="0" applyFont="1" applyAlignment="1">
      <alignment horizontal="center"/>
    </xf>
    <xf numFmtId="0" fontId="3" fillId="0" borderId="0" xfId="0" applyFont="1"/>
    <xf numFmtId="0" fontId="8" fillId="0" borderId="0" xfId="0" applyFont="1" applyAlignment="1" applyProtection="1">
      <alignment horizontal="center" vertical="center"/>
      <protection locked="0"/>
    </xf>
    <xf numFmtId="41" fontId="3" fillId="0" borderId="0" xfId="0" applyNumberFormat="1" applyFont="1" applyAlignment="1">
      <alignment horizontal="center"/>
    </xf>
    <xf numFmtId="41" fontId="3" fillId="0" borderId="0" xfId="2" applyNumberFormat="1" applyFont="1" applyAlignment="1" applyProtection="1">
      <alignment horizontal="center"/>
    </xf>
    <xf numFmtId="41" fontId="3" fillId="0" borderId="0" xfId="0" applyNumberFormat="1" applyFont="1"/>
    <xf numFmtId="0" fontId="28" fillId="0" borderId="0" xfId="0" applyFont="1" applyAlignment="1" applyProtection="1">
      <alignment horizontal="center" vertical="center"/>
      <protection locked="0"/>
    </xf>
    <xf numFmtId="0" fontId="34" fillId="0" borderId="0" xfId="0" applyFont="1" applyAlignment="1" applyProtection="1">
      <alignment horizontal="center"/>
      <protection locked="0"/>
    </xf>
    <xf numFmtId="0" fontId="37" fillId="0" borderId="0" xfId="0" applyFont="1"/>
    <xf numFmtId="0" fontId="37" fillId="0" borderId="0" xfId="0" applyFont="1" applyAlignment="1">
      <alignment horizontal="left" vertical="center"/>
    </xf>
    <xf numFmtId="0" fontId="36" fillId="0" borderId="2" xfId="0" applyFont="1" applyBorder="1" applyAlignment="1" applyProtection="1">
      <alignment horizontal="center"/>
      <protection locked="0"/>
    </xf>
    <xf numFmtId="0" fontId="36" fillId="0" borderId="58" xfId="0" applyFont="1" applyBorder="1" applyAlignment="1" applyProtection="1">
      <alignment horizontal="center"/>
      <protection locked="0"/>
    </xf>
    <xf numFmtId="0" fontId="36" fillId="0" borderId="78" xfId="0" applyFont="1" applyBorder="1" applyAlignment="1" applyProtection="1">
      <alignment horizontal="center" vertical="center"/>
      <protection locked="0"/>
    </xf>
    <xf numFmtId="0" fontId="36" fillId="0" borderId="41" xfId="0" applyFont="1" applyBorder="1" applyAlignment="1" applyProtection="1">
      <alignment horizontal="center" vertical="center"/>
      <protection locked="0"/>
    </xf>
    <xf numFmtId="0" fontId="36" fillId="0" borderId="5" xfId="0" applyFont="1" applyBorder="1" applyAlignment="1" applyProtection="1">
      <alignment horizontal="center"/>
      <protection locked="0"/>
    </xf>
    <xf numFmtId="0" fontId="36" fillId="0" borderId="67" xfId="0" applyFont="1" applyBorder="1" applyAlignment="1" applyProtection="1">
      <alignment horizontal="center"/>
      <protection locked="0"/>
    </xf>
    <xf numFmtId="0" fontId="0" fillId="0" borderId="0" xfId="0" applyAlignment="1" applyProtection="1">
      <alignment horizontal="center" vertical="center"/>
      <protection locked="0"/>
    </xf>
    <xf numFmtId="0" fontId="0" fillId="0" borderId="15" xfId="0" applyBorder="1" applyProtection="1">
      <protection locked="0"/>
    </xf>
    <xf numFmtId="0" fontId="0" fillId="0" borderId="49" xfId="0" applyBorder="1" applyProtection="1">
      <protection locked="0"/>
    </xf>
    <xf numFmtId="0" fontId="0" fillId="0" borderId="15" xfId="0" applyBorder="1" applyAlignment="1" applyProtection="1">
      <alignment horizontal="left" wrapText="1"/>
      <protection locked="0"/>
    </xf>
    <xf numFmtId="0" fontId="0" fillId="0" borderId="49" xfId="0" applyBorder="1" applyAlignment="1" applyProtection="1">
      <alignment horizontal="left" wrapText="1"/>
      <protection locked="0"/>
    </xf>
    <xf numFmtId="0" fontId="0" fillId="0" borderId="19" xfId="0" applyBorder="1" applyProtection="1">
      <protection locked="0"/>
    </xf>
    <xf numFmtId="0" fontId="0" fillId="0" borderId="66" xfId="0" applyBorder="1" applyProtection="1">
      <protection locked="0"/>
    </xf>
    <xf numFmtId="0" fontId="0" fillId="0" borderId="15" xfId="0" applyBorder="1" applyAlignment="1" applyProtection="1">
      <alignment horizontal="center"/>
      <protection locked="0"/>
    </xf>
    <xf numFmtId="0" fontId="0" fillId="0" borderId="49" xfId="0" applyBorder="1" applyAlignment="1" applyProtection="1">
      <alignment horizontal="center"/>
      <protection locked="0"/>
    </xf>
    <xf numFmtId="0" fontId="19" fillId="0" borderId="0" xfId="0" applyFont="1" applyAlignment="1" applyProtection="1">
      <alignment horizontal="center" vertical="center"/>
      <protection locked="0"/>
    </xf>
    <xf numFmtId="16" fontId="10" fillId="0" borderId="0" xfId="0" applyNumberFormat="1" applyFont="1" applyProtection="1">
      <protection locked="0"/>
    </xf>
    <xf numFmtId="0" fontId="10" fillId="0" borderId="0" xfId="0" applyFont="1" applyProtection="1">
      <protection locked="0"/>
    </xf>
    <xf numFmtId="0" fontId="7" fillId="0" borderId="1" xfId="0" applyFont="1" applyBorder="1" applyAlignment="1" applyProtection="1">
      <alignment horizontal="center" vertical="center"/>
      <protection locked="0"/>
    </xf>
    <xf numFmtId="0" fontId="7" fillId="0" borderId="4" xfId="0" applyFont="1" applyBorder="1" applyAlignment="1" applyProtection="1">
      <alignment horizontal="center" vertical="center"/>
      <protection locked="0"/>
    </xf>
    <xf numFmtId="0" fontId="7" fillId="0" borderId="1" xfId="0" applyFont="1" applyBorder="1" applyAlignment="1">
      <alignment horizontal="center" vertical="center"/>
    </xf>
    <xf numFmtId="0" fontId="7" fillId="0" borderId="4" xfId="0" applyFont="1" applyBorder="1" applyAlignment="1">
      <alignment horizontal="center" vertical="center"/>
    </xf>
    <xf numFmtId="0" fontId="7" fillId="0" borderId="25" xfId="0" applyFont="1" applyBorder="1" applyAlignment="1" applyProtection="1">
      <alignment horizontal="center" vertical="center"/>
      <protection locked="0"/>
    </xf>
    <xf numFmtId="0" fontId="7" fillId="0" borderId="27" xfId="0" applyFont="1" applyBorder="1" applyAlignment="1" applyProtection="1">
      <alignment horizontal="center" vertical="center"/>
      <protection locked="0"/>
    </xf>
    <xf numFmtId="175" fontId="7" fillId="0" borderId="1" xfId="2" applyNumberFormat="1" applyFont="1" applyBorder="1" applyAlignment="1" applyProtection="1">
      <alignment horizontal="center" vertical="center"/>
      <protection locked="0"/>
    </xf>
    <xf numFmtId="175" fontId="7" fillId="0" borderId="4" xfId="2" applyNumberFormat="1" applyFont="1" applyBorder="1" applyAlignment="1" applyProtection="1">
      <alignment horizontal="center" vertical="center"/>
      <protection locked="0"/>
    </xf>
    <xf numFmtId="173" fontId="7" fillId="0" borderId="1" xfId="0" applyNumberFormat="1" applyFont="1" applyBorder="1" applyAlignment="1" applyProtection="1">
      <alignment horizontal="center" vertical="center" wrapText="1"/>
      <protection locked="0"/>
    </xf>
    <xf numFmtId="173" fontId="7" fillId="0" borderId="4" xfId="0" applyNumberFormat="1" applyFont="1" applyBorder="1" applyAlignment="1" applyProtection="1">
      <alignment horizontal="center" vertical="center" wrapText="1"/>
      <protection locked="0"/>
    </xf>
    <xf numFmtId="175" fontId="7" fillId="0" borderId="1" xfId="2" applyNumberFormat="1" applyFont="1" applyBorder="1" applyAlignment="1" applyProtection="1">
      <alignment horizontal="center" vertical="center" wrapText="1"/>
      <protection locked="0"/>
    </xf>
    <xf numFmtId="175" fontId="7" fillId="0" borderId="4" xfId="2" applyNumberFormat="1" applyFont="1" applyBorder="1" applyAlignment="1" applyProtection="1">
      <alignment horizontal="center" vertical="center" wrapText="1"/>
      <protection locked="0"/>
    </xf>
    <xf numFmtId="0" fontId="19" fillId="0" borderId="0" xfId="0" applyFont="1" applyAlignment="1" applyProtection="1">
      <alignment horizontal="center"/>
      <protection locked="0"/>
    </xf>
    <xf numFmtId="0" fontId="3" fillId="0" borderId="0" xfId="0" applyFont="1" applyAlignment="1" applyProtection="1">
      <alignment horizontal="center"/>
      <protection locked="0"/>
    </xf>
    <xf numFmtId="0" fontId="26" fillId="0" borderId="25" xfId="0" applyFont="1" applyBorder="1" applyAlignment="1" applyProtection="1">
      <alignment horizontal="center" vertical="center"/>
      <protection locked="0"/>
    </xf>
    <xf numFmtId="0" fontId="26" fillId="0" borderId="27" xfId="0" applyFont="1" applyBorder="1" applyAlignment="1" applyProtection="1">
      <alignment horizontal="center" vertical="center"/>
      <protection locked="0"/>
    </xf>
    <xf numFmtId="0" fontId="10" fillId="0" borderId="25" xfId="0" applyFont="1" applyBorder="1" applyAlignment="1" applyProtection="1">
      <alignment horizontal="center" vertical="center"/>
      <protection locked="0"/>
    </xf>
    <xf numFmtId="0" fontId="10" fillId="0" borderId="27" xfId="0" applyFont="1" applyBorder="1" applyAlignment="1" applyProtection="1">
      <alignment horizontal="center" vertical="center"/>
      <protection locked="0"/>
    </xf>
    <xf numFmtId="0" fontId="7" fillId="0" borderId="47" xfId="0" applyFont="1" applyBorder="1" applyAlignment="1" applyProtection="1">
      <alignment horizontal="center"/>
      <protection locked="0"/>
    </xf>
    <xf numFmtId="0" fontId="41" fillId="0" borderId="51" xfId="0" applyFont="1" applyBorder="1" applyAlignment="1" applyProtection="1">
      <alignment vertical="top" wrapText="1"/>
      <protection locked="0"/>
    </xf>
    <xf numFmtId="0" fontId="41" fillId="0" borderId="0" xfId="0" applyFont="1" applyAlignment="1" applyProtection="1">
      <alignment vertical="top" wrapText="1"/>
      <protection locked="0"/>
    </xf>
    <xf numFmtId="0" fontId="41" fillId="0" borderId="0" xfId="0" applyFont="1" applyAlignment="1" applyProtection="1">
      <alignment horizontal="left" vertical="center"/>
      <protection locked="0"/>
    </xf>
    <xf numFmtId="0" fontId="41" fillId="0" borderId="0" xfId="0" applyFont="1" applyAlignment="1" applyProtection="1">
      <alignment vertical="center"/>
      <protection locked="0"/>
    </xf>
    <xf numFmtId="0" fontId="3" fillId="0" borderId="0" xfId="0" applyFont="1" applyProtection="1">
      <protection locked="0"/>
    </xf>
    <xf numFmtId="0" fontId="4" fillId="0" borderId="52" xfId="0" applyFont="1" applyBorder="1" applyAlignment="1" applyProtection="1">
      <alignment horizontal="center" vertical="center"/>
      <protection locked="0"/>
    </xf>
    <xf numFmtId="0" fontId="4" fillId="0" borderId="40" xfId="0" applyFont="1" applyBorder="1" applyAlignment="1" applyProtection="1">
      <alignment horizontal="center" vertical="center"/>
      <protection locked="0"/>
    </xf>
    <xf numFmtId="0" fontId="4" fillId="0" borderId="72" xfId="0" applyFont="1" applyBorder="1" applyAlignment="1" applyProtection="1">
      <alignment horizontal="center" vertical="center"/>
      <protection locked="0"/>
    </xf>
    <xf numFmtId="0" fontId="4" fillId="0" borderId="36" xfId="0" applyFont="1" applyBorder="1" applyAlignment="1" applyProtection="1">
      <alignment horizontal="center" vertical="center"/>
      <protection locked="0"/>
    </xf>
    <xf numFmtId="172" fontId="4" fillId="0" borderId="72" xfId="2" applyNumberFormat="1" applyFont="1" applyBorder="1" applyAlignment="1" applyProtection="1">
      <alignment horizontal="center" vertical="center" wrapText="1"/>
      <protection locked="0"/>
    </xf>
    <xf numFmtId="172" fontId="4" fillId="0" borderId="36" xfId="2" applyNumberFormat="1" applyFont="1" applyBorder="1" applyAlignment="1" applyProtection="1">
      <alignment horizontal="center" vertical="center" wrapText="1"/>
      <protection locked="0"/>
    </xf>
    <xf numFmtId="172" fontId="4" fillId="0" borderId="72" xfId="2" applyNumberFormat="1" applyFont="1" applyBorder="1" applyAlignment="1" applyProtection="1">
      <alignment horizontal="center" vertical="center"/>
      <protection locked="0"/>
    </xf>
    <xf numFmtId="172" fontId="4" fillId="0" borderId="36" xfId="2" applyNumberFormat="1" applyFont="1" applyBorder="1" applyAlignment="1" applyProtection="1">
      <alignment horizontal="center" vertical="center"/>
      <protection locked="0"/>
    </xf>
    <xf numFmtId="0" fontId="20" fillId="0" borderId="0" xfId="0" applyFont="1" applyAlignment="1" applyProtection="1">
      <alignment horizontal="center"/>
      <protection locked="0"/>
    </xf>
    <xf numFmtId="172" fontId="3" fillId="0" borderId="0" xfId="2" applyNumberFormat="1" applyFont="1" applyAlignment="1" applyProtection="1">
      <alignment vertical="center"/>
      <protection locked="0"/>
    </xf>
    <xf numFmtId="0" fontId="4" fillId="0" borderId="0" xfId="0" applyFont="1" applyAlignment="1" applyProtection="1">
      <alignment horizontal="left" vertical="center"/>
      <protection locked="0"/>
    </xf>
    <xf numFmtId="0" fontId="8" fillId="0" borderId="2" xfId="0" applyFont="1" applyBorder="1" applyAlignment="1" applyProtection="1">
      <alignment horizontal="center" vertical="center"/>
      <protection locked="0"/>
    </xf>
    <xf numFmtId="0" fontId="8" fillId="0" borderId="47"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5" xfId="0" applyFont="1" applyBorder="1" applyAlignment="1" applyProtection="1">
      <alignment horizontal="center" vertical="center"/>
      <protection locked="0"/>
    </xf>
    <xf numFmtId="0" fontId="8" fillId="0" borderId="20" xfId="0" applyFont="1" applyBorder="1" applyAlignment="1" applyProtection="1">
      <alignment horizontal="center" vertical="center"/>
      <protection locked="0"/>
    </xf>
    <xf numFmtId="0" fontId="8" fillId="0" borderId="6" xfId="0" applyFont="1" applyBorder="1" applyAlignment="1" applyProtection="1">
      <alignment horizontal="center" vertical="center"/>
      <protection locked="0"/>
    </xf>
    <xf numFmtId="0" fontId="3" fillId="0" borderId="0" xfId="0" applyFont="1" applyAlignment="1" applyProtection="1">
      <alignment horizontal="center" vertical="center"/>
      <protection locked="0"/>
    </xf>
    <xf numFmtId="172" fontId="8" fillId="0" borderId="0" xfId="2" applyNumberFormat="1" applyFont="1" applyAlignment="1" applyProtection="1">
      <alignment horizontal="center" vertical="center"/>
      <protection locked="0"/>
    </xf>
    <xf numFmtId="172" fontId="3" fillId="0" borderId="72" xfId="2" applyNumberFormat="1" applyFont="1" applyBorder="1" applyAlignment="1" applyProtection="1">
      <alignment horizontal="center" vertical="center"/>
      <protection locked="0"/>
    </xf>
    <xf numFmtId="172" fontId="3" fillId="0" borderId="36" xfId="2" applyNumberFormat="1" applyFont="1" applyBorder="1" applyAlignment="1" applyProtection="1">
      <alignment horizontal="center" vertical="center"/>
      <protection locked="0"/>
    </xf>
    <xf numFmtId="172" fontId="4" fillId="0" borderId="57" xfId="2" applyNumberFormat="1" applyFont="1" applyBorder="1" applyAlignment="1" applyProtection="1">
      <alignment horizontal="center" vertical="center"/>
      <protection locked="0"/>
    </xf>
    <xf numFmtId="172" fontId="4" fillId="0" borderId="51" xfId="2" applyNumberFormat="1" applyFont="1" applyBorder="1" applyAlignment="1" applyProtection="1">
      <alignment horizontal="center" vertical="center"/>
      <protection locked="0"/>
    </xf>
    <xf numFmtId="0" fontId="3" fillId="0" borderId="32" xfId="0" applyFont="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41" fontId="3" fillId="0" borderId="28" xfId="2" applyNumberFormat="1" applyFont="1" applyBorder="1" applyAlignment="1" applyProtection="1">
      <alignment horizontal="center" vertical="center"/>
      <protection locked="0"/>
    </xf>
    <xf numFmtId="172" fontId="3" fillId="0" borderId="28" xfId="2" applyNumberFormat="1" applyFont="1" applyBorder="1" applyAlignment="1" applyProtection="1">
      <alignment horizontal="center" vertical="center"/>
      <protection locked="0"/>
    </xf>
    <xf numFmtId="41" fontId="3" fillId="0" borderId="39" xfId="0" applyNumberFormat="1" applyFont="1" applyBorder="1" applyAlignment="1" applyProtection="1">
      <alignment horizontal="center" vertical="center"/>
      <protection locked="0"/>
    </xf>
    <xf numFmtId="41" fontId="3" fillId="0" borderId="43" xfId="0" applyNumberFormat="1" applyFont="1" applyBorder="1" applyAlignment="1" applyProtection="1">
      <alignment horizontal="center" vertical="center"/>
      <protection locked="0"/>
    </xf>
    <xf numFmtId="172" fontId="4" fillId="0" borderId="68" xfId="2" applyNumberFormat="1" applyFont="1" applyBorder="1" applyAlignment="1" applyProtection="1">
      <alignment horizontal="center" vertical="center"/>
      <protection locked="0"/>
    </xf>
    <xf numFmtId="41" fontId="3" fillId="0" borderId="56" xfId="2" applyNumberFormat="1" applyFont="1" applyBorder="1" applyAlignment="1" applyProtection="1">
      <alignment horizontal="center" vertical="center"/>
      <protection locked="0"/>
    </xf>
    <xf numFmtId="41" fontId="3" fillId="0" borderId="55" xfId="2" applyNumberFormat="1" applyFont="1" applyBorder="1" applyAlignment="1" applyProtection="1">
      <alignment horizontal="center" vertical="center"/>
      <protection locked="0"/>
    </xf>
    <xf numFmtId="41" fontId="3" fillId="0" borderId="48" xfId="2" applyNumberFormat="1" applyFont="1" applyBorder="1" applyAlignment="1" applyProtection="1">
      <alignment horizontal="center" vertical="center"/>
      <protection locked="0"/>
    </xf>
    <xf numFmtId="41" fontId="3" fillId="0" borderId="49" xfId="2" applyNumberFormat="1" applyFont="1" applyBorder="1" applyAlignment="1" applyProtection="1">
      <alignment horizontal="center" vertical="center"/>
      <protection locked="0"/>
    </xf>
    <xf numFmtId="41" fontId="3" fillId="0" borderId="72" xfId="2" applyNumberFormat="1" applyFont="1" applyBorder="1" applyAlignment="1" applyProtection="1">
      <alignment horizontal="center" vertical="center"/>
      <protection locked="0"/>
    </xf>
    <xf numFmtId="41" fontId="3" fillId="0" borderId="37" xfId="2" applyNumberFormat="1" applyFont="1" applyBorder="1" applyAlignment="1" applyProtection="1">
      <alignment horizontal="center" vertical="center"/>
      <protection locked="0"/>
    </xf>
    <xf numFmtId="0" fontId="46" fillId="0" borderId="0" xfId="0" applyFont="1" applyAlignment="1" applyProtection="1">
      <alignment horizontal="center"/>
      <protection locked="0"/>
    </xf>
    <xf numFmtId="0" fontId="30" fillId="0" borderId="0" xfId="0" applyFont="1" applyAlignment="1" applyProtection="1">
      <alignment horizontal="center"/>
      <protection locked="0"/>
    </xf>
    <xf numFmtId="0" fontId="28" fillId="0" borderId="0" xfId="0" applyFont="1" applyAlignment="1" applyProtection="1">
      <alignment horizontal="center"/>
      <protection locked="0"/>
    </xf>
    <xf numFmtId="0" fontId="29" fillId="0" borderId="1" xfId="0" applyFont="1" applyBorder="1" applyAlignment="1" applyProtection="1">
      <alignment horizontal="center"/>
      <protection locked="0"/>
    </xf>
    <xf numFmtId="0" fontId="29" fillId="0" borderId="4" xfId="0" applyFont="1" applyBorder="1" applyAlignment="1" applyProtection="1">
      <alignment horizontal="center"/>
      <protection locked="0"/>
    </xf>
    <xf numFmtId="0" fontId="31" fillId="0" borderId="8" xfId="0" applyFont="1" applyBorder="1" applyAlignment="1" applyProtection="1">
      <alignment horizontal="center" vertical="center"/>
      <protection locked="0"/>
    </xf>
    <xf numFmtId="0" fontId="31" fillId="0" borderId="21" xfId="0" applyFont="1" applyBorder="1" applyAlignment="1" applyProtection="1">
      <alignment horizontal="center" vertical="center"/>
      <protection locked="0"/>
    </xf>
    <xf numFmtId="0" fontId="31" fillId="3" borderId="80" xfId="0" applyFont="1" applyFill="1" applyBorder="1" applyAlignment="1" applyProtection="1">
      <alignment horizontal="center" vertical="center"/>
      <protection locked="0"/>
    </xf>
    <xf numFmtId="0" fontId="31" fillId="3" borderId="66" xfId="0" applyFont="1" applyFill="1" applyBorder="1" applyAlignment="1" applyProtection="1">
      <alignment horizontal="center" vertical="center"/>
      <protection locked="0"/>
    </xf>
    <xf numFmtId="0" fontId="8" fillId="0" borderId="94" xfId="0" applyFont="1" applyBorder="1" applyAlignment="1" applyProtection="1">
      <alignment horizontal="center"/>
      <protection locked="0"/>
    </xf>
    <xf numFmtId="0" fontId="8" fillId="0" borderId="105" xfId="0" applyFont="1" applyBorder="1" applyAlignment="1" applyProtection="1">
      <alignment horizontal="center"/>
      <protection locked="0"/>
    </xf>
    <xf numFmtId="0" fontId="8" fillId="0" borderId="96" xfId="0" applyFont="1" applyBorder="1" applyAlignment="1" applyProtection="1">
      <alignment horizontal="center"/>
      <protection locked="0"/>
    </xf>
    <xf numFmtId="0" fontId="8" fillId="0" borderId="91" xfId="0" applyFont="1" applyBorder="1" applyAlignment="1" applyProtection="1">
      <alignment horizontal="center"/>
      <protection locked="0"/>
    </xf>
    <xf numFmtId="0" fontId="7" fillId="3" borderId="80" xfId="0" applyFont="1" applyFill="1" applyBorder="1" applyAlignment="1" applyProtection="1">
      <alignment horizontal="center" vertical="center"/>
      <protection locked="0"/>
    </xf>
    <xf numFmtId="0" fontId="7" fillId="3" borderId="66" xfId="0" applyFont="1" applyFill="1" applyBorder="1" applyAlignment="1" applyProtection="1">
      <alignment horizontal="center" vertical="center"/>
      <protection locked="0"/>
    </xf>
    <xf numFmtId="0" fontId="53" fillId="0" borderId="0" xfId="0" applyFont="1" applyAlignment="1" applyProtection="1">
      <alignment horizontal="center"/>
      <protection locked="0"/>
    </xf>
    <xf numFmtId="0" fontId="7" fillId="3" borderId="19" xfId="0" applyFont="1" applyFill="1" applyBorder="1" applyAlignment="1" applyProtection="1">
      <alignment horizontal="center"/>
      <protection locked="0"/>
    </xf>
    <xf numFmtId="0" fontId="7" fillId="3" borderId="66" xfId="0" applyFont="1" applyFill="1" applyBorder="1" applyAlignment="1" applyProtection="1">
      <alignment horizontal="center"/>
      <protection locked="0"/>
    </xf>
    <xf numFmtId="0" fontId="8" fillId="0" borderId="50" xfId="0" applyFont="1" applyBorder="1" applyAlignment="1" applyProtection="1">
      <alignment horizontal="center"/>
      <protection locked="0"/>
    </xf>
    <xf numFmtId="0" fontId="8" fillId="2" borderId="0" xfId="0" applyFont="1" applyFill="1" applyAlignment="1" applyProtection="1">
      <alignment horizontal="center"/>
      <protection locked="0"/>
    </xf>
    <xf numFmtId="0" fontId="8" fillId="2" borderId="50" xfId="0" applyFont="1" applyFill="1" applyBorder="1" applyAlignment="1" applyProtection="1">
      <alignment horizontal="center"/>
      <protection locked="0"/>
    </xf>
    <xf numFmtId="0" fontId="61" fillId="3" borderId="80" xfId="0" applyFont="1" applyFill="1" applyBorder="1" applyAlignment="1" applyProtection="1">
      <alignment horizontal="center"/>
      <protection locked="0"/>
    </xf>
    <xf numFmtId="0" fontId="61" fillId="3" borderId="66" xfId="0" applyFont="1" applyFill="1" applyBorder="1" applyAlignment="1" applyProtection="1">
      <alignment horizontal="center"/>
      <protection locked="0"/>
    </xf>
    <xf numFmtId="0" fontId="8" fillId="0" borderId="83" xfId="0" applyFont="1" applyBorder="1" applyAlignment="1" applyProtection="1">
      <alignment horizontal="center"/>
      <protection locked="0"/>
    </xf>
    <xf numFmtId="0" fontId="8" fillId="0" borderId="93" xfId="0" applyFont="1" applyBorder="1" applyAlignment="1" applyProtection="1">
      <alignment horizontal="center"/>
      <protection locked="0"/>
    </xf>
    <xf numFmtId="0" fontId="8" fillId="0" borderId="81" xfId="0" applyFont="1" applyBorder="1" applyAlignment="1" applyProtection="1">
      <alignment horizontal="center"/>
      <protection locked="0"/>
    </xf>
    <xf numFmtId="0" fontId="8" fillId="0" borderId="85" xfId="0" applyFont="1" applyBorder="1" applyAlignment="1" applyProtection="1">
      <alignment horizontal="center"/>
      <protection locked="0"/>
    </xf>
    <xf numFmtId="0" fontId="8" fillId="0" borderId="95" xfId="0" applyFont="1" applyBorder="1" applyAlignment="1" applyProtection="1">
      <alignment horizontal="center"/>
      <protection locked="0"/>
    </xf>
    <xf numFmtId="0" fontId="8" fillId="0" borderId="103" xfId="0" applyFont="1" applyBorder="1" applyAlignment="1" applyProtection="1">
      <alignment horizontal="center"/>
      <protection locked="0"/>
    </xf>
    <xf numFmtId="0" fontId="8" fillId="0" borderId="92" xfId="0" applyFont="1" applyBorder="1" applyAlignment="1" applyProtection="1">
      <alignment horizontal="center"/>
      <protection locked="0"/>
    </xf>
    <xf numFmtId="0" fontId="8" fillId="0" borderId="102" xfId="0" applyFont="1" applyBorder="1" applyAlignment="1" applyProtection="1">
      <alignment horizontal="center"/>
      <protection locked="0"/>
    </xf>
    <xf numFmtId="0" fontId="3" fillId="3" borderId="28" xfId="0" applyFont="1" applyFill="1" applyBorder="1" applyAlignment="1" applyProtection="1">
      <alignment horizontal="center"/>
      <protection locked="0"/>
    </xf>
    <xf numFmtId="0" fontId="31" fillId="11" borderId="80" xfId="0" applyFont="1" applyFill="1" applyBorder="1" applyAlignment="1" applyProtection="1">
      <alignment horizontal="center" vertical="center"/>
      <protection locked="0"/>
    </xf>
    <xf numFmtId="0" fontId="31" fillId="11" borderId="66" xfId="0" applyFont="1" applyFill="1" applyBorder="1" applyAlignment="1" applyProtection="1">
      <alignment horizontal="center" vertical="center"/>
      <protection locked="0"/>
    </xf>
    <xf numFmtId="0" fontId="27" fillId="3" borderId="80" xfId="0" applyFont="1" applyFill="1" applyBorder="1" applyAlignment="1" applyProtection="1">
      <alignment horizontal="center" vertical="center"/>
      <protection locked="0"/>
    </xf>
    <xf numFmtId="0" fontId="27" fillId="3" borderId="66" xfId="0" applyFont="1" applyFill="1" applyBorder="1" applyAlignment="1" applyProtection="1">
      <alignment horizontal="center" vertical="center"/>
      <protection locked="0"/>
    </xf>
    <xf numFmtId="41" fontId="32" fillId="3" borderId="80" xfId="2" applyNumberFormat="1" applyFont="1" applyFill="1" applyBorder="1" applyAlignment="1" applyProtection="1">
      <alignment horizontal="center" vertical="center"/>
      <protection locked="0"/>
    </xf>
    <xf numFmtId="41" fontId="32" fillId="3" borderId="66" xfId="2" applyNumberFormat="1" applyFont="1" applyFill="1" applyBorder="1" applyAlignment="1" applyProtection="1">
      <alignment horizontal="center" vertical="center"/>
      <protection locked="0"/>
    </xf>
  </cellXfs>
  <cellStyles count="7">
    <cellStyle name="Comma" xfId="1" builtinId="3"/>
    <cellStyle name="Comma [0]" xfId="2" builtinId="6"/>
    <cellStyle name="Currency" xfId="3" builtinId="4"/>
    <cellStyle name="Normal" xfId="0" builtinId="0"/>
    <cellStyle name="Normal 2" xfId="5" xr:uid="{565D21B3-9C89-42E8-B32D-1C12A3A5B828}"/>
    <cellStyle name="Normal 3" xfId="6" xr:uid="{223CE2F6-BF1F-4A56-A801-FA1BB87C5080}"/>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9.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1</xdr:col>
      <xdr:colOff>333377</xdr:colOff>
      <xdr:row>3</xdr:row>
      <xdr:rowOff>38101</xdr:rowOff>
    </xdr:from>
    <xdr:to>
      <xdr:col>1</xdr:col>
      <xdr:colOff>1371601</xdr:colOff>
      <xdr:row>7</xdr:row>
      <xdr:rowOff>174443</xdr:rowOff>
    </xdr:to>
    <xdr:pic>
      <xdr:nvPicPr>
        <xdr:cNvPr id="4" name="Picture 2">
          <a:extLst>
            <a:ext uri="{FF2B5EF4-FFF2-40B4-BE49-F238E27FC236}">
              <a16:creationId xmlns:a16="http://schemas.microsoft.com/office/drawing/2014/main" id="{04216401-D113-45B9-82B3-0B1E78CDB4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2" y="762001"/>
          <a:ext cx="1038224" cy="8602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390525</xdr:colOff>
      <xdr:row>1</xdr:row>
      <xdr:rowOff>38100</xdr:rowOff>
    </xdr:from>
    <xdr:to>
      <xdr:col>2</xdr:col>
      <xdr:colOff>200025</xdr:colOff>
      <xdr:row>4</xdr:row>
      <xdr:rowOff>180975</xdr:rowOff>
    </xdr:to>
    <xdr:pic>
      <xdr:nvPicPr>
        <xdr:cNvPr id="3" name="Picture 3">
          <a:extLst>
            <a:ext uri="{FF2B5EF4-FFF2-40B4-BE49-F238E27FC236}">
              <a16:creationId xmlns:a16="http://schemas.microsoft.com/office/drawing/2014/main" id="{E50B678E-E312-4F37-9A6B-F1E828BC70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23850"/>
          <a:ext cx="1657350"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14967</xdr:colOff>
      <xdr:row>0</xdr:row>
      <xdr:rowOff>0</xdr:rowOff>
    </xdr:from>
    <xdr:to>
      <xdr:col>3</xdr:col>
      <xdr:colOff>163287</xdr:colOff>
      <xdr:row>3</xdr:row>
      <xdr:rowOff>64436</xdr:rowOff>
    </xdr:to>
    <xdr:pic>
      <xdr:nvPicPr>
        <xdr:cNvPr id="2" name="Picture 4">
          <a:extLst>
            <a:ext uri="{FF2B5EF4-FFF2-40B4-BE49-F238E27FC236}">
              <a16:creationId xmlns:a16="http://schemas.microsoft.com/office/drawing/2014/main" id="{21B9E719-E9E2-4FF8-A64F-A1E3E1DEFF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7288" y="0"/>
          <a:ext cx="896713" cy="8808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352426</xdr:colOff>
      <xdr:row>1</xdr:row>
      <xdr:rowOff>114300</xdr:rowOff>
    </xdr:from>
    <xdr:to>
      <xdr:col>1</xdr:col>
      <xdr:colOff>1504951</xdr:colOff>
      <xdr:row>6</xdr:row>
      <xdr:rowOff>144871</xdr:rowOff>
    </xdr:to>
    <xdr:pic>
      <xdr:nvPicPr>
        <xdr:cNvPr id="4" name="Picture 4">
          <a:extLst>
            <a:ext uri="{FF2B5EF4-FFF2-40B4-BE49-F238E27FC236}">
              <a16:creationId xmlns:a16="http://schemas.microsoft.com/office/drawing/2014/main" id="{E5C37B00-6357-45A7-9F25-BA4CE7DCF4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6" y="276225"/>
          <a:ext cx="1524000" cy="11259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28575</xdr:colOff>
      <xdr:row>3</xdr:row>
      <xdr:rowOff>38100</xdr:rowOff>
    </xdr:from>
    <xdr:to>
      <xdr:col>1</xdr:col>
      <xdr:colOff>1152525</xdr:colOff>
      <xdr:row>7</xdr:row>
      <xdr:rowOff>0</xdr:rowOff>
    </xdr:to>
    <xdr:pic>
      <xdr:nvPicPr>
        <xdr:cNvPr id="3" name="Picture 3">
          <a:extLst>
            <a:ext uri="{FF2B5EF4-FFF2-40B4-BE49-F238E27FC236}">
              <a16:creationId xmlns:a16="http://schemas.microsoft.com/office/drawing/2014/main" id="{62541191-5248-4E47-87A4-11E1A19853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900" y="352425"/>
          <a:ext cx="112395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19050</xdr:colOff>
      <xdr:row>1</xdr:row>
      <xdr:rowOff>76200</xdr:rowOff>
    </xdr:from>
    <xdr:to>
      <xdr:col>0</xdr:col>
      <xdr:colOff>1504950</xdr:colOff>
      <xdr:row>7</xdr:row>
      <xdr:rowOff>0</xdr:rowOff>
    </xdr:to>
    <xdr:pic>
      <xdr:nvPicPr>
        <xdr:cNvPr id="2" name="Picture 2">
          <a:extLst>
            <a:ext uri="{FF2B5EF4-FFF2-40B4-BE49-F238E27FC236}">
              <a16:creationId xmlns:a16="http://schemas.microsoft.com/office/drawing/2014/main" id="{05672776-17CF-48D6-9D34-73180AD933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66700"/>
          <a:ext cx="148590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354662</xdr:colOff>
      <xdr:row>0</xdr:row>
      <xdr:rowOff>76201</xdr:rowOff>
    </xdr:from>
    <xdr:to>
      <xdr:col>3</xdr:col>
      <xdr:colOff>190500</xdr:colOff>
      <xdr:row>4</xdr:row>
      <xdr:rowOff>66676</xdr:rowOff>
    </xdr:to>
    <xdr:pic>
      <xdr:nvPicPr>
        <xdr:cNvPr id="3" name="Picture 3">
          <a:extLst>
            <a:ext uri="{FF2B5EF4-FFF2-40B4-BE49-F238E27FC236}">
              <a16:creationId xmlns:a16="http://schemas.microsoft.com/office/drawing/2014/main" id="{1FEEDEC5-4875-446C-BF9B-9B3E758DDE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212" y="76201"/>
          <a:ext cx="1131238"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31590</xdr:colOff>
      <xdr:row>0</xdr:row>
      <xdr:rowOff>0</xdr:rowOff>
    </xdr:from>
    <xdr:to>
      <xdr:col>2</xdr:col>
      <xdr:colOff>1762123</xdr:colOff>
      <xdr:row>4</xdr:row>
      <xdr:rowOff>304800</xdr:rowOff>
    </xdr:to>
    <xdr:pic>
      <xdr:nvPicPr>
        <xdr:cNvPr id="4" name="Picture 4">
          <a:extLst>
            <a:ext uri="{FF2B5EF4-FFF2-40B4-BE49-F238E27FC236}">
              <a16:creationId xmlns:a16="http://schemas.microsoft.com/office/drawing/2014/main" id="{6687DD58-DBC8-4059-8D68-C2CEDEAC9A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2615" y="0"/>
          <a:ext cx="1730533" cy="160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88740</xdr:colOff>
      <xdr:row>0</xdr:row>
      <xdr:rowOff>133351</xdr:rowOff>
    </xdr:from>
    <xdr:to>
      <xdr:col>2</xdr:col>
      <xdr:colOff>1646464</xdr:colOff>
      <xdr:row>4</xdr:row>
      <xdr:rowOff>272782</xdr:rowOff>
    </xdr:to>
    <xdr:pic>
      <xdr:nvPicPr>
        <xdr:cNvPr id="2" name="Picture 4">
          <a:extLst>
            <a:ext uri="{FF2B5EF4-FFF2-40B4-BE49-F238E27FC236}">
              <a16:creationId xmlns:a16="http://schemas.microsoft.com/office/drawing/2014/main" id="{706DE956-CD9E-4604-8C0F-909E9E35BA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3847" y="133351"/>
          <a:ext cx="1557724" cy="14321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17983</xdr:colOff>
      <xdr:row>0</xdr:row>
      <xdr:rowOff>1361</xdr:rowOff>
    </xdr:from>
    <xdr:to>
      <xdr:col>2</xdr:col>
      <xdr:colOff>1796143</xdr:colOff>
      <xdr:row>4</xdr:row>
      <xdr:rowOff>279754</xdr:rowOff>
    </xdr:to>
    <xdr:pic>
      <xdr:nvPicPr>
        <xdr:cNvPr id="2" name="Picture 4">
          <a:extLst>
            <a:ext uri="{FF2B5EF4-FFF2-40B4-BE49-F238E27FC236}">
              <a16:creationId xmlns:a16="http://schemas.microsoft.com/office/drawing/2014/main" id="{D19F5718-C42F-46BC-9AF3-15CBF893E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090" y="1361"/>
          <a:ext cx="1778160" cy="15710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31590</xdr:colOff>
      <xdr:row>0</xdr:row>
      <xdr:rowOff>107950</xdr:rowOff>
    </xdr:from>
    <xdr:to>
      <xdr:col>2</xdr:col>
      <xdr:colOff>1590145</xdr:colOff>
      <xdr:row>4</xdr:row>
      <xdr:rowOff>247650</xdr:rowOff>
    </xdr:to>
    <xdr:pic>
      <xdr:nvPicPr>
        <xdr:cNvPr id="2" name="Picture 4">
          <a:extLst>
            <a:ext uri="{FF2B5EF4-FFF2-40B4-BE49-F238E27FC236}">
              <a16:creationId xmlns:a16="http://schemas.microsoft.com/office/drawing/2014/main" id="{3420E885-893E-4C56-ADC9-86A9FEF7AC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8965" y="107950"/>
          <a:ext cx="1558555" cy="144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76200</xdr:colOff>
      <xdr:row>0</xdr:row>
      <xdr:rowOff>104775</xdr:rowOff>
    </xdr:from>
    <xdr:to>
      <xdr:col>2</xdr:col>
      <xdr:colOff>66675</xdr:colOff>
      <xdr:row>6</xdr:row>
      <xdr:rowOff>76200</xdr:rowOff>
    </xdr:to>
    <xdr:pic>
      <xdr:nvPicPr>
        <xdr:cNvPr id="3" name="Picture 3">
          <a:extLst>
            <a:ext uri="{FF2B5EF4-FFF2-40B4-BE49-F238E27FC236}">
              <a16:creationId xmlns:a16="http://schemas.microsoft.com/office/drawing/2014/main" id="{F0416146-7E8E-4EFF-B512-0B757B56FD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1475" y="104775"/>
          <a:ext cx="162877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5</xdr:col>
      <xdr:colOff>276226</xdr:colOff>
      <xdr:row>0</xdr:row>
      <xdr:rowOff>161925</xdr:rowOff>
    </xdr:from>
    <xdr:to>
      <xdr:col>7</xdr:col>
      <xdr:colOff>9526</xdr:colOff>
      <xdr:row>4</xdr:row>
      <xdr:rowOff>161925</xdr:rowOff>
    </xdr:to>
    <xdr:pic>
      <xdr:nvPicPr>
        <xdr:cNvPr id="2" name="Picture 2">
          <a:extLst>
            <a:ext uri="{FF2B5EF4-FFF2-40B4-BE49-F238E27FC236}">
              <a16:creationId xmlns:a16="http://schemas.microsoft.com/office/drawing/2014/main" id="{484B65DC-A717-45D2-9169-6215787932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19876" y="161925"/>
          <a:ext cx="95250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121497</xdr:colOff>
      <xdr:row>0</xdr:row>
      <xdr:rowOff>114300</xdr:rowOff>
    </xdr:from>
    <xdr:to>
      <xdr:col>0</xdr:col>
      <xdr:colOff>1609724</xdr:colOff>
      <xdr:row>5</xdr:row>
      <xdr:rowOff>152400</xdr:rowOff>
    </xdr:to>
    <xdr:pic>
      <xdr:nvPicPr>
        <xdr:cNvPr id="3" name="Picture 3">
          <a:extLst>
            <a:ext uri="{FF2B5EF4-FFF2-40B4-BE49-F238E27FC236}">
              <a16:creationId xmlns:a16="http://schemas.microsoft.com/office/drawing/2014/main" id="{05FB4857-A901-4C1A-AB50-99E755519A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497" y="114300"/>
          <a:ext cx="1488227"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KOSONGAN\ADNINISTRASI%20SONIC%20CHICKE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TUNJUK PENGERJAAN"/>
      <sheetName val="PEMBELIAN KREDIT"/>
      <sheetName val="TO - TI"/>
      <sheetName val="LPKK"/>
      <sheetName val="VENDOR"/>
      <sheetName val="WEEKLY FC"/>
      <sheetName val="IKHTISAR FOOD COST"/>
      <sheetName val="LAP. CF"/>
      <sheetName val="LAPORAN KAS KASIER"/>
      <sheetName val="LAP. PENJUALAN"/>
      <sheetName val=" LAP. PENJUALAN ONLINE"/>
      <sheetName val="LAP. PENJUALAN ALL"/>
      <sheetName val="COST ANALYSIS"/>
      <sheetName val="LEFT OVER "/>
      <sheetName val="FC ITEM KELAS 3B"/>
      <sheetName val="HITUNGAN FC ITEM"/>
      <sheetName val="LAP. PENJUALAN SHOPEE FOOD"/>
      <sheetName val="kas periode"/>
      <sheetName val="LAPORAN KAS PERIODE"/>
      <sheetName val="LAP. PENJUALAN GOJEK"/>
      <sheetName val="LAP. PENJUALAN GRAB &amp; GOJEK"/>
      <sheetName val="SALES CONTROL"/>
      <sheetName val="FOOD COST ITEM KELAS 2,3A,3B,4"/>
      <sheetName val="FC ITEM KELAS 2 "/>
      <sheetName val="FC ITEM KELAS 3A"/>
      <sheetName val="FC ITEM KELAS 4"/>
      <sheetName val="RANDOM COOK"/>
      <sheetName val="MCC"/>
      <sheetName val="PHT"/>
      <sheetName val="PENANGGALAN "/>
      <sheetName val="MO"/>
      <sheetName val="LKK"/>
      <sheetName val="LKK FULL PAJAK"/>
      <sheetName val="STOCK CONTROL CASHIER"/>
      <sheetName val="KOREKSI KASIR"/>
      <sheetName val="PLU"/>
      <sheetName val="LOG BOOK"/>
      <sheetName val="MANAGER CEK LIST"/>
      <sheetName val="INSENTIF"/>
      <sheetName val="MANAGEMENT BOOK"/>
      <sheetName val="JADWAL"/>
      <sheetName val="TO-TI PERKEDEL"/>
      <sheetName val="TO CATTERING STAFF"/>
    </sheetNames>
    <sheetDataSet>
      <sheetData sheetId="0"/>
      <sheetData sheetId="1"/>
      <sheetData sheetId="2"/>
      <sheetData sheetId="3"/>
      <sheetData sheetId="4"/>
      <sheetData sheetId="5"/>
      <sheetData sheetId="6">
        <row r="48">
          <cell r="B48">
            <v>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9BB1B-A9CF-4F99-A51D-1EC0707FF3A1}">
  <sheetPr>
    <tabColor rgb="FFFFC000"/>
  </sheetPr>
  <dimension ref="A1:K51"/>
  <sheetViews>
    <sheetView topLeftCell="A31" workbookViewId="0">
      <selection activeCell="J41" sqref="J41"/>
    </sheetView>
  </sheetViews>
  <sheetFormatPr defaultRowHeight="12.75" x14ac:dyDescent="0.25"/>
  <cols>
    <col min="1" max="1" width="13.28515625" style="2" customWidth="1"/>
    <col min="2" max="2" width="25.28515625" style="2" customWidth="1"/>
    <col min="3" max="3" width="23" style="2" customWidth="1"/>
    <col min="4" max="4" width="15.42578125" style="2" customWidth="1"/>
    <col min="5" max="5" width="13.85546875" style="2" customWidth="1"/>
    <col min="6" max="6" width="14.7109375" style="2" customWidth="1"/>
    <col min="7" max="7" width="23.42578125" style="2" customWidth="1"/>
    <col min="8" max="8" width="14.42578125" style="2" customWidth="1"/>
    <col min="9" max="10" width="13.5703125" style="2" customWidth="1"/>
    <col min="11" max="11" width="13.7109375" style="2" customWidth="1"/>
    <col min="12" max="256" width="9.140625" style="2"/>
    <col min="257" max="257" width="13.28515625" style="2" customWidth="1"/>
    <col min="258" max="258" width="23.85546875" style="2" customWidth="1"/>
    <col min="259" max="259" width="23" style="2" customWidth="1"/>
    <col min="260" max="260" width="15.42578125" style="2" customWidth="1"/>
    <col min="261" max="261" width="13.85546875" style="2" customWidth="1"/>
    <col min="262" max="262" width="14.7109375" style="2" customWidth="1"/>
    <col min="263" max="263" width="23.42578125" style="2" customWidth="1"/>
    <col min="264" max="264" width="13.42578125" style="2" customWidth="1"/>
    <col min="265" max="265" width="11.140625" style="2" customWidth="1"/>
    <col min="266" max="266" width="13.5703125" style="2" customWidth="1"/>
    <col min="267" max="267" width="13.7109375" style="2" customWidth="1"/>
    <col min="268" max="512" width="9.140625" style="2"/>
    <col min="513" max="513" width="13.28515625" style="2" customWidth="1"/>
    <col min="514" max="514" width="23.85546875" style="2" customWidth="1"/>
    <col min="515" max="515" width="23" style="2" customWidth="1"/>
    <col min="516" max="516" width="15.42578125" style="2" customWidth="1"/>
    <col min="517" max="517" width="13.85546875" style="2" customWidth="1"/>
    <col min="518" max="518" width="14.7109375" style="2" customWidth="1"/>
    <col min="519" max="519" width="23.42578125" style="2" customWidth="1"/>
    <col min="520" max="520" width="13.42578125" style="2" customWidth="1"/>
    <col min="521" max="521" width="11.140625" style="2" customWidth="1"/>
    <col min="522" max="522" width="13.5703125" style="2" customWidth="1"/>
    <col min="523" max="523" width="13.7109375" style="2" customWidth="1"/>
    <col min="524" max="768" width="9.140625" style="2"/>
    <col min="769" max="769" width="13.28515625" style="2" customWidth="1"/>
    <col min="770" max="770" width="23.85546875" style="2" customWidth="1"/>
    <col min="771" max="771" width="23" style="2" customWidth="1"/>
    <col min="772" max="772" width="15.42578125" style="2" customWidth="1"/>
    <col min="773" max="773" width="13.85546875" style="2" customWidth="1"/>
    <col min="774" max="774" width="14.7109375" style="2" customWidth="1"/>
    <col min="775" max="775" width="23.42578125" style="2" customWidth="1"/>
    <col min="776" max="776" width="13.42578125" style="2" customWidth="1"/>
    <col min="777" max="777" width="11.140625" style="2" customWidth="1"/>
    <col min="778" max="778" width="13.5703125" style="2" customWidth="1"/>
    <col min="779" max="779" width="13.7109375" style="2" customWidth="1"/>
    <col min="780" max="1024" width="9.140625" style="2"/>
    <col min="1025" max="1025" width="13.28515625" style="2" customWidth="1"/>
    <col min="1026" max="1026" width="23.85546875" style="2" customWidth="1"/>
    <col min="1027" max="1027" width="23" style="2" customWidth="1"/>
    <col min="1028" max="1028" width="15.42578125" style="2" customWidth="1"/>
    <col min="1029" max="1029" width="13.85546875" style="2" customWidth="1"/>
    <col min="1030" max="1030" width="14.7109375" style="2" customWidth="1"/>
    <col min="1031" max="1031" width="23.42578125" style="2" customWidth="1"/>
    <col min="1032" max="1032" width="13.42578125" style="2" customWidth="1"/>
    <col min="1033" max="1033" width="11.140625" style="2" customWidth="1"/>
    <col min="1034" max="1034" width="13.5703125" style="2" customWidth="1"/>
    <col min="1035" max="1035" width="13.7109375" style="2" customWidth="1"/>
    <col min="1036" max="1280" width="9.140625" style="2"/>
    <col min="1281" max="1281" width="13.28515625" style="2" customWidth="1"/>
    <col min="1282" max="1282" width="23.85546875" style="2" customWidth="1"/>
    <col min="1283" max="1283" width="23" style="2" customWidth="1"/>
    <col min="1284" max="1284" width="15.42578125" style="2" customWidth="1"/>
    <col min="1285" max="1285" width="13.85546875" style="2" customWidth="1"/>
    <col min="1286" max="1286" width="14.7109375" style="2" customWidth="1"/>
    <col min="1287" max="1287" width="23.42578125" style="2" customWidth="1"/>
    <col min="1288" max="1288" width="13.42578125" style="2" customWidth="1"/>
    <col min="1289" max="1289" width="11.140625" style="2" customWidth="1"/>
    <col min="1290" max="1290" width="13.5703125" style="2" customWidth="1"/>
    <col min="1291" max="1291" width="13.7109375" style="2" customWidth="1"/>
    <col min="1292" max="1536" width="9.140625" style="2"/>
    <col min="1537" max="1537" width="13.28515625" style="2" customWidth="1"/>
    <col min="1538" max="1538" width="23.85546875" style="2" customWidth="1"/>
    <col min="1539" max="1539" width="23" style="2" customWidth="1"/>
    <col min="1540" max="1540" width="15.42578125" style="2" customWidth="1"/>
    <col min="1541" max="1541" width="13.85546875" style="2" customWidth="1"/>
    <col min="1542" max="1542" width="14.7109375" style="2" customWidth="1"/>
    <col min="1543" max="1543" width="23.42578125" style="2" customWidth="1"/>
    <col min="1544" max="1544" width="13.42578125" style="2" customWidth="1"/>
    <col min="1545" max="1545" width="11.140625" style="2" customWidth="1"/>
    <col min="1546" max="1546" width="13.5703125" style="2" customWidth="1"/>
    <col min="1547" max="1547" width="13.7109375" style="2" customWidth="1"/>
    <col min="1548" max="1792" width="9.140625" style="2"/>
    <col min="1793" max="1793" width="13.28515625" style="2" customWidth="1"/>
    <col min="1794" max="1794" width="23.85546875" style="2" customWidth="1"/>
    <col min="1795" max="1795" width="23" style="2" customWidth="1"/>
    <col min="1796" max="1796" width="15.42578125" style="2" customWidth="1"/>
    <col min="1797" max="1797" width="13.85546875" style="2" customWidth="1"/>
    <col min="1798" max="1798" width="14.7109375" style="2" customWidth="1"/>
    <col min="1799" max="1799" width="23.42578125" style="2" customWidth="1"/>
    <col min="1800" max="1800" width="13.42578125" style="2" customWidth="1"/>
    <col min="1801" max="1801" width="11.140625" style="2" customWidth="1"/>
    <col min="1802" max="1802" width="13.5703125" style="2" customWidth="1"/>
    <col min="1803" max="1803" width="13.7109375" style="2" customWidth="1"/>
    <col min="1804" max="2048" width="9.140625" style="2"/>
    <col min="2049" max="2049" width="13.28515625" style="2" customWidth="1"/>
    <col min="2050" max="2050" width="23.85546875" style="2" customWidth="1"/>
    <col min="2051" max="2051" width="23" style="2" customWidth="1"/>
    <col min="2052" max="2052" width="15.42578125" style="2" customWidth="1"/>
    <col min="2053" max="2053" width="13.85546875" style="2" customWidth="1"/>
    <col min="2054" max="2054" width="14.7109375" style="2" customWidth="1"/>
    <col min="2055" max="2055" width="23.42578125" style="2" customWidth="1"/>
    <col min="2056" max="2056" width="13.42578125" style="2" customWidth="1"/>
    <col min="2057" max="2057" width="11.140625" style="2" customWidth="1"/>
    <col min="2058" max="2058" width="13.5703125" style="2" customWidth="1"/>
    <col min="2059" max="2059" width="13.7109375" style="2" customWidth="1"/>
    <col min="2060" max="2304" width="9.140625" style="2"/>
    <col min="2305" max="2305" width="13.28515625" style="2" customWidth="1"/>
    <col min="2306" max="2306" width="23.85546875" style="2" customWidth="1"/>
    <col min="2307" max="2307" width="23" style="2" customWidth="1"/>
    <col min="2308" max="2308" width="15.42578125" style="2" customWidth="1"/>
    <col min="2309" max="2309" width="13.85546875" style="2" customWidth="1"/>
    <col min="2310" max="2310" width="14.7109375" style="2" customWidth="1"/>
    <col min="2311" max="2311" width="23.42578125" style="2" customWidth="1"/>
    <col min="2312" max="2312" width="13.42578125" style="2" customWidth="1"/>
    <col min="2313" max="2313" width="11.140625" style="2" customWidth="1"/>
    <col min="2314" max="2314" width="13.5703125" style="2" customWidth="1"/>
    <col min="2315" max="2315" width="13.7109375" style="2" customWidth="1"/>
    <col min="2316" max="2560" width="9.140625" style="2"/>
    <col min="2561" max="2561" width="13.28515625" style="2" customWidth="1"/>
    <col min="2562" max="2562" width="23.85546875" style="2" customWidth="1"/>
    <col min="2563" max="2563" width="23" style="2" customWidth="1"/>
    <col min="2564" max="2564" width="15.42578125" style="2" customWidth="1"/>
    <col min="2565" max="2565" width="13.85546875" style="2" customWidth="1"/>
    <col min="2566" max="2566" width="14.7109375" style="2" customWidth="1"/>
    <col min="2567" max="2567" width="23.42578125" style="2" customWidth="1"/>
    <col min="2568" max="2568" width="13.42578125" style="2" customWidth="1"/>
    <col min="2569" max="2569" width="11.140625" style="2" customWidth="1"/>
    <col min="2570" max="2570" width="13.5703125" style="2" customWidth="1"/>
    <col min="2571" max="2571" width="13.7109375" style="2" customWidth="1"/>
    <col min="2572" max="2816" width="9.140625" style="2"/>
    <col min="2817" max="2817" width="13.28515625" style="2" customWidth="1"/>
    <col min="2818" max="2818" width="23.85546875" style="2" customWidth="1"/>
    <col min="2819" max="2819" width="23" style="2" customWidth="1"/>
    <col min="2820" max="2820" width="15.42578125" style="2" customWidth="1"/>
    <col min="2821" max="2821" width="13.85546875" style="2" customWidth="1"/>
    <col min="2822" max="2822" width="14.7109375" style="2" customWidth="1"/>
    <col min="2823" max="2823" width="23.42578125" style="2" customWidth="1"/>
    <col min="2824" max="2824" width="13.42578125" style="2" customWidth="1"/>
    <col min="2825" max="2825" width="11.140625" style="2" customWidth="1"/>
    <col min="2826" max="2826" width="13.5703125" style="2" customWidth="1"/>
    <col min="2827" max="2827" width="13.7109375" style="2" customWidth="1"/>
    <col min="2828" max="3072" width="9.140625" style="2"/>
    <col min="3073" max="3073" width="13.28515625" style="2" customWidth="1"/>
    <col min="3074" max="3074" width="23.85546875" style="2" customWidth="1"/>
    <col min="3075" max="3075" width="23" style="2" customWidth="1"/>
    <col min="3076" max="3076" width="15.42578125" style="2" customWidth="1"/>
    <col min="3077" max="3077" width="13.85546875" style="2" customWidth="1"/>
    <col min="3078" max="3078" width="14.7109375" style="2" customWidth="1"/>
    <col min="3079" max="3079" width="23.42578125" style="2" customWidth="1"/>
    <col min="3080" max="3080" width="13.42578125" style="2" customWidth="1"/>
    <col min="3081" max="3081" width="11.140625" style="2" customWidth="1"/>
    <col min="3082" max="3082" width="13.5703125" style="2" customWidth="1"/>
    <col min="3083" max="3083" width="13.7109375" style="2" customWidth="1"/>
    <col min="3084" max="3328" width="9.140625" style="2"/>
    <col min="3329" max="3329" width="13.28515625" style="2" customWidth="1"/>
    <col min="3330" max="3330" width="23.85546875" style="2" customWidth="1"/>
    <col min="3331" max="3331" width="23" style="2" customWidth="1"/>
    <col min="3332" max="3332" width="15.42578125" style="2" customWidth="1"/>
    <col min="3333" max="3333" width="13.85546875" style="2" customWidth="1"/>
    <col min="3334" max="3334" width="14.7109375" style="2" customWidth="1"/>
    <col min="3335" max="3335" width="23.42578125" style="2" customWidth="1"/>
    <col min="3336" max="3336" width="13.42578125" style="2" customWidth="1"/>
    <col min="3337" max="3337" width="11.140625" style="2" customWidth="1"/>
    <col min="3338" max="3338" width="13.5703125" style="2" customWidth="1"/>
    <col min="3339" max="3339" width="13.7109375" style="2" customWidth="1"/>
    <col min="3340" max="3584" width="9.140625" style="2"/>
    <col min="3585" max="3585" width="13.28515625" style="2" customWidth="1"/>
    <col min="3586" max="3586" width="23.85546875" style="2" customWidth="1"/>
    <col min="3587" max="3587" width="23" style="2" customWidth="1"/>
    <col min="3588" max="3588" width="15.42578125" style="2" customWidth="1"/>
    <col min="3589" max="3589" width="13.85546875" style="2" customWidth="1"/>
    <col min="3590" max="3590" width="14.7109375" style="2" customWidth="1"/>
    <col min="3591" max="3591" width="23.42578125" style="2" customWidth="1"/>
    <col min="3592" max="3592" width="13.42578125" style="2" customWidth="1"/>
    <col min="3593" max="3593" width="11.140625" style="2" customWidth="1"/>
    <col min="3594" max="3594" width="13.5703125" style="2" customWidth="1"/>
    <col min="3595" max="3595" width="13.7109375" style="2" customWidth="1"/>
    <col min="3596" max="3840" width="9.140625" style="2"/>
    <col min="3841" max="3841" width="13.28515625" style="2" customWidth="1"/>
    <col min="3842" max="3842" width="23.85546875" style="2" customWidth="1"/>
    <col min="3843" max="3843" width="23" style="2" customWidth="1"/>
    <col min="3844" max="3844" width="15.42578125" style="2" customWidth="1"/>
    <col min="3845" max="3845" width="13.85546875" style="2" customWidth="1"/>
    <col min="3846" max="3846" width="14.7109375" style="2" customWidth="1"/>
    <col min="3847" max="3847" width="23.42578125" style="2" customWidth="1"/>
    <col min="3848" max="3848" width="13.42578125" style="2" customWidth="1"/>
    <col min="3849" max="3849" width="11.140625" style="2" customWidth="1"/>
    <col min="3850" max="3850" width="13.5703125" style="2" customWidth="1"/>
    <col min="3851" max="3851" width="13.7109375" style="2" customWidth="1"/>
    <col min="3852" max="4096" width="9.140625" style="2"/>
    <col min="4097" max="4097" width="13.28515625" style="2" customWidth="1"/>
    <col min="4098" max="4098" width="23.85546875" style="2" customWidth="1"/>
    <col min="4099" max="4099" width="23" style="2" customWidth="1"/>
    <col min="4100" max="4100" width="15.42578125" style="2" customWidth="1"/>
    <col min="4101" max="4101" width="13.85546875" style="2" customWidth="1"/>
    <col min="4102" max="4102" width="14.7109375" style="2" customWidth="1"/>
    <col min="4103" max="4103" width="23.42578125" style="2" customWidth="1"/>
    <col min="4104" max="4104" width="13.42578125" style="2" customWidth="1"/>
    <col min="4105" max="4105" width="11.140625" style="2" customWidth="1"/>
    <col min="4106" max="4106" width="13.5703125" style="2" customWidth="1"/>
    <col min="4107" max="4107" width="13.7109375" style="2" customWidth="1"/>
    <col min="4108" max="4352" width="9.140625" style="2"/>
    <col min="4353" max="4353" width="13.28515625" style="2" customWidth="1"/>
    <col min="4354" max="4354" width="23.85546875" style="2" customWidth="1"/>
    <col min="4355" max="4355" width="23" style="2" customWidth="1"/>
    <col min="4356" max="4356" width="15.42578125" style="2" customWidth="1"/>
    <col min="4357" max="4357" width="13.85546875" style="2" customWidth="1"/>
    <col min="4358" max="4358" width="14.7109375" style="2" customWidth="1"/>
    <col min="4359" max="4359" width="23.42578125" style="2" customWidth="1"/>
    <col min="4360" max="4360" width="13.42578125" style="2" customWidth="1"/>
    <col min="4361" max="4361" width="11.140625" style="2" customWidth="1"/>
    <col min="4362" max="4362" width="13.5703125" style="2" customWidth="1"/>
    <col min="4363" max="4363" width="13.7109375" style="2" customWidth="1"/>
    <col min="4364" max="4608" width="9.140625" style="2"/>
    <col min="4609" max="4609" width="13.28515625" style="2" customWidth="1"/>
    <col min="4610" max="4610" width="23.85546875" style="2" customWidth="1"/>
    <col min="4611" max="4611" width="23" style="2" customWidth="1"/>
    <col min="4612" max="4612" width="15.42578125" style="2" customWidth="1"/>
    <col min="4613" max="4613" width="13.85546875" style="2" customWidth="1"/>
    <col min="4614" max="4614" width="14.7109375" style="2" customWidth="1"/>
    <col min="4615" max="4615" width="23.42578125" style="2" customWidth="1"/>
    <col min="4616" max="4616" width="13.42578125" style="2" customWidth="1"/>
    <col min="4617" max="4617" width="11.140625" style="2" customWidth="1"/>
    <col min="4618" max="4618" width="13.5703125" style="2" customWidth="1"/>
    <col min="4619" max="4619" width="13.7109375" style="2" customWidth="1"/>
    <col min="4620" max="4864" width="9.140625" style="2"/>
    <col min="4865" max="4865" width="13.28515625" style="2" customWidth="1"/>
    <col min="4866" max="4866" width="23.85546875" style="2" customWidth="1"/>
    <col min="4867" max="4867" width="23" style="2" customWidth="1"/>
    <col min="4868" max="4868" width="15.42578125" style="2" customWidth="1"/>
    <col min="4869" max="4869" width="13.85546875" style="2" customWidth="1"/>
    <col min="4870" max="4870" width="14.7109375" style="2" customWidth="1"/>
    <col min="4871" max="4871" width="23.42578125" style="2" customWidth="1"/>
    <col min="4872" max="4872" width="13.42578125" style="2" customWidth="1"/>
    <col min="4873" max="4873" width="11.140625" style="2" customWidth="1"/>
    <col min="4874" max="4874" width="13.5703125" style="2" customWidth="1"/>
    <col min="4875" max="4875" width="13.7109375" style="2" customWidth="1"/>
    <col min="4876" max="5120" width="9.140625" style="2"/>
    <col min="5121" max="5121" width="13.28515625" style="2" customWidth="1"/>
    <col min="5122" max="5122" width="23.85546875" style="2" customWidth="1"/>
    <col min="5123" max="5123" width="23" style="2" customWidth="1"/>
    <col min="5124" max="5124" width="15.42578125" style="2" customWidth="1"/>
    <col min="5125" max="5125" width="13.85546875" style="2" customWidth="1"/>
    <col min="5126" max="5126" width="14.7109375" style="2" customWidth="1"/>
    <col min="5127" max="5127" width="23.42578125" style="2" customWidth="1"/>
    <col min="5128" max="5128" width="13.42578125" style="2" customWidth="1"/>
    <col min="5129" max="5129" width="11.140625" style="2" customWidth="1"/>
    <col min="5130" max="5130" width="13.5703125" style="2" customWidth="1"/>
    <col min="5131" max="5131" width="13.7109375" style="2" customWidth="1"/>
    <col min="5132" max="5376" width="9.140625" style="2"/>
    <col min="5377" max="5377" width="13.28515625" style="2" customWidth="1"/>
    <col min="5378" max="5378" width="23.85546875" style="2" customWidth="1"/>
    <col min="5379" max="5379" width="23" style="2" customWidth="1"/>
    <col min="5380" max="5380" width="15.42578125" style="2" customWidth="1"/>
    <col min="5381" max="5381" width="13.85546875" style="2" customWidth="1"/>
    <col min="5382" max="5382" width="14.7109375" style="2" customWidth="1"/>
    <col min="5383" max="5383" width="23.42578125" style="2" customWidth="1"/>
    <col min="5384" max="5384" width="13.42578125" style="2" customWidth="1"/>
    <col min="5385" max="5385" width="11.140625" style="2" customWidth="1"/>
    <col min="5386" max="5386" width="13.5703125" style="2" customWidth="1"/>
    <col min="5387" max="5387" width="13.7109375" style="2" customWidth="1"/>
    <col min="5388" max="5632" width="9.140625" style="2"/>
    <col min="5633" max="5633" width="13.28515625" style="2" customWidth="1"/>
    <col min="5634" max="5634" width="23.85546875" style="2" customWidth="1"/>
    <col min="5635" max="5635" width="23" style="2" customWidth="1"/>
    <col min="5636" max="5636" width="15.42578125" style="2" customWidth="1"/>
    <col min="5637" max="5637" width="13.85546875" style="2" customWidth="1"/>
    <col min="5638" max="5638" width="14.7109375" style="2" customWidth="1"/>
    <col min="5639" max="5639" width="23.42578125" style="2" customWidth="1"/>
    <col min="5640" max="5640" width="13.42578125" style="2" customWidth="1"/>
    <col min="5641" max="5641" width="11.140625" style="2" customWidth="1"/>
    <col min="5642" max="5642" width="13.5703125" style="2" customWidth="1"/>
    <col min="5643" max="5643" width="13.7109375" style="2" customWidth="1"/>
    <col min="5644" max="5888" width="9.140625" style="2"/>
    <col min="5889" max="5889" width="13.28515625" style="2" customWidth="1"/>
    <col min="5890" max="5890" width="23.85546875" style="2" customWidth="1"/>
    <col min="5891" max="5891" width="23" style="2" customWidth="1"/>
    <col min="5892" max="5892" width="15.42578125" style="2" customWidth="1"/>
    <col min="5893" max="5893" width="13.85546875" style="2" customWidth="1"/>
    <col min="5894" max="5894" width="14.7109375" style="2" customWidth="1"/>
    <col min="5895" max="5895" width="23.42578125" style="2" customWidth="1"/>
    <col min="5896" max="5896" width="13.42578125" style="2" customWidth="1"/>
    <col min="5897" max="5897" width="11.140625" style="2" customWidth="1"/>
    <col min="5898" max="5898" width="13.5703125" style="2" customWidth="1"/>
    <col min="5899" max="5899" width="13.7109375" style="2" customWidth="1"/>
    <col min="5900" max="6144" width="9.140625" style="2"/>
    <col min="6145" max="6145" width="13.28515625" style="2" customWidth="1"/>
    <col min="6146" max="6146" width="23.85546875" style="2" customWidth="1"/>
    <col min="6147" max="6147" width="23" style="2" customWidth="1"/>
    <col min="6148" max="6148" width="15.42578125" style="2" customWidth="1"/>
    <col min="6149" max="6149" width="13.85546875" style="2" customWidth="1"/>
    <col min="6150" max="6150" width="14.7109375" style="2" customWidth="1"/>
    <col min="6151" max="6151" width="23.42578125" style="2" customWidth="1"/>
    <col min="6152" max="6152" width="13.42578125" style="2" customWidth="1"/>
    <col min="6153" max="6153" width="11.140625" style="2" customWidth="1"/>
    <col min="6154" max="6154" width="13.5703125" style="2" customWidth="1"/>
    <col min="6155" max="6155" width="13.7109375" style="2" customWidth="1"/>
    <col min="6156" max="6400" width="9.140625" style="2"/>
    <col min="6401" max="6401" width="13.28515625" style="2" customWidth="1"/>
    <col min="6402" max="6402" width="23.85546875" style="2" customWidth="1"/>
    <col min="6403" max="6403" width="23" style="2" customWidth="1"/>
    <col min="6404" max="6404" width="15.42578125" style="2" customWidth="1"/>
    <col min="6405" max="6405" width="13.85546875" style="2" customWidth="1"/>
    <col min="6406" max="6406" width="14.7109375" style="2" customWidth="1"/>
    <col min="6407" max="6407" width="23.42578125" style="2" customWidth="1"/>
    <col min="6408" max="6408" width="13.42578125" style="2" customWidth="1"/>
    <col min="6409" max="6409" width="11.140625" style="2" customWidth="1"/>
    <col min="6410" max="6410" width="13.5703125" style="2" customWidth="1"/>
    <col min="6411" max="6411" width="13.7109375" style="2" customWidth="1"/>
    <col min="6412" max="6656" width="9.140625" style="2"/>
    <col min="6657" max="6657" width="13.28515625" style="2" customWidth="1"/>
    <col min="6658" max="6658" width="23.85546875" style="2" customWidth="1"/>
    <col min="6659" max="6659" width="23" style="2" customWidth="1"/>
    <col min="6660" max="6660" width="15.42578125" style="2" customWidth="1"/>
    <col min="6661" max="6661" width="13.85546875" style="2" customWidth="1"/>
    <col min="6662" max="6662" width="14.7109375" style="2" customWidth="1"/>
    <col min="6663" max="6663" width="23.42578125" style="2" customWidth="1"/>
    <col min="6664" max="6664" width="13.42578125" style="2" customWidth="1"/>
    <col min="6665" max="6665" width="11.140625" style="2" customWidth="1"/>
    <col min="6666" max="6666" width="13.5703125" style="2" customWidth="1"/>
    <col min="6667" max="6667" width="13.7109375" style="2" customWidth="1"/>
    <col min="6668" max="6912" width="9.140625" style="2"/>
    <col min="6913" max="6913" width="13.28515625" style="2" customWidth="1"/>
    <col min="6914" max="6914" width="23.85546875" style="2" customWidth="1"/>
    <col min="6915" max="6915" width="23" style="2" customWidth="1"/>
    <col min="6916" max="6916" width="15.42578125" style="2" customWidth="1"/>
    <col min="6917" max="6917" width="13.85546875" style="2" customWidth="1"/>
    <col min="6918" max="6918" width="14.7109375" style="2" customWidth="1"/>
    <col min="6919" max="6919" width="23.42578125" style="2" customWidth="1"/>
    <col min="6920" max="6920" width="13.42578125" style="2" customWidth="1"/>
    <col min="6921" max="6921" width="11.140625" style="2" customWidth="1"/>
    <col min="6922" max="6922" width="13.5703125" style="2" customWidth="1"/>
    <col min="6923" max="6923" width="13.7109375" style="2" customWidth="1"/>
    <col min="6924" max="7168" width="9.140625" style="2"/>
    <col min="7169" max="7169" width="13.28515625" style="2" customWidth="1"/>
    <col min="7170" max="7170" width="23.85546875" style="2" customWidth="1"/>
    <col min="7171" max="7171" width="23" style="2" customWidth="1"/>
    <col min="7172" max="7172" width="15.42578125" style="2" customWidth="1"/>
    <col min="7173" max="7173" width="13.85546875" style="2" customWidth="1"/>
    <col min="7174" max="7174" width="14.7109375" style="2" customWidth="1"/>
    <col min="7175" max="7175" width="23.42578125" style="2" customWidth="1"/>
    <col min="7176" max="7176" width="13.42578125" style="2" customWidth="1"/>
    <col min="7177" max="7177" width="11.140625" style="2" customWidth="1"/>
    <col min="7178" max="7178" width="13.5703125" style="2" customWidth="1"/>
    <col min="7179" max="7179" width="13.7109375" style="2" customWidth="1"/>
    <col min="7180" max="7424" width="9.140625" style="2"/>
    <col min="7425" max="7425" width="13.28515625" style="2" customWidth="1"/>
    <col min="7426" max="7426" width="23.85546875" style="2" customWidth="1"/>
    <col min="7427" max="7427" width="23" style="2" customWidth="1"/>
    <col min="7428" max="7428" width="15.42578125" style="2" customWidth="1"/>
    <col min="7429" max="7429" width="13.85546875" style="2" customWidth="1"/>
    <col min="7430" max="7430" width="14.7109375" style="2" customWidth="1"/>
    <col min="7431" max="7431" width="23.42578125" style="2" customWidth="1"/>
    <col min="7432" max="7432" width="13.42578125" style="2" customWidth="1"/>
    <col min="7433" max="7433" width="11.140625" style="2" customWidth="1"/>
    <col min="7434" max="7434" width="13.5703125" style="2" customWidth="1"/>
    <col min="7435" max="7435" width="13.7109375" style="2" customWidth="1"/>
    <col min="7436" max="7680" width="9.140625" style="2"/>
    <col min="7681" max="7681" width="13.28515625" style="2" customWidth="1"/>
    <col min="7682" max="7682" width="23.85546875" style="2" customWidth="1"/>
    <col min="7683" max="7683" width="23" style="2" customWidth="1"/>
    <col min="7684" max="7684" width="15.42578125" style="2" customWidth="1"/>
    <col min="7685" max="7685" width="13.85546875" style="2" customWidth="1"/>
    <col min="7686" max="7686" width="14.7109375" style="2" customWidth="1"/>
    <col min="7687" max="7687" width="23.42578125" style="2" customWidth="1"/>
    <col min="7688" max="7688" width="13.42578125" style="2" customWidth="1"/>
    <col min="7689" max="7689" width="11.140625" style="2" customWidth="1"/>
    <col min="7690" max="7690" width="13.5703125" style="2" customWidth="1"/>
    <col min="7691" max="7691" width="13.7109375" style="2" customWidth="1"/>
    <col min="7692" max="7936" width="9.140625" style="2"/>
    <col min="7937" max="7937" width="13.28515625" style="2" customWidth="1"/>
    <col min="7938" max="7938" width="23.85546875" style="2" customWidth="1"/>
    <col min="7939" max="7939" width="23" style="2" customWidth="1"/>
    <col min="7940" max="7940" width="15.42578125" style="2" customWidth="1"/>
    <col min="7941" max="7941" width="13.85546875" style="2" customWidth="1"/>
    <col min="7942" max="7942" width="14.7109375" style="2" customWidth="1"/>
    <col min="7943" max="7943" width="23.42578125" style="2" customWidth="1"/>
    <col min="7944" max="7944" width="13.42578125" style="2" customWidth="1"/>
    <col min="7945" max="7945" width="11.140625" style="2" customWidth="1"/>
    <col min="7946" max="7946" width="13.5703125" style="2" customWidth="1"/>
    <col min="7947" max="7947" width="13.7109375" style="2" customWidth="1"/>
    <col min="7948" max="8192" width="9.140625" style="2"/>
    <col min="8193" max="8193" width="13.28515625" style="2" customWidth="1"/>
    <col min="8194" max="8194" width="23.85546875" style="2" customWidth="1"/>
    <col min="8195" max="8195" width="23" style="2" customWidth="1"/>
    <col min="8196" max="8196" width="15.42578125" style="2" customWidth="1"/>
    <col min="8197" max="8197" width="13.85546875" style="2" customWidth="1"/>
    <col min="8198" max="8198" width="14.7109375" style="2" customWidth="1"/>
    <col min="8199" max="8199" width="23.42578125" style="2" customWidth="1"/>
    <col min="8200" max="8200" width="13.42578125" style="2" customWidth="1"/>
    <col min="8201" max="8201" width="11.140625" style="2" customWidth="1"/>
    <col min="8202" max="8202" width="13.5703125" style="2" customWidth="1"/>
    <col min="8203" max="8203" width="13.7109375" style="2" customWidth="1"/>
    <col min="8204" max="8448" width="9.140625" style="2"/>
    <col min="8449" max="8449" width="13.28515625" style="2" customWidth="1"/>
    <col min="8450" max="8450" width="23.85546875" style="2" customWidth="1"/>
    <col min="8451" max="8451" width="23" style="2" customWidth="1"/>
    <col min="8452" max="8452" width="15.42578125" style="2" customWidth="1"/>
    <col min="8453" max="8453" width="13.85546875" style="2" customWidth="1"/>
    <col min="8454" max="8454" width="14.7109375" style="2" customWidth="1"/>
    <col min="8455" max="8455" width="23.42578125" style="2" customWidth="1"/>
    <col min="8456" max="8456" width="13.42578125" style="2" customWidth="1"/>
    <col min="8457" max="8457" width="11.140625" style="2" customWidth="1"/>
    <col min="8458" max="8458" width="13.5703125" style="2" customWidth="1"/>
    <col min="8459" max="8459" width="13.7109375" style="2" customWidth="1"/>
    <col min="8460" max="8704" width="9.140625" style="2"/>
    <col min="8705" max="8705" width="13.28515625" style="2" customWidth="1"/>
    <col min="8706" max="8706" width="23.85546875" style="2" customWidth="1"/>
    <col min="8707" max="8707" width="23" style="2" customWidth="1"/>
    <col min="8708" max="8708" width="15.42578125" style="2" customWidth="1"/>
    <col min="8709" max="8709" width="13.85546875" style="2" customWidth="1"/>
    <col min="8710" max="8710" width="14.7109375" style="2" customWidth="1"/>
    <col min="8711" max="8711" width="23.42578125" style="2" customWidth="1"/>
    <col min="8712" max="8712" width="13.42578125" style="2" customWidth="1"/>
    <col min="8713" max="8713" width="11.140625" style="2" customWidth="1"/>
    <col min="8714" max="8714" width="13.5703125" style="2" customWidth="1"/>
    <col min="8715" max="8715" width="13.7109375" style="2" customWidth="1"/>
    <col min="8716" max="8960" width="9.140625" style="2"/>
    <col min="8961" max="8961" width="13.28515625" style="2" customWidth="1"/>
    <col min="8962" max="8962" width="23.85546875" style="2" customWidth="1"/>
    <col min="8963" max="8963" width="23" style="2" customWidth="1"/>
    <col min="8964" max="8964" width="15.42578125" style="2" customWidth="1"/>
    <col min="8965" max="8965" width="13.85546875" style="2" customWidth="1"/>
    <col min="8966" max="8966" width="14.7109375" style="2" customWidth="1"/>
    <col min="8967" max="8967" width="23.42578125" style="2" customWidth="1"/>
    <col min="8968" max="8968" width="13.42578125" style="2" customWidth="1"/>
    <col min="8969" max="8969" width="11.140625" style="2" customWidth="1"/>
    <col min="8970" max="8970" width="13.5703125" style="2" customWidth="1"/>
    <col min="8971" max="8971" width="13.7109375" style="2" customWidth="1"/>
    <col min="8972" max="9216" width="9.140625" style="2"/>
    <col min="9217" max="9217" width="13.28515625" style="2" customWidth="1"/>
    <col min="9218" max="9218" width="23.85546875" style="2" customWidth="1"/>
    <col min="9219" max="9219" width="23" style="2" customWidth="1"/>
    <col min="9220" max="9220" width="15.42578125" style="2" customWidth="1"/>
    <col min="9221" max="9221" width="13.85546875" style="2" customWidth="1"/>
    <col min="9222" max="9222" width="14.7109375" style="2" customWidth="1"/>
    <col min="9223" max="9223" width="23.42578125" style="2" customWidth="1"/>
    <col min="9224" max="9224" width="13.42578125" style="2" customWidth="1"/>
    <col min="9225" max="9225" width="11.140625" style="2" customWidth="1"/>
    <col min="9226" max="9226" width="13.5703125" style="2" customWidth="1"/>
    <col min="9227" max="9227" width="13.7109375" style="2" customWidth="1"/>
    <col min="9228" max="9472" width="9.140625" style="2"/>
    <col min="9473" max="9473" width="13.28515625" style="2" customWidth="1"/>
    <col min="9474" max="9474" width="23.85546875" style="2" customWidth="1"/>
    <col min="9475" max="9475" width="23" style="2" customWidth="1"/>
    <col min="9476" max="9476" width="15.42578125" style="2" customWidth="1"/>
    <col min="9477" max="9477" width="13.85546875" style="2" customWidth="1"/>
    <col min="9478" max="9478" width="14.7109375" style="2" customWidth="1"/>
    <col min="9479" max="9479" width="23.42578125" style="2" customWidth="1"/>
    <col min="9480" max="9480" width="13.42578125" style="2" customWidth="1"/>
    <col min="9481" max="9481" width="11.140625" style="2" customWidth="1"/>
    <col min="9482" max="9482" width="13.5703125" style="2" customWidth="1"/>
    <col min="9483" max="9483" width="13.7109375" style="2" customWidth="1"/>
    <col min="9484" max="9728" width="9.140625" style="2"/>
    <col min="9729" max="9729" width="13.28515625" style="2" customWidth="1"/>
    <col min="9730" max="9730" width="23.85546875" style="2" customWidth="1"/>
    <col min="9731" max="9731" width="23" style="2" customWidth="1"/>
    <col min="9732" max="9732" width="15.42578125" style="2" customWidth="1"/>
    <col min="9733" max="9733" width="13.85546875" style="2" customWidth="1"/>
    <col min="9734" max="9734" width="14.7109375" style="2" customWidth="1"/>
    <col min="9735" max="9735" width="23.42578125" style="2" customWidth="1"/>
    <col min="9736" max="9736" width="13.42578125" style="2" customWidth="1"/>
    <col min="9737" max="9737" width="11.140625" style="2" customWidth="1"/>
    <col min="9738" max="9738" width="13.5703125" style="2" customWidth="1"/>
    <col min="9739" max="9739" width="13.7109375" style="2" customWidth="1"/>
    <col min="9740" max="9984" width="9.140625" style="2"/>
    <col min="9985" max="9985" width="13.28515625" style="2" customWidth="1"/>
    <col min="9986" max="9986" width="23.85546875" style="2" customWidth="1"/>
    <col min="9987" max="9987" width="23" style="2" customWidth="1"/>
    <col min="9988" max="9988" width="15.42578125" style="2" customWidth="1"/>
    <col min="9989" max="9989" width="13.85546875" style="2" customWidth="1"/>
    <col min="9990" max="9990" width="14.7109375" style="2" customWidth="1"/>
    <col min="9991" max="9991" width="23.42578125" style="2" customWidth="1"/>
    <col min="9992" max="9992" width="13.42578125" style="2" customWidth="1"/>
    <col min="9993" max="9993" width="11.140625" style="2" customWidth="1"/>
    <col min="9994" max="9994" width="13.5703125" style="2" customWidth="1"/>
    <col min="9995" max="9995" width="13.7109375" style="2" customWidth="1"/>
    <col min="9996" max="10240" width="9.140625" style="2"/>
    <col min="10241" max="10241" width="13.28515625" style="2" customWidth="1"/>
    <col min="10242" max="10242" width="23.85546875" style="2" customWidth="1"/>
    <col min="10243" max="10243" width="23" style="2" customWidth="1"/>
    <col min="10244" max="10244" width="15.42578125" style="2" customWidth="1"/>
    <col min="10245" max="10245" width="13.85546875" style="2" customWidth="1"/>
    <col min="10246" max="10246" width="14.7109375" style="2" customWidth="1"/>
    <col min="10247" max="10247" width="23.42578125" style="2" customWidth="1"/>
    <col min="10248" max="10248" width="13.42578125" style="2" customWidth="1"/>
    <col min="10249" max="10249" width="11.140625" style="2" customWidth="1"/>
    <col min="10250" max="10250" width="13.5703125" style="2" customWidth="1"/>
    <col min="10251" max="10251" width="13.7109375" style="2" customWidth="1"/>
    <col min="10252" max="10496" width="9.140625" style="2"/>
    <col min="10497" max="10497" width="13.28515625" style="2" customWidth="1"/>
    <col min="10498" max="10498" width="23.85546875" style="2" customWidth="1"/>
    <col min="10499" max="10499" width="23" style="2" customWidth="1"/>
    <col min="10500" max="10500" width="15.42578125" style="2" customWidth="1"/>
    <col min="10501" max="10501" width="13.85546875" style="2" customWidth="1"/>
    <col min="10502" max="10502" width="14.7109375" style="2" customWidth="1"/>
    <col min="10503" max="10503" width="23.42578125" style="2" customWidth="1"/>
    <col min="10504" max="10504" width="13.42578125" style="2" customWidth="1"/>
    <col min="10505" max="10505" width="11.140625" style="2" customWidth="1"/>
    <col min="10506" max="10506" width="13.5703125" style="2" customWidth="1"/>
    <col min="10507" max="10507" width="13.7109375" style="2" customWidth="1"/>
    <col min="10508" max="10752" width="9.140625" style="2"/>
    <col min="10753" max="10753" width="13.28515625" style="2" customWidth="1"/>
    <col min="10754" max="10754" width="23.85546875" style="2" customWidth="1"/>
    <col min="10755" max="10755" width="23" style="2" customWidth="1"/>
    <col min="10756" max="10756" width="15.42578125" style="2" customWidth="1"/>
    <col min="10757" max="10757" width="13.85546875" style="2" customWidth="1"/>
    <col min="10758" max="10758" width="14.7109375" style="2" customWidth="1"/>
    <col min="10759" max="10759" width="23.42578125" style="2" customWidth="1"/>
    <col min="10760" max="10760" width="13.42578125" style="2" customWidth="1"/>
    <col min="10761" max="10761" width="11.140625" style="2" customWidth="1"/>
    <col min="10762" max="10762" width="13.5703125" style="2" customWidth="1"/>
    <col min="10763" max="10763" width="13.7109375" style="2" customWidth="1"/>
    <col min="10764" max="11008" width="9.140625" style="2"/>
    <col min="11009" max="11009" width="13.28515625" style="2" customWidth="1"/>
    <col min="11010" max="11010" width="23.85546875" style="2" customWidth="1"/>
    <col min="11011" max="11011" width="23" style="2" customWidth="1"/>
    <col min="11012" max="11012" width="15.42578125" style="2" customWidth="1"/>
    <col min="11013" max="11013" width="13.85546875" style="2" customWidth="1"/>
    <col min="11014" max="11014" width="14.7109375" style="2" customWidth="1"/>
    <col min="11015" max="11015" width="23.42578125" style="2" customWidth="1"/>
    <col min="11016" max="11016" width="13.42578125" style="2" customWidth="1"/>
    <col min="11017" max="11017" width="11.140625" style="2" customWidth="1"/>
    <col min="11018" max="11018" width="13.5703125" style="2" customWidth="1"/>
    <col min="11019" max="11019" width="13.7109375" style="2" customWidth="1"/>
    <col min="11020" max="11264" width="9.140625" style="2"/>
    <col min="11265" max="11265" width="13.28515625" style="2" customWidth="1"/>
    <col min="11266" max="11266" width="23.85546875" style="2" customWidth="1"/>
    <col min="11267" max="11267" width="23" style="2" customWidth="1"/>
    <col min="11268" max="11268" width="15.42578125" style="2" customWidth="1"/>
    <col min="11269" max="11269" width="13.85546875" style="2" customWidth="1"/>
    <col min="11270" max="11270" width="14.7109375" style="2" customWidth="1"/>
    <col min="11271" max="11271" width="23.42578125" style="2" customWidth="1"/>
    <col min="11272" max="11272" width="13.42578125" style="2" customWidth="1"/>
    <col min="11273" max="11273" width="11.140625" style="2" customWidth="1"/>
    <col min="11274" max="11274" width="13.5703125" style="2" customWidth="1"/>
    <col min="11275" max="11275" width="13.7109375" style="2" customWidth="1"/>
    <col min="11276" max="11520" width="9.140625" style="2"/>
    <col min="11521" max="11521" width="13.28515625" style="2" customWidth="1"/>
    <col min="11522" max="11522" width="23.85546875" style="2" customWidth="1"/>
    <col min="11523" max="11523" width="23" style="2" customWidth="1"/>
    <col min="11524" max="11524" width="15.42578125" style="2" customWidth="1"/>
    <col min="11525" max="11525" width="13.85546875" style="2" customWidth="1"/>
    <col min="11526" max="11526" width="14.7109375" style="2" customWidth="1"/>
    <col min="11527" max="11527" width="23.42578125" style="2" customWidth="1"/>
    <col min="11528" max="11528" width="13.42578125" style="2" customWidth="1"/>
    <col min="11529" max="11529" width="11.140625" style="2" customWidth="1"/>
    <col min="11530" max="11530" width="13.5703125" style="2" customWidth="1"/>
    <col min="11531" max="11531" width="13.7109375" style="2" customWidth="1"/>
    <col min="11532" max="11776" width="9.140625" style="2"/>
    <col min="11777" max="11777" width="13.28515625" style="2" customWidth="1"/>
    <col min="11778" max="11778" width="23.85546875" style="2" customWidth="1"/>
    <col min="11779" max="11779" width="23" style="2" customWidth="1"/>
    <col min="11780" max="11780" width="15.42578125" style="2" customWidth="1"/>
    <col min="11781" max="11781" width="13.85546875" style="2" customWidth="1"/>
    <col min="11782" max="11782" width="14.7109375" style="2" customWidth="1"/>
    <col min="11783" max="11783" width="23.42578125" style="2" customWidth="1"/>
    <col min="11784" max="11784" width="13.42578125" style="2" customWidth="1"/>
    <col min="11785" max="11785" width="11.140625" style="2" customWidth="1"/>
    <col min="11786" max="11786" width="13.5703125" style="2" customWidth="1"/>
    <col min="11787" max="11787" width="13.7109375" style="2" customWidth="1"/>
    <col min="11788" max="12032" width="9.140625" style="2"/>
    <col min="12033" max="12033" width="13.28515625" style="2" customWidth="1"/>
    <col min="12034" max="12034" width="23.85546875" style="2" customWidth="1"/>
    <col min="12035" max="12035" width="23" style="2" customWidth="1"/>
    <col min="12036" max="12036" width="15.42578125" style="2" customWidth="1"/>
    <col min="12037" max="12037" width="13.85546875" style="2" customWidth="1"/>
    <col min="12038" max="12038" width="14.7109375" style="2" customWidth="1"/>
    <col min="12039" max="12039" width="23.42578125" style="2" customWidth="1"/>
    <col min="12040" max="12040" width="13.42578125" style="2" customWidth="1"/>
    <col min="12041" max="12041" width="11.140625" style="2" customWidth="1"/>
    <col min="12042" max="12042" width="13.5703125" style="2" customWidth="1"/>
    <col min="12043" max="12043" width="13.7109375" style="2" customWidth="1"/>
    <col min="12044" max="12288" width="9.140625" style="2"/>
    <col min="12289" max="12289" width="13.28515625" style="2" customWidth="1"/>
    <col min="12290" max="12290" width="23.85546875" style="2" customWidth="1"/>
    <col min="12291" max="12291" width="23" style="2" customWidth="1"/>
    <col min="12292" max="12292" width="15.42578125" style="2" customWidth="1"/>
    <col min="12293" max="12293" width="13.85546875" style="2" customWidth="1"/>
    <col min="12294" max="12294" width="14.7109375" style="2" customWidth="1"/>
    <col min="12295" max="12295" width="23.42578125" style="2" customWidth="1"/>
    <col min="12296" max="12296" width="13.42578125" style="2" customWidth="1"/>
    <col min="12297" max="12297" width="11.140625" style="2" customWidth="1"/>
    <col min="12298" max="12298" width="13.5703125" style="2" customWidth="1"/>
    <col min="12299" max="12299" width="13.7109375" style="2" customWidth="1"/>
    <col min="12300" max="12544" width="9.140625" style="2"/>
    <col min="12545" max="12545" width="13.28515625" style="2" customWidth="1"/>
    <col min="12546" max="12546" width="23.85546875" style="2" customWidth="1"/>
    <col min="12547" max="12547" width="23" style="2" customWidth="1"/>
    <col min="12548" max="12548" width="15.42578125" style="2" customWidth="1"/>
    <col min="12549" max="12549" width="13.85546875" style="2" customWidth="1"/>
    <col min="12550" max="12550" width="14.7109375" style="2" customWidth="1"/>
    <col min="12551" max="12551" width="23.42578125" style="2" customWidth="1"/>
    <col min="12552" max="12552" width="13.42578125" style="2" customWidth="1"/>
    <col min="12553" max="12553" width="11.140625" style="2" customWidth="1"/>
    <col min="12554" max="12554" width="13.5703125" style="2" customWidth="1"/>
    <col min="12555" max="12555" width="13.7109375" style="2" customWidth="1"/>
    <col min="12556" max="12800" width="9.140625" style="2"/>
    <col min="12801" max="12801" width="13.28515625" style="2" customWidth="1"/>
    <col min="12802" max="12802" width="23.85546875" style="2" customWidth="1"/>
    <col min="12803" max="12803" width="23" style="2" customWidth="1"/>
    <col min="12804" max="12804" width="15.42578125" style="2" customWidth="1"/>
    <col min="12805" max="12805" width="13.85546875" style="2" customWidth="1"/>
    <col min="12806" max="12806" width="14.7109375" style="2" customWidth="1"/>
    <col min="12807" max="12807" width="23.42578125" style="2" customWidth="1"/>
    <col min="12808" max="12808" width="13.42578125" style="2" customWidth="1"/>
    <col min="12809" max="12809" width="11.140625" style="2" customWidth="1"/>
    <col min="12810" max="12810" width="13.5703125" style="2" customWidth="1"/>
    <col min="12811" max="12811" width="13.7109375" style="2" customWidth="1"/>
    <col min="12812" max="13056" width="9.140625" style="2"/>
    <col min="13057" max="13057" width="13.28515625" style="2" customWidth="1"/>
    <col min="13058" max="13058" width="23.85546875" style="2" customWidth="1"/>
    <col min="13059" max="13059" width="23" style="2" customWidth="1"/>
    <col min="13060" max="13060" width="15.42578125" style="2" customWidth="1"/>
    <col min="13061" max="13061" width="13.85546875" style="2" customWidth="1"/>
    <col min="13062" max="13062" width="14.7109375" style="2" customWidth="1"/>
    <col min="13063" max="13063" width="23.42578125" style="2" customWidth="1"/>
    <col min="13064" max="13064" width="13.42578125" style="2" customWidth="1"/>
    <col min="13065" max="13065" width="11.140625" style="2" customWidth="1"/>
    <col min="13066" max="13066" width="13.5703125" style="2" customWidth="1"/>
    <col min="13067" max="13067" width="13.7109375" style="2" customWidth="1"/>
    <col min="13068" max="13312" width="9.140625" style="2"/>
    <col min="13313" max="13313" width="13.28515625" style="2" customWidth="1"/>
    <col min="13314" max="13314" width="23.85546875" style="2" customWidth="1"/>
    <col min="13315" max="13315" width="23" style="2" customWidth="1"/>
    <col min="13316" max="13316" width="15.42578125" style="2" customWidth="1"/>
    <col min="13317" max="13317" width="13.85546875" style="2" customWidth="1"/>
    <col min="13318" max="13318" width="14.7109375" style="2" customWidth="1"/>
    <col min="13319" max="13319" width="23.42578125" style="2" customWidth="1"/>
    <col min="13320" max="13320" width="13.42578125" style="2" customWidth="1"/>
    <col min="13321" max="13321" width="11.140625" style="2" customWidth="1"/>
    <col min="13322" max="13322" width="13.5703125" style="2" customWidth="1"/>
    <col min="13323" max="13323" width="13.7109375" style="2" customWidth="1"/>
    <col min="13324" max="13568" width="9.140625" style="2"/>
    <col min="13569" max="13569" width="13.28515625" style="2" customWidth="1"/>
    <col min="13570" max="13570" width="23.85546875" style="2" customWidth="1"/>
    <col min="13571" max="13571" width="23" style="2" customWidth="1"/>
    <col min="13572" max="13572" width="15.42578125" style="2" customWidth="1"/>
    <col min="13573" max="13573" width="13.85546875" style="2" customWidth="1"/>
    <col min="13574" max="13574" width="14.7109375" style="2" customWidth="1"/>
    <col min="13575" max="13575" width="23.42578125" style="2" customWidth="1"/>
    <col min="13576" max="13576" width="13.42578125" style="2" customWidth="1"/>
    <col min="13577" max="13577" width="11.140625" style="2" customWidth="1"/>
    <col min="13578" max="13578" width="13.5703125" style="2" customWidth="1"/>
    <col min="13579" max="13579" width="13.7109375" style="2" customWidth="1"/>
    <col min="13580" max="13824" width="9.140625" style="2"/>
    <col min="13825" max="13825" width="13.28515625" style="2" customWidth="1"/>
    <col min="13826" max="13826" width="23.85546875" style="2" customWidth="1"/>
    <col min="13827" max="13827" width="23" style="2" customWidth="1"/>
    <col min="13828" max="13828" width="15.42578125" style="2" customWidth="1"/>
    <col min="13829" max="13829" width="13.85546875" style="2" customWidth="1"/>
    <col min="13830" max="13830" width="14.7109375" style="2" customWidth="1"/>
    <col min="13831" max="13831" width="23.42578125" style="2" customWidth="1"/>
    <col min="13832" max="13832" width="13.42578125" style="2" customWidth="1"/>
    <col min="13833" max="13833" width="11.140625" style="2" customWidth="1"/>
    <col min="13834" max="13834" width="13.5703125" style="2" customWidth="1"/>
    <col min="13835" max="13835" width="13.7109375" style="2" customWidth="1"/>
    <col min="13836" max="14080" width="9.140625" style="2"/>
    <col min="14081" max="14081" width="13.28515625" style="2" customWidth="1"/>
    <col min="14082" max="14082" width="23.85546875" style="2" customWidth="1"/>
    <col min="14083" max="14083" width="23" style="2" customWidth="1"/>
    <col min="14084" max="14084" width="15.42578125" style="2" customWidth="1"/>
    <col min="14085" max="14085" width="13.85546875" style="2" customWidth="1"/>
    <col min="14086" max="14086" width="14.7109375" style="2" customWidth="1"/>
    <col min="14087" max="14087" width="23.42578125" style="2" customWidth="1"/>
    <col min="14088" max="14088" width="13.42578125" style="2" customWidth="1"/>
    <col min="14089" max="14089" width="11.140625" style="2" customWidth="1"/>
    <col min="14090" max="14090" width="13.5703125" style="2" customWidth="1"/>
    <col min="14091" max="14091" width="13.7109375" style="2" customWidth="1"/>
    <col min="14092" max="14336" width="9.140625" style="2"/>
    <col min="14337" max="14337" width="13.28515625" style="2" customWidth="1"/>
    <col min="14338" max="14338" width="23.85546875" style="2" customWidth="1"/>
    <col min="14339" max="14339" width="23" style="2" customWidth="1"/>
    <col min="14340" max="14340" width="15.42578125" style="2" customWidth="1"/>
    <col min="14341" max="14341" width="13.85546875" style="2" customWidth="1"/>
    <col min="14342" max="14342" width="14.7109375" style="2" customWidth="1"/>
    <col min="14343" max="14343" width="23.42578125" style="2" customWidth="1"/>
    <col min="14344" max="14344" width="13.42578125" style="2" customWidth="1"/>
    <col min="14345" max="14345" width="11.140625" style="2" customWidth="1"/>
    <col min="14346" max="14346" width="13.5703125" style="2" customWidth="1"/>
    <col min="14347" max="14347" width="13.7109375" style="2" customWidth="1"/>
    <col min="14348" max="14592" width="9.140625" style="2"/>
    <col min="14593" max="14593" width="13.28515625" style="2" customWidth="1"/>
    <col min="14594" max="14594" width="23.85546875" style="2" customWidth="1"/>
    <col min="14595" max="14595" width="23" style="2" customWidth="1"/>
    <col min="14596" max="14596" width="15.42578125" style="2" customWidth="1"/>
    <col min="14597" max="14597" width="13.85546875" style="2" customWidth="1"/>
    <col min="14598" max="14598" width="14.7109375" style="2" customWidth="1"/>
    <col min="14599" max="14599" width="23.42578125" style="2" customWidth="1"/>
    <col min="14600" max="14600" width="13.42578125" style="2" customWidth="1"/>
    <col min="14601" max="14601" width="11.140625" style="2" customWidth="1"/>
    <col min="14602" max="14602" width="13.5703125" style="2" customWidth="1"/>
    <col min="14603" max="14603" width="13.7109375" style="2" customWidth="1"/>
    <col min="14604" max="14848" width="9.140625" style="2"/>
    <col min="14849" max="14849" width="13.28515625" style="2" customWidth="1"/>
    <col min="14850" max="14850" width="23.85546875" style="2" customWidth="1"/>
    <col min="14851" max="14851" width="23" style="2" customWidth="1"/>
    <col min="14852" max="14852" width="15.42578125" style="2" customWidth="1"/>
    <col min="14853" max="14853" width="13.85546875" style="2" customWidth="1"/>
    <col min="14854" max="14854" width="14.7109375" style="2" customWidth="1"/>
    <col min="14855" max="14855" width="23.42578125" style="2" customWidth="1"/>
    <col min="14856" max="14856" width="13.42578125" style="2" customWidth="1"/>
    <col min="14857" max="14857" width="11.140625" style="2" customWidth="1"/>
    <col min="14858" max="14858" width="13.5703125" style="2" customWidth="1"/>
    <col min="14859" max="14859" width="13.7109375" style="2" customWidth="1"/>
    <col min="14860" max="15104" width="9.140625" style="2"/>
    <col min="15105" max="15105" width="13.28515625" style="2" customWidth="1"/>
    <col min="15106" max="15106" width="23.85546875" style="2" customWidth="1"/>
    <col min="15107" max="15107" width="23" style="2" customWidth="1"/>
    <col min="15108" max="15108" width="15.42578125" style="2" customWidth="1"/>
    <col min="15109" max="15109" width="13.85546875" style="2" customWidth="1"/>
    <col min="15110" max="15110" width="14.7109375" style="2" customWidth="1"/>
    <col min="15111" max="15111" width="23.42578125" style="2" customWidth="1"/>
    <col min="15112" max="15112" width="13.42578125" style="2" customWidth="1"/>
    <col min="15113" max="15113" width="11.140625" style="2" customWidth="1"/>
    <col min="15114" max="15114" width="13.5703125" style="2" customWidth="1"/>
    <col min="15115" max="15115" width="13.7109375" style="2" customWidth="1"/>
    <col min="15116" max="15360" width="9.140625" style="2"/>
    <col min="15361" max="15361" width="13.28515625" style="2" customWidth="1"/>
    <col min="15362" max="15362" width="23.85546875" style="2" customWidth="1"/>
    <col min="15363" max="15363" width="23" style="2" customWidth="1"/>
    <col min="15364" max="15364" width="15.42578125" style="2" customWidth="1"/>
    <col min="15365" max="15365" width="13.85546875" style="2" customWidth="1"/>
    <col min="15366" max="15366" width="14.7109375" style="2" customWidth="1"/>
    <col min="15367" max="15367" width="23.42578125" style="2" customWidth="1"/>
    <col min="15368" max="15368" width="13.42578125" style="2" customWidth="1"/>
    <col min="15369" max="15369" width="11.140625" style="2" customWidth="1"/>
    <col min="15370" max="15370" width="13.5703125" style="2" customWidth="1"/>
    <col min="15371" max="15371" width="13.7109375" style="2" customWidth="1"/>
    <col min="15372" max="15616" width="9.140625" style="2"/>
    <col min="15617" max="15617" width="13.28515625" style="2" customWidth="1"/>
    <col min="15618" max="15618" width="23.85546875" style="2" customWidth="1"/>
    <col min="15619" max="15619" width="23" style="2" customWidth="1"/>
    <col min="15620" max="15620" width="15.42578125" style="2" customWidth="1"/>
    <col min="15621" max="15621" width="13.85546875" style="2" customWidth="1"/>
    <col min="15622" max="15622" width="14.7109375" style="2" customWidth="1"/>
    <col min="15623" max="15623" width="23.42578125" style="2" customWidth="1"/>
    <col min="15624" max="15624" width="13.42578125" style="2" customWidth="1"/>
    <col min="15625" max="15625" width="11.140625" style="2" customWidth="1"/>
    <col min="15626" max="15626" width="13.5703125" style="2" customWidth="1"/>
    <col min="15627" max="15627" width="13.7109375" style="2" customWidth="1"/>
    <col min="15628" max="15872" width="9.140625" style="2"/>
    <col min="15873" max="15873" width="13.28515625" style="2" customWidth="1"/>
    <col min="15874" max="15874" width="23.85546875" style="2" customWidth="1"/>
    <col min="15875" max="15875" width="23" style="2" customWidth="1"/>
    <col min="15876" max="15876" width="15.42578125" style="2" customWidth="1"/>
    <col min="15877" max="15877" width="13.85546875" style="2" customWidth="1"/>
    <col min="15878" max="15878" width="14.7109375" style="2" customWidth="1"/>
    <col min="15879" max="15879" width="23.42578125" style="2" customWidth="1"/>
    <col min="15880" max="15880" width="13.42578125" style="2" customWidth="1"/>
    <col min="15881" max="15881" width="11.140625" style="2" customWidth="1"/>
    <col min="15882" max="15882" width="13.5703125" style="2" customWidth="1"/>
    <col min="15883" max="15883" width="13.7109375" style="2" customWidth="1"/>
    <col min="15884" max="16128" width="9.140625" style="2"/>
    <col min="16129" max="16129" width="13.28515625" style="2" customWidth="1"/>
    <col min="16130" max="16130" width="23.85546875" style="2" customWidth="1"/>
    <col min="16131" max="16131" width="23" style="2" customWidth="1"/>
    <col min="16132" max="16132" width="15.42578125" style="2" customWidth="1"/>
    <col min="16133" max="16133" width="13.85546875" style="2" customWidth="1"/>
    <col min="16134" max="16134" width="14.7109375" style="2" customWidth="1"/>
    <col min="16135" max="16135" width="23.42578125" style="2" customWidth="1"/>
    <col min="16136" max="16136" width="13.42578125" style="2" customWidth="1"/>
    <col min="16137" max="16137" width="11.140625" style="2" customWidth="1"/>
    <col min="16138" max="16138" width="13.5703125" style="2" customWidth="1"/>
    <col min="16139" max="16139" width="13.7109375" style="2" customWidth="1"/>
    <col min="16140" max="16384" width="9.140625" style="2"/>
  </cols>
  <sheetData>
    <row r="1" spans="1:11" ht="28.5" x14ac:dyDescent="0.25">
      <c r="A1" s="1"/>
    </row>
    <row r="2" spans="1:11" ht="15.75" x14ac:dyDescent="0.25">
      <c r="A2" s="3"/>
    </row>
    <row r="3" spans="1:11" x14ac:dyDescent="0.25">
      <c r="A3" s="4"/>
    </row>
    <row r="4" spans="1:11" ht="3.75" customHeight="1" x14ac:dyDescent="0.25"/>
    <row r="5" spans="1:11" ht="23.25" x14ac:dyDescent="0.25">
      <c r="A5" s="1199" t="s">
        <v>0</v>
      </c>
      <c r="B5" s="1199"/>
      <c r="C5" s="1199"/>
      <c r="D5" s="1199"/>
      <c r="E5" s="1199"/>
      <c r="F5" s="1199"/>
      <c r="G5" s="1199"/>
      <c r="H5" s="1199"/>
      <c r="I5" s="1199"/>
      <c r="J5" s="1199"/>
      <c r="K5" s="1199"/>
    </row>
    <row r="6" spans="1:11" ht="15.75" customHeight="1" x14ac:dyDescent="0.25">
      <c r="A6" s="5"/>
      <c r="B6" s="5"/>
      <c r="C6" s="5"/>
      <c r="D6" s="5"/>
      <c r="E6" s="5"/>
      <c r="F6" s="5"/>
      <c r="G6" s="5"/>
      <c r="H6" s="5"/>
      <c r="I6" s="5"/>
      <c r="J6" s="5"/>
      <c r="K6" s="5"/>
    </row>
    <row r="7" spans="1:11" ht="14.25" customHeight="1" x14ac:dyDescent="0.25">
      <c r="A7" s="5"/>
      <c r="B7" s="5"/>
      <c r="C7" s="5"/>
      <c r="D7" s="5"/>
      <c r="E7" s="5"/>
      <c r="F7" s="5"/>
      <c r="G7" s="5"/>
      <c r="H7" s="6" t="s">
        <v>1</v>
      </c>
      <c r="I7" s="7" t="s">
        <v>2</v>
      </c>
      <c r="J7" s="1200" t="str">
        <f>LPKK!Q4</f>
        <v>SC MARABAHAN</v>
      </c>
      <c r="K7" s="1200"/>
    </row>
    <row r="8" spans="1:11" ht="14.25" customHeight="1" x14ac:dyDescent="0.25">
      <c r="A8" s="5"/>
      <c r="B8" s="5"/>
      <c r="C8" s="5"/>
      <c r="D8" s="5"/>
      <c r="E8" s="5"/>
      <c r="F8" s="5"/>
      <c r="G8" s="5"/>
      <c r="H8" s="8" t="s">
        <v>3</v>
      </c>
      <c r="I8" s="7" t="s">
        <v>2</v>
      </c>
      <c r="J8" s="1200" t="str">
        <f>LPKK!Q5</f>
        <v>1-7 JULI 2026</v>
      </c>
      <c r="K8" s="1200"/>
    </row>
    <row r="9" spans="1:11" ht="5.25" customHeight="1" thickBot="1" x14ac:dyDescent="0.3"/>
    <row r="10" spans="1:11" ht="20.100000000000001" customHeight="1" x14ac:dyDescent="0.25">
      <c r="A10" s="1201" t="s">
        <v>4</v>
      </c>
      <c r="B10" s="1201" t="s">
        <v>5</v>
      </c>
      <c r="C10" s="1201" t="s">
        <v>6</v>
      </c>
      <c r="D10" s="9" t="s">
        <v>7</v>
      </c>
      <c r="E10" s="9" t="s">
        <v>8</v>
      </c>
      <c r="F10" s="9" t="s">
        <v>9</v>
      </c>
      <c r="G10" s="1201" t="s">
        <v>10</v>
      </c>
      <c r="H10" s="10" t="s">
        <v>11</v>
      </c>
      <c r="I10" s="11" t="s">
        <v>12</v>
      </c>
      <c r="J10" s="12" t="s">
        <v>4</v>
      </c>
      <c r="K10" s="9" t="s">
        <v>4</v>
      </c>
    </row>
    <row r="11" spans="1:11" ht="20.100000000000001" customHeight="1" thickBot="1" x14ac:dyDescent="0.3">
      <c r="A11" s="1202"/>
      <c r="B11" s="1202"/>
      <c r="C11" s="1202"/>
      <c r="D11" s="13" t="s">
        <v>13</v>
      </c>
      <c r="E11" s="13" t="s">
        <v>14</v>
      </c>
      <c r="F11" s="13" t="s">
        <v>14</v>
      </c>
      <c r="G11" s="1202"/>
      <c r="H11" s="1203">
        <v>0.11</v>
      </c>
      <c r="I11" s="1204"/>
      <c r="J11" s="14" t="s">
        <v>15</v>
      </c>
      <c r="K11" s="13" t="s">
        <v>16</v>
      </c>
    </row>
    <row r="12" spans="1:11" ht="3.75" customHeight="1" thickBot="1" x14ac:dyDescent="0.3"/>
    <row r="13" spans="1:11" ht="19.5" customHeight="1" x14ac:dyDescent="0.25">
      <c r="A13" s="1195">
        <v>46209</v>
      </c>
      <c r="B13" s="1197" t="s">
        <v>1076</v>
      </c>
      <c r="C13" s="16" t="s">
        <v>225</v>
      </c>
      <c r="D13" s="15"/>
      <c r="E13" s="17">
        <v>175</v>
      </c>
      <c r="F13" s="18">
        <v>16600</v>
      </c>
      <c r="G13" s="18">
        <f>F13*E13</f>
        <v>2905000</v>
      </c>
      <c r="H13" s="19"/>
      <c r="I13" s="20"/>
      <c r="J13" s="15"/>
      <c r="K13" s="21"/>
    </row>
    <row r="14" spans="1:11" ht="19.5" customHeight="1" x14ac:dyDescent="0.25">
      <c r="A14" s="1196"/>
      <c r="B14" s="1198"/>
      <c r="C14" s="24" t="s">
        <v>1077</v>
      </c>
      <c r="D14" s="23"/>
      <c r="E14" s="25">
        <v>75</v>
      </c>
      <c r="F14" s="26">
        <v>10080</v>
      </c>
      <c r="G14" s="26">
        <f>F14*E14</f>
        <v>756000</v>
      </c>
      <c r="H14" s="27"/>
      <c r="I14" s="28"/>
      <c r="J14" s="23"/>
      <c r="K14" s="29"/>
    </row>
    <row r="15" spans="1:11" ht="19.5" customHeight="1" x14ac:dyDescent="0.25">
      <c r="A15" s="1189">
        <v>46205</v>
      </c>
      <c r="B15" s="23" t="s">
        <v>1082</v>
      </c>
      <c r="C15" s="24" t="s">
        <v>1083</v>
      </c>
      <c r="D15" s="23"/>
      <c r="E15" s="25">
        <v>1</v>
      </c>
      <c r="F15" s="26">
        <v>7994348</v>
      </c>
      <c r="G15" s="26">
        <f t="shared" ref="G15:G29" si="0">F15*E15</f>
        <v>7994348</v>
      </c>
      <c r="H15" s="27"/>
      <c r="I15" s="28"/>
      <c r="J15" s="23"/>
      <c r="K15" s="29"/>
    </row>
    <row r="16" spans="1:11" ht="19.5" customHeight="1" x14ac:dyDescent="0.25">
      <c r="A16" s="22"/>
      <c r="B16" s="23"/>
      <c r="C16" s="24"/>
      <c r="D16" s="23"/>
      <c r="E16" s="25"/>
      <c r="F16" s="26"/>
      <c r="G16" s="26">
        <f t="shared" si="0"/>
        <v>0</v>
      </c>
      <c r="H16" s="27"/>
      <c r="I16" s="28"/>
      <c r="J16" s="23"/>
      <c r="K16" s="29"/>
    </row>
    <row r="17" spans="1:11" ht="19.5" customHeight="1" x14ac:dyDescent="0.25">
      <c r="A17" s="22"/>
      <c r="B17" s="23"/>
      <c r="C17" s="24"/>
      <c r="D17" s="23"/>
      <c r="E17" s="25"/>
      <c r="F17" s="26"/>
      <c r="G17" s="26">
        <f t="shared" si="0"/>
        <v>0</v>
      </c>
      <c r="H17" s="27"/>
      <c r="I17" s="28"/>
      <c r="J17" s="23"/>
      <c r="K17" s="29"/>
    </row>
    <row r="18" spans="1:11" ht="19.5" customHeight="1" x14ac:dyDescent="0.25">
      <c r="A18" s="22"/>
      <c r="B18" s="23"/>
      <c r="C18" s="24"/>
      <c r="D18" s="23"/>
      <c r="E18" s="25"/>
      <c r="F18" s="26"/>
      <c r="G18" s="26">
        <f t="shared" si="0"/>
        <v>0</v>
      </c>
      <c r="H18" s="27"/>
      <c r="I18" s="28"/>
      <c r="J18" s="23"/>
      <c r="K18" s="29"/>
    </row>
    <row r="19" spans="1:11" ht="20.100000000000001" customHeight="1" x14ac:dyDescent="0.25">
      <c r="A19" s="30"/>
      <c r="B19" s="31"/>
      <c r="C19" s="24"/>
      <c r="D19" s="31"/>
      <c r="E19" s="32"/>
      <c r="F19" s="33"/>
      <c r="G19" s="26">
        <f t="shared" si="0"/>
        <v>0</v>
      </c>
      <c r="H19" s="27"/>
      <c r="I19" s="28"/>
      <c r="J19" s="31"/>
      <c r="K19" s="34"/>
    </row>
    <row r="20" spans="1:11" ht="20.100000000000001" customHeight="1" x14ac:dyDescent="0.25">
      <c r="A20" s="35"/>
      <c r="B20" s="31"/>
      <c r="C20" s="36"/>
      <c r="D20" s="31"/>
      <c r="E20" s="32"/>
      <c r="F20" s="33"/>
      <c r="G20" s="26">
        <f t="shared" si="0"/>
        <v>0</v>
      </c>
      <c r="H20" s="27"/>
      <c r="I20" s="28"/>
      <c r="J20" s="31"/>
      <c r="K20" s="34"/>
    </row>
    <row r="21" spans="1:11" ht="20.100000000000001" customHeight="1" x14ac:dyDescent="0.25">
      <c r="A21" s="35"/>
      <c r="B21" s="31"/>
      <c r="C21" s="36"/>
      <c r="D21" s="31"/>
      <c r="E21" s="32"/>
      <c r="F21" s="33"/>
      <c r="G21" s="26">
        <f t="shared" si="0"/>
        <v>0</v>
      </c>
      <c r="H21" s="27"/>
      <c r="I21" s="28"/>
      <c r="J21" s="31"/>
      <c r="K21" s="34"/>
    </row>
    <row r="22" spans="1:11" ht="20.100000000000001" customHeight="1" x14ac:dyDescent="0.25">
      <c r="A22" s="35"/>
      <c r="B22" s="31"/>
      <c r="C22" s="36"/>
      <c r="D22" s="31"/>
      <c r="E22" s="32"/>
      <c r="F22" s="33"/>
      <c r="G22" s="26">
        <f t="shared" si="0"/>
        <v>0</v>
      </c>
      <c r="H22" s="27"/>
      <c r="I22" s="28"/>
      <c r="J22" s="31"/>
      <c r="K22" s="34"/>
    </row>
    <row r="23" spans="1:11" ht="20.100000000000001" customHeight="1" x14ac:dyDescent="0.25">
      <c r="A23" s="35"/>
      <c r="B23" s="31"/>
      <c r="C23" s="36"/>
      <c r="D23" s="31"/>
      <c r="E23" s="32"/>
      <c r="F23" s="33"/>
      <c r="G23" s="26">
        <f t="shared" si="0"/>
        <v>0</v>
      </c>
      <c r="H23" s="27"/>
      <c r="I23" s="28"/>
      <c r="J23" s="31"/>
      <c r="K23" s="34"/>
    </row>
    <row r="24" spans="1:11" ht="20.100000000000001" customHeight="1" x14ac:dyDescent="0.25">
      <c r="A24" s="35"/>
      <c r="B24" s="31"/>
      <c r="C24" s="37"/>
      <c r="D24" s="31"/>
      <c r="E24" s="32"/>
      <c r="F24" s="33"/>
      <c r="G24" s="26">
        <f t="shared" si="0"/>
        <v>0</v>
      </c>
      <c r="H24" s="27"/>
      <c r="I24" s="28"/>
      <c r="J24" s="31"/>
      <c r="K24" s="34"/>
    </row>
    <row r="25" spans="1:11" ht="20.100000000000001" customHeight="1" x14ac:dyDescent="0.25">
      <c r="A25" s="35"/>
      <c r="B25" s="31"/>
      <c r="C25" s="37"/>
      <c r="D25" s="31"/>
      <c r="E25" s="32"/>
      <c r="F25" s="33"/>
      <c r="G25" s="26">
        <f t="shared" si="0"/>
        <v>0</v>
      </c>
      <c r="H25" s="27"/>
      <c r="I25" s="28"/>
      <c r="J25" s="31"/>
      <c r="K25" s="34"/>
    </row>
    <row r="26" spans="1:11" ht="20.100000000000001" customHeight="1" thickBot="1" x14ac:dyDescent="0.3">
      <c r="A26" s="1141"/>
      <c r="B26" s="1142"/>
      <c r="C26" s="37"/>
      <c r="D26" s="1142"/>
      <c r="E26" s="1143"/>
      <c r="F26" s="1144"/>
      <c r="G26" s="26">
        <f t="shared" si="0"/>
        <v>0</v>
      </c>
      <c r="H26" s="27"/>
      <c r="I26" s="28"/>
      <c r="J26" s="1142"/>
      <c r="K26" s="1147"/>
    </row>
    <row r="27" spans="1:11" ht="20.100000000000001" customHeight="1" thickBot="1" x14ac:dyDescent="0.3">
      <c r="A27" s="1205" t="s">
        <v>17</v>
      </c>
      <c r="B27" s="1206"/>
      <c r="C27" s="1206"/>
      <c r="D27" s="1206"/>
      <c r="E27" s="1206"/>
      <c r="F27" s="1207"/>
      <c r="G27" s="26">
        <f>SUM(G13:G26)</f>
        <v>11655348</v>
      </c>
      <c r="H27" s="1145"/>
      <c r="I27" s="1146"/>
      <c r="J27" s="1142"/>
      <c r="K27" s="1147"/>
    </row>
    <row r="28" spans="1:11" ht="20.100000000000001" customHeight="1" x14ac:dyDescent="0.25">
      <c r="A28" s="1154"/>
      <c r="B28" s="15"/>
      <c r="C28" s="1148" t="s">
        <v>142</v>
      </c>
      <c r="D28" s="15" t="s">
        <v>952</v>
      </c>
      <c r="E28" s="17"/>
      <c r="F28" s="18">
        <v>2273</v>
      </c>
      <c r="G28" s="18">
        <f t="shared" si="0"/>
        <v>0</v>
      </c>
      <c r="H28" s="19"/>
      <c r="I28" s="20"/>
      <c r="J28" s="15"/>
      <c r="K28" s="21"/>
    </row>
    <row r="29" spans="1:11" ht="20.100000000000001" customHeight="1" thickBot="1" x14ac:dyDescent="0.3">
      <c r="A29" s="1149"/>
      <c r="B29" s="39"/>
      <c r="C29" s="1150"/>
      <c r="D29" s="39" t="s">
        <v>930</v>
      </c>
      <c r="E29" s="1151"/>
      <c r="F29" s="38">
        <v>1855</v>
      </c>
      <c r="G29" s="44">
        <f t="shared" si="0"/>
        <v>0</v>
      </c>
      <c r="H29" s="1152"/>
      <c r="I29" s="1153"/>
      <c r="J29" s="39"/>
      <c r="K29" s="40"/>
    </row>
    <row r="30" spans="1:11" ht="20.100000000000001" customHeight="1" thickBot="1" x14ac:dyDescent="0.3">
      <c r="A30" s="1209" t="s">
        <v>944</v>
      </c>
      <c r="B30" s="1210"/>
      <c r="C30" s="1210"/>
      <c r="D30" s="1210"/>
      <c r="E30" s="1210"/>
      <c r="F30" s="1211"/>
      <c r="G30" s="44">
        <f>SUM(G28:G29)</f>
        <v>0</v>
      </c>
      <c r="H30" s="1212"/>
      <c r="I30" s="1213"/>
      <c r="J30" s="46"/>
      <c r="K30" s="45"/>
    </row>
    <row r="31" spans="1:11" ht="20.100000000000001" customHeight="1" thickBot="1" x14ac:dyDescent="0.3">
      <c r="A31" s="49" t="s">
        <v>4</v>
      </c>
      <c r="B31" s="50" t="s">
        <v>5</v>
      </c>
      <c r="C31" s="51" t="s">
        <v>25</v>
      </c>
      <c r="D31" s="52" t="s">
        <v>26</v>
      </c>
      <c r="E31" s="53" t="s">
        <v>21</v>
      </c>
      <c r="F31" s="54" t="s">
        <v>22</v>
      </c>
      <c r="G31" s="54" t="s">
        <v>23</v>
      </c>
      <c r="H31" s="55" t="s">
        <v>33</v>
      </c>
      <c r="I31" s="55" t="s">
        <v>32</v>
      </c>
      <c r="J31" s="56" t="s">
        <v>24</v>
      </c>
      <c r="K31" s="57"/>
    </row>
    <row r="32" spans="1:11" ht="20.100000000000001" customHeight="1" x14ac:dyDescent="0.25">
      <c r="A32" s="1190">
        <v>46205</v>
      </c>
      <c r="B32" s="41" t="s">
        <v>1079</v>
      </c>
      <c r="C32" s="42" t="s">
        <v>1081</v>
      </c>
      <c r="D32" s="23" t="s">
        <v>27</v>
      </c>
      <c r="E32" s="25">
        <v>130</v>
      </c>
      <c r="F32" s="26">
        <v>1200</v>
      </c>
      <c r="G32" s="26">
        <v>4111875</v>
      </c>
      <c r="H32" s="27">
        <f>E32/F32*G32</f>
        <v>445453.125</v>
      </c>
      <c r="I32" s="58">
        <v>85</v>
      </c>
      <c r="J32" s="60">
        <f>H32/I32</f>
        <v>5240.625</v>
      </c>
      <c r="K32" s="29"/>
    </row>
    <row r="33" spans="1:11" ht="20.100000000000001" customHeight="1" x14ac:dyDescent="0.25">
      <c r="A33" s="1191">
        <v>46209</v>
      </c>
      <c r="B33" s="31" t="s">
        <v>1079</v>
      </c>
      <c r="C33" s="37" t="s">
        <v>1080</v>
      </c>
      <c r="D33" s="31" t="s">
        <v>28</v>
      </c>
      <c r="E33" s="32">
        <v>310</v>
      </c>
      <c r="F33" s="26">
        <v>1200</v>
      </c>
      <c r="G33" s="26">
        <v>4111875</v>
      </c>
      <c r="H33" s="27">
        <f t="shared" ref="H33:H40" si="1">E33/F33*G33</f>
        <v>1062234.375</v>
      </c>
      <c r="I33" s="59">
        <v>170</v>
      </c>
      <c r="J33" s="60">
        <f t="shared" ref="J33:J40" si="2">H33/I33</f>
        <v>6248.4375</v>
      </c>
      <c r="K33" s="34"/>
    </row>
    <row r="34" spans="1:11" ht="20.100000000000001" customHeight="1" x14ac:dyDescent="0.25">
      <c r="A34" s="1191"/>
      <c r="B34" s="31"/>
      <c r="C34" s="37"/>
      <c r="D34" s="31" t="s">
        <v>29</v>
      </c>
      <c r="E34" s="32">
        <v>320</v>
      </c>
      <c r="F34" s="26">
        <v>1200</v>
      </c>
      <c r="G34" s="26">
        <v>4111875</v>
      </c>
      <c r="H34" s="27">
        <f t="shared" si="1"/>
        <v>1096500</v>
      </c>
      <c r="I34" s="59">
        <v>170</v>
      </c>
      <c r="J34" s="60">
        <f t="shared" si="2"/>
        <v>6450</v>
      </c>
      <c r="K34" s="34"/>
    </row>
    <row r="35" spans="1:11" ht="20.100000000000001" customHeight="1" x14ac:dyDescent="0.25">
      <c r="A35" s="1191"/>
      <c r="B35" s="31"/>
      <c r="C35" s="37"/>
      <c r="D35" s="31" t="s">
        <v>30</v>
      </c>
      <c r="E35" s="32">
        <v>230</v>
      </c>
      <c r="F35" s="26">
        <v>1200</v>
      </c>
      <c r="G35" s="26">
        <v>4111875</v>
      </c>
      <c r="H35" s="27">
        <f t="shared" si="1"/>
        <v>788109.375</v>
      </c>
      <c r="I35" s="59">
        <v>170</v>
      </c>
      <c r="J35" s="60">
        <f t="shared" si="2"/>
        <v>4635.9375</v>
      </c>
      <c r="K35" s="34"/>
    </row>
    <row r="36" spans="1:11" ht="20.100000000000001" customHeight="1" x14ac:dyDescent="0.25">
      <c r="A36" s="35"/>
      <c r="B36" s="31"/>
      <c r="C36" s="37"/>
      <c r="D36" s="31" t="s">
        <v>31</v>
      </c>
      <c r="E36" s="32">
        <v>210</v>
      </c>
      <c r="F36" s="26">
        <v>1200</v>
      </c>
      <c r="G36" s="33">
        <v>4118875</v>
      </c>
      <c r="H36" s="27">
        <f t="shared" si="1"/>
        <v>720803.125</v>
      </c>
      <c r="I36" s="59">
        <v>170</v>
      </c>
      <c r="J36" s="60">
        <f t="shared" si="2"/>
        <v>4240.0183823529414</v>
      </c>
      <c r="K36" s="34"/>
    </row>
    <row r="37" spans="1:11" ht="20.100000000000001" customHeight="1" x14ac:dyDescent="0.25">
      <c r="A37" s="35"/>
      <c r="B37" s="31"/>
      <c r="C37" s="37"/>
      <c r="D37" s="31" t="s">
        <v>1053</v>
      </c>
      <c r="E37" s="32">
        <v>1200</v>
      </c>
      <c r="F37" s="26">
        <v>1200</v>
      </c>
      <c r="G37" s="33">
        <v>204085</v>
      </c>
      <c r="H37" s="27">
        <f t="shared" si="1"/>
        <v>204085</v>
      </c>
      <c r="I37" s="59">
        <v>70</v>
      </c>
      <c r="J37" s="60">
        <f t="shared" si="2"/>
        <v>2915.5</v>
      </c>
      <c r="K37" s="34"/>
    </row>
    <row r="38" spans="1:11" ht="20.100000000000001" customHeight="1" x14ac:dyDescent="0.25">
      <c r="A38" s="35"/>
      <c r="B38" s="31"/>
      <c r="C38" s="37"/>
      <c r="D38" s="31" t="s">
        <v>1054</v>
      </c>
      <c r="E38" s="32">
        <v>1200</v>
      </c>
      <c r="F38" s="26">
        <v>1200</v>
      </c>
      <c r="G38" s="33">
        <v>369250</v>
      </c>
      <c r="H38" s="27">
        <f t="shared" si="1"/>
        <v>369250</v>
      </c>
      <c r="I38" s="59">
        <v>10.55</v>
      </c>
      <c r="J38" s="60">
        <f t="shared" si="2"/>
        <v>35000</v>
      </c>
      <c r="K38" s="34"/>
    </row>
    <row r="39" spans="1:11" ht="20.100000000000001" customHeight="1" x14ac:dyDescent="0.25">
      <c r="A39" s="35"/>
      <c r="B39" s="31"/>
      <c r="C39" s="37"/>
      <c r="D39" s="31" t="s">
        <v>1078</v>
      </c>
      <c r="E39" s="32">
        <v>1200</v>
      </c>
      <c r="F39" s="26">
        <v>1200</v>
      </c>
      <c r="G39" s="33">
        <v>292600</v>
      </c>
      <c r="H39" s="27">
        <f t="shared" si="1"/>
        <v>292600</v>
      </c>
      <c r="I39" s="59">
        <v>70</v>
      </c>
      <c r="J39" s="60">
        <f t="shared" si="2"/>
        <v>4180</v>
      </c>
      <c r="K39" s="34"/>
    </row>
    <row r="40" spans="1:11" ht="20.100000000000001" customHeight="1" x14ac:dyDescent="0.25">
      <c r="A40" s="35"/>
      <c r="B40" s="31"/>
      <c r="C40" s="37"/>
      <c r="D40" s="31" t="s">
        <v>1056</v>
      </c>
      <c r="E40" s="32">
        <v>1000</v>
      </c>
      <c r="F40" s="26">
        <v>1000</v>
      </c>
      <c r="G40" s="33">
        <v>204375</v>
      </c>
      <c r="H40" s="27">
        <f t="shared" si="1"/>
        <v>204375</v>
      </c>
      <c r="I40" s="59">
        <v>50</v>
      </c>
      <c r="J40" s="60">
        <f t="shared" si="2"/>
        <v>4087.5</v>
      </c>
      <c r="K40" s="34"/>
    </row>
    <row r="41" spans="1:11" ht="20.100000000000001" customHeight="1" x14ac:dyDescent="0.25">
      <c r="A41" s="35"/>
      <c r="B41" s="31"/>
      <c r="C41" s="43"/>
      <c r="D41" s="31" t="s">
        <v>930</v>
      </c>
      <c r="E41" s="32">
        <v>1200</v>
      </c>
      <c r="F41" s="26">
        <v>1200</v>
      </c>
      <c r="G41" s="33">
        <v>1925600</v>
      </c>
      <c r="H41" s="27">
        <f>E41/F41*G41</f>
        <v>1925600</v>
      </c>
      <c r="I41" s="59">
        <v>80</v>
      </c>
      <c r="J41" s="60">
        <f>H41/I41</f>
        <v>24070</v>
      </c>
      <c r="K41" s="34"/>
    </row>
    <row r="42" spans="1:11" ht="20.100000000000001" customHeight="1" thickBot="1" x14ac:dyDescent="0.3">
      <c r="A42" s="1209" t="s">
        <v>18</v>
      </c>
      <c r="B42" s="1210"/>
      <c r="C42" s="1210"/>
      <c r="D42" s="1210"/>
      <c r="E42" s="1210"/>
      <c r="F42" s="1211"/>
      <c r="G42" s="44">
        <f>G36+G41-H42</f>
        <v>-1064535</v>
      </c>
      <c r="H42" s="1214">
        <f>SUM(H32:H41)</f>
        <v>7109010</v>
      </c>
      <c r="I42" s="1215"/>
      <c r="J42" s="45"/>
      <c r="K42" s="46"/>
    </row>
    <row r="43" spans="1:11" ht="20.100000000000001" customHeight="1" thickBot="1" x14ac:dyDescent="0.3">
      <c r="A43" s="1216" t="s">
        <v>19</v>
      </c>
      <c r="B43" s="1217"/>
      <c r="C43" s="1217"/>
      <c r="D43" s="1217"/>
      <c r="E43" s="1217"/>
      <c r="F43" s="1218"/>
      <c r="G43" s="1219">
        <f>SUM(H42+G30+G27)</f>
        <v>18764358</v>
      </c>
      <c r="H43" s="1220"/>
      <c r="I43" s="1220"/>
      <c r="J43" s="1220"/>
      <c r="K43" s="1221"/>
    </row>
    <row r="44" spans="1:11" x14ac:dyDescent="0.25">
      <c r="J44" s="1208" t="s">
        <v>20</v>
      </c>
      <c r="K44" s="1208"/>
    </row>
    <row r="45" spans="1:11" x14ac:dyDescent="0.25">
      <c r="J45" s="47"/>
    </row>
    <row r="46" spans="1:11" x14ac:dyDescent="0.25">
      <c r="B46" s="48"/>
      <c r="J46" s="47"/>
    </row>
    <row r="47" spans="1:11" x14ac:dyDescent="0.25">
      <c r="B47" s="47"/>
      <c r="J47" s="47"/>
    </row>
    <row r="48" spans="1:11" x14ac:dyDescent="0.25">
      <c r="B48" s="47"/>
      <c r="J48" s="47"/>
    </row>
    <row r="49" spans="2:11" x14ac:dyDescent="0.25">
      <c r="B49" s="47"/>
      <c r="J49" s="47"/>
    </row>
    <row r="50" spans="2:11" x14ac:dyDescent="0.25">
      <c r="B50" s="47"/>
      <c r="J50" s="1208"/>
      <c r="K50" s="1208"/>
    </row>
    <row r="51" spans="2:11" x14ac:dyDescent="0.25">
      <c r="B51" s="47"/>
      <c r="J51" s="47"/>
    </row>
  </sheetData>
  <mergeCells count="19">
    <mergeCell ref="A27:F27"/>
    <mergeCell ref="J44:K44"/>
    <mergeCell ref="J50:K50"/>
    <mergeCell ref="A30:F30"/>
    <mergeCell ref="H30:I30"/>
    <mergeCell ref="A42:F42"/>
    <mergeCell ref="H42:I42"/>
    <mergeCell ref="A43:F43"/>
    <mergeCell ref="G43:K43"/>
    <mergeCell ref="A13:A14"/>
    <mergeCell ref="B13:B14"/>
    <mergeCell ref="A5:K5"/>
    <mergeCell ref="J7:K7"/>
    <mergeCell ref="J8:K8"/>
    <mergeCell ref="A10:A11"/>
    <mergeCell ref="B10:B11"/>
    <mergeCell ref="C10:C11"/>
    <mergeCell ref="G10:G11"/>
    <mergeCell ref="H11:I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9AF31-68FF-4585-B4AE-748520298399}">
  <sheetPr>
    <tabColor rgb="FFFFC000"/>
  </sheetPr>
  <dimension ref="A2:Y70"/>
  <sheetViews>
    <sheetView topLeftCell="C3" zoomScale="80" zoomScaleNormal="80" workbookViewId="0">
      <selection activeCell="B1" sqref="B1"/>
    </sheetView>
  </sheetViews>
  <sheetFormatPr defaultRowHeight="12.75" x14ac:dyDescent="0.2"/>
  <cols>
    <col min="1" max="1" width="25.7109375" style="63" customWidth="1"/>
    <col min="2" max="2" width="10.7109375" style="63" customWidth="1"/>
    <col min="3" max="4" width="15.7109375" style="63" customWidth="1"/>
    <col min="5" max="5" width="1.7109375" style="63" customWidth="1"/>
    <col min="6" max="6" width="23.140625" style="63" customWidth="1"/>
    <col min="7" max="7" width="10.7109375" style="63" customWidth="1"/>
    <col min="8" max="9" width="15.7109375" style="63" customWidth="1"/>
    <col min="10" max="10" width="1.7109375" style="63" customWidth="1"/>
    <col min="11" max="11" width="20.7109375" style="63" customWidth="1"/>
    <col min="12" max="12" width="10.7109375" style="63" customWidth="1"/>
    <col min="13" max="14" width="15.7109375" style="63" customWidth="1"/>
    <col min="15" max="15" width="2.140625" style="63" customWidth="1"/>
    <col min="16" max="16" width="25.7109375" style="63" customWidth="1"/>
    <col min="17" max="17" width="10.7109375" style="63" customWidth="1"/>
    <col min="18" max="19" width="15.7109375" style="63" customWidth="1"/>
    <col min="20" max="21" width="9.140625" style="63"/>
    <col min="22" max="22" width="11.28515625" style="63" customWidth="1"/>
    <col min="23" max="256" width="9.140625" style="63"/>
    <col min="257" max="257" width="25.7109375" style="63" customWidth="1"/>
    <col min="258" max="258" width="10.7109375" style="63" customWidth="1"/>
    <col min="259" max="260" width="15.7109375" style="63" customWidth="1"/>
    <col min="261" max="261" width="1.7109375" style="63" customWidth="1"/>
    <col min="262" max="262" width="20.85546875" style="63" customWidth="1"/>
    <col min="263" max="263" width="10.7109375" style="63" customWidth="1"/>
    <col min="264" max="265" width="15.7109375" style="63" customWidth="1"/>
    <col min="266" max="266" width="1.7109375" style="63" customWidth="1"/>
    <col min="267" max="267" width="20.7109375" style="63" customWidth="1"/>
    <col min="268" max="268" width="10.7109375" style="63" customWidth="1"/>
    <col min="269" max="270" width="15.7109375" style="63" customWidth="1"/>
    <col min="271" max="271" width="2.140625" style="63" customWidth="1"/>
    <col min="272" max="272" width="25.7109375" style="63" customWidth="1"/>
    <col min="273" max="273" width="10.7109375" style="63" customWidth="1"/>
    <col min="274" max="275" width="15.7109375" style="63" customWidth="1"/>
    <col min="276" max="277" width="9.140625" style="63"/>
    <col min="278" max="278" width="11.28515625" style="63" customWidth="1"/>
    <col min="279" max="512" width="9.140625" style="63"/>
    <col min="513" max="513" width="25.7109375" style="63" customWidth="1"/>
    <col min="514" max="514" width="10.7109375" style="63" customWidth="1"/>
    <col min="515" max="516" width="15.7109375" style="63" customWidth="1"/>
    <col min="517" max="517" width="1.7109375" style="63" customWidth="1"/>
    <col min="518" max="518" width="20.85546875" style="63" customWidth="1"/>
    <col min="519" max="519" width="10.7109375" style="63" customWidth="1"/>
    <col min="520" max="521" width="15.7109375" style="63" customWidth="1"/>
    <col min="522" max="522" width="1.7109375" style="63" customWidth="1"/>
    <col min="523" max="523" width="20.7109375" style="63" customWidth="1"/>
    <col min="524" max="524" width="10.7109375" style="63" customWidth="1"/>
    <col min="525" max="526" width="15.7109375" style="63" customWidth="1"/>
    <col min="527" max="527" width="2.140625" style="63" customWidth="1"/>
    <col min="528" max="528" width="25.7109375" style="63" customWidth="1"/>
    <col min="529" max="529" width="10.7109375" style="63" customWidth="1"/>
    <col min="530" max="531" width="15.7109375" style="63" customWidth="1"/>
    <col min="532" max="533" width="9.140625" style="63"/>
    <col min="534" max="534" width="11.28515625" style="63" customWidth="1"/>
    <col min="535" max="768" width="9.140625" style="63"/>
    <col min="769" max="769" width="25.7109375" style="63" customWidth="1"/>
    <col min="770" max="770" width="10.7109375" style="63" customWidth="1"/>
    <col min="771" max="772" width="15.7109375" style="63" customWidth="1"/>
    <col min="773" max="773" width="1.7109375" style="63" customWidth="1"/>
    <col min="774" max="774" width="20.85546875" style="63" customWidth="1"/>
    <col min="775" max="775" width="10.7109375" style="63" customWidth="1"/>
    <col min="776" max="777" width="15.7109375" style="63" customWidth="1"/>
    <col min="778" max="778" width="1.7109375" style="63" customWidth="1"/>
    <col min="779" max="779" width="20.7109375" style="63" customWidth="1"/>
    <col min="780" max="780" width="10.7109375" style="63" customWidth="1"/>
    <col min="781" max="782" width="15.7109375" style="63" customWidth="1"/>
    <col min="783" max="783" width="2.140625" style="63" customWidth="1"/>
    <col min="784" max="784" width="25.7109375" style="63" customWidth="1"/>
    <col min="785" max="785" width="10.7109375" style="63" customWidth="1"/>
    <col min="786" max="787" width="15.7109375" style="63" customWidth="1"/>
    <col min="788" max="789" width="9.140625" style="63"/>
    <col min="790" max="790" width="11.28515625" style="63" customWidth="1"/>
    <col min="791" max="1024" width="9.140625" style="63"/>
    <col min="1025" max="1025" width="25.7109375" style="63" customWidth="1"/>
    <col min="1026" max="1026" width="10.7109375" style="63" customWidth="1"/>
    <col min="1027" max="1028" width="15.7109375" style="63" customWidth="1"/>
    <col min="1029" max="1029" width="1.7109375" style="63" customWidth="1"/>
    <col min="1030" max="1030" width="20.85546875" style="63" customWidth="1"/>
    <col min="1031" max="1031" width="10.7109375" style="63" customWidth="1"/>
    <col min="1032" max="1033" width="15.7109375" style="63" customWidth="1"/>
    <col min="1034" max="1034" width="1.7109375" style="63" customWidth="1"/>
    <col min="1035" max="1035" width="20.7109375" style="63" customWidth="1"/>
    <col min="1036" max="1036" width="10.7109375" style="63" customWidth="1"/>
    <col min="1037" max="1038" width="15.7109375" style="63" customWidth="1"/>
    <col min="1039" max="1039" width="2.140625" style="63" customWidth="1"/>
    <col min="1040" max="1040" width="25.7109375" style="63" customWidth="1"/>
    <col min="1041" max="1041" width="10.7109375" style="63" customWidth="1"/>
    <col min="1042" max="1043" width="15.7109375" style="63" customWidth="1"/>
    <col min="1044" max="1045" width="9.140625" style="63"/>
    <col min="1046" max="1046" width="11.28515625" style="63" customWidth="1"/>
    <col min="1047" max="1280" width="9.140625" style="63"/>
    <col min="1281" max="1281" width="25.7109375" style="63" customWidth="1"/>
    <col min="1282" max="1282" width="10.7109375" style="63" customWidth="1"/>
    <col min="1283" max="1284" width="15.7109375" style="63" customWidth="1"/>
    <col min="1285" max="1285" width="1.7109375" style="63" customWidth="1"/>
    <col min="1286" max="1286" width="20.85546875" style="63" customWidth="1"/>
    <col min="1287" max="1287" width="10.7109375" style="63" customWidth="1"/>
    <col min="1288" max="1289" width="15.7109375" style="63" customWidth="1"/>
    <col min="1290" max="1290" width="1.7109375" style="63" customWidth="1"/>
    <col min="1291" max="1291" width="20.7109375" style="63" customWidth="1"/>
    <col min="1292" max="1292" width="10.7109375" style="63" customWidth="1"/>
    <col min="1293" max="1294" width="15.7109375" style="63" customWidth="1"/>
    <col min="1295" max="1295" width="2.140625" style="63" customWidth="1"/>
    <col min="1296" max="1296" width="25.7109375" style="63" customWidth="1"/>
    <col min="1297" max="1297" width="10.7109375" style="63" customWidth="1"/>
    <col min="1298" max="1299" width="15.7109375" style="63" customWidth="1"/>
    <col min="1300" max="1301" width="9.140625" style="63"/>
    <col min="1302" max="1302" width="11.28515625" style="63" customWidth="1"/>
    <col min="1303" max="1536" width="9.140625" style="63"/>
    <col min="1537" max="1537" width="25.7109375" style="63" customWidth="1"/>
    <col min="1538" max="1538" width="10.7109375" style="63" customWidth="1"/>
    <col min="1539" max="1540" width="15.7109375" style="63" customWidth="1"/>
    <col min="1541" max="1541" width="1.7109375" style="63" customWidth="1"/>
    <col min="1542" max="1542" width="20.85546875" style="63" customWidth="1"/>
    <col min="1543" max="1543" width="10.7109375" style="63" customWidth="1"/>
    <col min="1544" max="1545" width="15.7109375" style="63" customWidth="1"/>
    <col min="1546" max="1546" width="1.7109375" style="63" customWidth="1"/>
    <col min="1547" max="1547" width="20.7109375" style="63" customWidth="1"/>
    <col min="1548" max="1548" width="10.7109375" style="63" customWidth="1"/>
    <col min="1549" max="1550" width="15.7109375" style="63" customWidth="1"/>
    <col min="1551" max="1551" width="2.140625" style="63" customWidth="1"/>
    <col min="1552" max="1552" width="25.7109375" style="63" customWidth="1"/>
    <col min="1553" max="1553" width="10.7109375" style="63" customWidth="1"/>
    <col min="1554" max="1555" width="15.7109375" style="63" customWidth="1"/>
    <col min="1556" max="1557" width="9.140625" style="63"/>
    <col min="1558" max="1558" width="11.28515625" style="63" customWidth="1"/>
    <col min="1559" max="1792" width="9.140625" style="63"/>
    <col min="1793" max="1793" width="25.7109375" style="63" customWidth="1"/>
    <col min="1794" max="1794" width="10.7109375" style="63" customWidth="1"/>
    <col min="1795" max="1796" width="15.7109375" style="63" customWidth="1"/>
    <col min="1797" max="1797" width="1.7109375" style="63" customWidth="1"/>
    <col min="1798" max="1798" width="20.85546875" style="63" customWidth="1"/>
    <col min="1799" max="1799" width="10.7109375" style="63" customWidth="1"/>
    <col min="1800" max="1801" width="15.7109375" style="63" customWidth="1"/>
    <col min="1802" max="1802" width="1.7109375" style="63" customWidth="1"/>
    <col min="1803" max="1803" width="20.7109375" style="63" customWidth="1"/>
    <col min="1804" max="1804" width="10.7109375" style="63" customWidth="1"/>
    <col min="1805" max="1806" width="15.7109375" style="63" customWidth="1"/>
    <col min="1807" max="1807" width="2.140625" style="63" customWidth="1"/>
    <col min="1808" max="1808" width="25.7109375" style="63" customWidth="1"/>
    <col min="1809" max="1809" width="10.7109375" style="63" customWidth="1"/>
    <col min="1810" max="1811" width="15.7109375" style="63" customWidth="1"/>
    <col min="1812" max="1813" width="9.140625" style="63"/>
    <col min="1814" max="1814" width="11.28515625" style="63" customWidth="1"/>
    <col min="1815" max="2048" width="9.140625" style="63"/>
    <col min="2049" max="2049" width="25.7109375" style="63" customWidth="1"/>
    <col min="2050" max="2050" width="10.7109375" style="63" customWidth="1"/>
    <col min="2051" max="2052" width="15.7109375" style="63" customWidth="1"/>
    <col min="2053" max="2053" width="1.7109375" style="63" customWidth="1"/>
    <col min="2054" max="2054" width="20.85546875" style="63" customWidth="1"/>
    <col min="2055" max="2055" width="10.7109375" style="63" customWidth="1"/>
    <col min="2056" max="2057" width="15.7109375" style="63" customWidth="1"/>
    <col min="2058" max="2058" width="1.7109375" style="63" customWidth="1"/>
    <col min="2059" max="2059" width="20.7109375" style="63" customWidth="1"/>
    <col min="2060" max="2060" width="10.7109375" style="63" customWidth="1"/>
    <col min="2061" max="2062" width="15.7109375" style="63" customWidth="1"/>
    <col min="2063" max="2063" width="2.140625" style="63" customWidth="1"/>
    <col min="2064" max="2064" width="25.7109375" style="63" customWidth="1"/>
    <col min="2065" max="2065" width="10.7109375" style="63" customWidth="1"/>
    <col min="2066" max="2067" width="15.7109375" style="63" customWidth="1"/>
    <col min="2068" max="2069" width="9.140625" style="63"/>
    <col min="2070" max="2070" width="11.28515625" style="63" customWidth="1"/>
    <col min="2071" max="2304" width="9.140625" style="63"/>
    <col min="2305" max="2305" width="25.7109375" style="63" customWidth="1"/>
    <col min="2306" max="2306" width="10.7109375" style="63" customWidth="1"/>
    <col min="2307" max="2308" width="15.7109375" style="63" customWidth="1"/>
    <col min="2309" max="2309" width="1.7109375" style="63" customWidth="1"/>
    <col min="2310" max="2310" width="20.85546875" style="63" customWidth="1"/>
    <col min="2311" max="2311" width="10.7109375" style="63" customWidth="1"/>
    <col min="2312" max="2313" width="15.7109375" style="63" customWidth="1"/>
    <col min="2314" max="2314" width="1.7109375" style="63" customWidth="1"/>
    <col min="2315" max="2315" width="20.7109375" style="63" customWidth="1"/>
    <col min="2316" max="2316" width="10.7109375" style="63" customWidth="1"/>
    <col min="2317" max="2318" width="15.7109375" style="63" customWidth="1"/>
    <col min="2319" max="2319" width="2.140625" style="63" customWidth="1"/>
    <col min="2320" max="2320" width="25.7109375" style="63" customWidth="1"/>
    <col min="2321" max="2321" width="10.7109375" style="63" customWidth="1"/>
    <col min="2322" max="2323" width="15.7109375" style="63" customWidth="1"/>
    <col min="2324" max="2325" width="9.140625" style="63"/>
    <col min="2326" max="2326" width="11.28515625" style="63" customWidth="1"/>
    <col min="2327" max="2560" width="9.140625" style="63"/>
    <col min="2561" max="2561" width="25.7109375" style="63" customWidth="1"/>
    <col min="2562" max="2562" width="10.7109375" style="63" customWidth="1"/>
    <col min="2563" max="2564" width="15.7109375" style="63" customWidth="1"/>
    <col min="2565" max="2565" width="1.7109375" style="63" customWidth="1"/>
    <col min="2566" max="2566" width="20.85546875" style="63" customWidth="1"/>
    <col min="2567" max="2567" width="10.7109375" style="63" customWidth="1"/>
    <col min="2568" max="2569" width="15.7109375" style="63" customWidth="1"/>
    <col min="2570" max="2570" width="1.7109375" style="63" customWidth="1"/>
    <col min="2571" max="2571" width="20.7109375" style="63" customWidth="1"/>
    <col min="2572" max="2572" width="10.7109375" style="63" customWidth="1"/>
    <col min="2573" max="2574" width="15.7109375" style="63" customWidth="1"/>
    <col min="2575" max="2575" width="2.140625" style="63" customWidth="1"/>
    <col min="2576" max="2576" width="25.7109375" style="63" customWidth="1"/>
    <col min="2577" max="2577" width="10.7109375" style="63" customWidth="1"/>
    <col min="2578" max="2579" width="15.7109375" style="63" customWidth="1"/>
    <col min="2580" max="2581" width="9.140625" style="63"/>
    <col min="2582" max="2582" width="11.28515625" style="63" customWidth="1"/>
    <col min="2583" max="2816" width="9.140625" style="63"/>
    <col min="2817" max="2817" width="25.7109375" style="63" customWidth="1"/>
    <col min="2818" max="2818" width="10.7109375" style="63" customWidth="1"/>
    <col min="2819" max="2820" width="15.7109375" style="63" customWidth="1"/>
    <col min="2821" max="2821" width="1.7109375" style="63" customWidth="1"/>
    <col min="2822" max="2822" width="20.85546875" style="63" customWidth="1"/>
    <col min="2823" max="2823" width="10.7109375" style="63" customWidth="1"/>
    <col min="2824" max="2825" width="15.7109375" style="63" customWidth="1"/>
    <col min="2826" max="2826" width="1.7109375" style="63" customWidth="1"/>
    <col min="2827" max="2827" width="20.7109375" style="63" customWidth="1"/>
    <col min="2828" max="2828" width="10.7109375" style="63" customWidth="1"/>
    <col min="2829" max="2830" width="15.7109375" style="63" customWidth="1"/>
    <col min="2831" max="2831" width="2.140625" style="63" customWidth="1"/>
    <col min="2832" max="2832" width="25.7109375" style="63" customWidth="1"/>
    <col min="2833" max="2833" width="10.7109375" style="63" customWidth="1"/>
    <col min="2834" max="2835" width="15.7109375" style="63" customWidth="1"/>
    <col min="2836" max="2837" width="9.140625" style="63"/>
    <col min="2838" max="2838" width="11.28515625" style="63" customWidth="1"/>
    <col min="2839" max="3072" width="9.140625" style="63"/>
    <col min="3073" max="3073" width="25.7109375" style="63" customWidth="1"/>
    <col min="3074" max="3074" width="10.7109375" style="63" customWidth="1"/>
    <col min="3075" max="3076" width="15.7109375" style="63" customWidth="1"/>
    <col min="3077" max="3077" width="1.7109375" style="63" customWidth="1"/>
    <col min="3078" max="3078" width="20.85546875" style="63" customWidth="1"/>
    <col min="3079" max="3079" width="10.7109375" style="63" customWidth="1"/>
    <col min="3080" max="3081" width="15.7109375" style="63" customWidth="1"/>
    <col min="3082" max="3082" width="1.7109375" style="63" customWidth="1"/>
    <col min="3083" max="3083" width="20.7109375" style="63" customWidth="1"/>
    <col min="3084" max="3084" width="10.7109375" style="63" customWidth="1"/>
    <col min="3085" max="3086" width="15.7109375" style="63" customWidth="1"/>
    <col min="3087" max="3087" width="2.140625" style="63" customWidth="1"/>
    <col min="3088" max="3088" width="25.7109375" style="63" customWidth="1"/>
    <col min="3089" max="3089" width="10.7109375" style="63" customWidth="1"/>
    <col min="3090" max="3091" width="15.7109375" style="63" customWidth="1"/>
    <col min="3092" max="3093" width="9.140625" style="63"/>
    <col min="3094" max="3094" width="11.28515625" style="63" customWidth="1"/>
    <col min="3095" max="3328" width="9.140625" style="63"/>
    <col min="3329" max="3329" width="25.7109375" style="63" customWidth="1"/>
    <col min="3330" max="3330" width="10.7109375" style="63" customWidth="1"/>
    <col min="3331" max="3332" width="15.7109375" style="63" customWidth="1"/>
    <col min="3333" max="3333" width="1.7109375" style="63" customWidth="1"/>
    <col min="3334" max="3334" width="20.85546875" style="63" customWidth="1"/>
    <col min="3335" max="3335" width="10.7109375" style="63" customWidth="1"/>
    <col min="3336" max="3337" width="15.7109375" style="63" customWidth="1"/>
    <col min="3338" max="3338" width="1.7109375" style="63" customWidth="1"/>
    <col min="3339" max="3339" width="20.7109375" style="63" customWidth="1"/>
    <col min="3340" max="3340" width="10.7109375" style="63" customWidth="1"/>
    <col min="3341" max="3342" width="15.7109375" style="63" customWidth="1"/>
    <col min="3343" max="3343" width="2.140625" style="63" customWidth="1"/>
    <col min="3344" max="3344" width="25.7109375" style="63" customWidth="1"/>
    <col min="3345" max="3345" width="10.7109375" style="63" customWidth="1"/>
    <col min="3346" max="3347" width="15.7109375" style="63" customWidth="1"/>
    <col min="3348" max="3349" width="9.140625" style="63"/>
    <col min="3350" max="3350" width="11.28515625" style="63" customWidth="1"/>
    <col min="3351" max="3584" width="9.140625" style="63"/>
    <col min="3585" max="3585" width="25.7109375" style="63" customWidth="1"/>
    <col min="3586" max="3586" width="10.7109375" style="63" customWidth="1"/>
    <col min="3587" max="3588" width="15.7109375" style="63" customWidth="1"/>
    <col min="3589" max="3589" width="1.7109375" style="63" customWidth="1"/>
    <col min="3590" max="3590" width="20.85546875" style="63" customWidth="1"/>
    <col min="3591" max="3591" width="10.7109375" style="63" customWidth="1"/>
    <col min="3592" max="3593" width="15.7109375" style="63" customWidth="1"/>
    <col min="3594" max="3594" width="1.7109375" style="63" customWidth="1"/>
    <col min="3595" max="3595" width="20.7109375" style="63" customWidth="1"/>
    <col min="3596" max="3596" width="10.7109375" style="63" customWidth="1"/>
    <col min="3597" max="3598" width="15.7109375" style="63" customWidth="1"/>
    <col min="3599" max="3599" width="2.140625" style="63" customWidth="1"/>
    <col min="3600" max="3600" width="25.7109375" style="63" customWidth="1"/>
    <col min="3601" max="3601" width="10.7109375" style="63" customWidth="1"/>
    <col min="3602" max="3603" width="15.7109375" style="63" customWidth="1"/>
    <col min="3604" max="3605" width="9.140625" style="63"/>
    <col min="3606" max="3606" width="11.28515625" style="63" customWidth="1"/>
    <col min="3607" max="3840" width="9.140625" style="63"/>
    <col min="3841" max="3841" width="25.7109375" style="63" customWidth="1"/>
    <col min="3842" max="3842" width="10.7109375" style="63" customWidth="1"/>
    <col min="3843" max="3844" width="15.7109375" style="63" customWidth="1"/>
    <col min="3845" max="3845" width="1.7109375" style="63" customWidth="1"/>
    <col min="3846" max="3846" width="20.85546875" style="63" customWidth="1"/>
    <col min="3847" max="3847" width="10.7109375" style="63" customWidth="1"/>
    <col min="3848" max="3849" width="15.7109375" style="63" customWidth="1"/>
    <col min="3850" max="3850" width="1.7109375" style="63" customWidth="1"/>
    <col min="3851" max="3851" width="20.7109375" style="63" customWidth="1"/>
    <col min="3852" max="3852" width="10.7109375" style="63" customWidth="1"/>
    <col min="3853" max="3854" width="15.7109375" style="63" customWidth="1"/>
    <col min="3855" max="3855" width="2.140625" style="63" customWidth="1"/>
    <col min="3856" max="3856" width="25.7109375" style="63" customWidth="1"/>
    <col min="3857" max="3857" width="10.7109375" style="63" customWidth="1"/>
    <col min="3858" max="3859" width="15.7109375" style="63" customWidth="1"/>
    <col min="3860" max="3861" width="9.140625" style="63"/>
    <col min="3862" max="3862" width="11.28515625" style="63" customWidth="1"/>
    <col min="3863" max="4096" width="9.140625" style="63"/>
    <col min="4097" max="4097" width="25.7109375" style="63" customWidth="1"/>
    <col min="4098" max="4098" width="10.7109375" style="63" customWidth="1"/>
    <col min="4099" max="4100" width="15.7109375" style="63" customWidth="1"/>
    <col min="4101" max="4101" width="1.7109375" style="63" customWidth="1"/>
    <col min="4102" max="4102" width="20.85546875" style="63" customWidth="1"/>
    <col min="4103" max="4103" width="10.7109375" style="63" customWidth="1"/>
    <col min="4104" max="4105" width="15.7109375" style="63" customWidth="1"/>
    <col min="4106" max="4106" width="1.7109375" style="63" customWidth="1"/>
    <col min="4107" max="4107" width="20.7109375" style="63" customWidth="1"/>
    <col min="4108" max="4108" width="10.7109375" style="63" customWidth="1"/>
    <col min="4109" max="4110" width="15.7109375" style="63" customWidth="1"/>
    <col min="4111" max="4111" width="2.140625" style="63" customWidth="1"/>
    <col min="4112" max="4112" width="25.7109375" style="63" customWidth="1"/>
    <col min="4113" max="4113" width="10.7109375" style="63" customWidth="1"/>
    <col min="4114" max="4115" width="15.7109375" style="63" customWidth="1"/>
    <col min="4116" max="4117" width="9.140625" style="63"/>
    <col min="4118" max="4118" width="11.28515625" style="63" customWidth="1"/>
    <col min="4119" max="4352" width="9.140625" style="63"/>
    <col min="4353" max="4353" width="25.7109375" style="63" customWidth="1"/>
    <col min="4354" max="4354" width="10.7109375" style="63" customWidth="1"/>
    <col min="4355" max="4356" width="15.7109375" style="63" customWidth="1"/>
    <col min="4357" max="4357" width="1.7109375" style="63" customWidth="1"/>
    <col min="4358" max="4358" width="20.85546875" style="63" customWidth="1"/>
    <col min="4359" max="4359" width="10.7109375" style="63" customWidth="1"/>
    <col min="4360" max="4361" width="15.7109375" style="63" customWidth="1"/>
    <col min="4362" max="4362" width="1.7109375" style="63" customWidth="1"/>
    <col min="4363" max="4363" width="20.7109375" style="63" customWidth="1"/>
    <col min="4364" max="4364" width="10.7109375" style="63" customWidth="1"/>
    <col min="4365" max="4366" width="15.7109375" style="63" customWidth="1"/>
    <col min="4367" max="4367" width="2.140625" style="63" customWidth="1"/>
    <col min="4368" max="4368" width="25.7109375" style="63" customWidth="1"/>
    <col min="4369" max="4369" width="10.7109375" style="63" customWidth="1"/>
    <col min="4370" max="4371" width="15.7109375" style="63" customWidth="1"/>
    <col min="4372" max="4373" width="9.140625" style="63"/>
    <col min="4374" max="4374" width="11.28515625" style="63" customWidth="1"/>
    <col min="4375" max="4608" width="9.140625" style="63"/>
    <col min="4609" max="4609" width="25.7109375" style="63" customWidth="1"/>
    <col min="4610" max="4610" width="10.7109375" style="63" customWidth="1"/>
    <col min="4611" max="4612" width="15.7109375" style="63" customWidth="1"/>
    <col min="4613" max="4613" width="1.7109375" style="63" customWidth="1"/>
    <col min="4614" max="4614" width="20.85546875" style="63" customWidth="1"/>
    <col min="4615" max="4615" width="10.7109375" style="63" customWidth="1"/>
    <col min="4616" max="4617" width="15.7109375" style="63" customWidth="1"/>
    <col min="4618" max="4618" width="1.7109375" style="63" customWidth="1"/>
    <col min="4619" max="4619" width="20.7109375" style="63" customWidth="1"/>
    <col min="4620" max="4620" width="10.7109375" style="63" customWidth="1"/>
    <col min="4621" max="4622" width="15.7109375" style="63" customWidth="1"/>
    <col min="4623" max="4623" width="2.140625" style="63" customWidth="1"/>
    <col min="4624" max="4624" width="25.7109375" style="63" customWidth="1"/>
    <col min="4625" max="4625" width="10.7109375" style="63" customWidth="1"/>
    <col min="4626" max="4627" width="15.7109375" style="63" customWidth="1"/>
    <col min="4628" max="4629" width="9.140625" style="63"/>
    <col min="4630" max="4630" width="11.28515625" style="63" customWidth="1"/>
    <col min="4631" max="4864" width="9.140625" style="63"/>
    <col min="4865" max="4865" width="25.7109375" style="63" customWidth="1"/>
    <col min="4866" max="4866" width="10.7109375" style="63" customWidth="1"/>
    <col min="4867" max="4868" width="15.7109375" style="63" customWidth="1"/>
    <col min="4869" max="4869" width="1.7109375" style="63" customWidth="1"/>
    <col min="4870" max="4870" width="20.85546875" style="63" customWidth="1"/>
    <col min="4871" max="4871" width="10.7109375" style="63" customWidth="1"/>
    <col min="4872" max="4873" width="15.7109375" style="63" customWidth="1"/>
    <col min="4874" max="4874" width="1.7109375" style="63" customWidth="1"/>
    <col min="4875" max="4875" width="20.7109375" style="63" customWidth="1"/>
    <col min="4876" max="4876" width="10.7109375" style="63" customWidth="1"/>
    <col min="4877" max="4878" width="15.7109375" style="63" customWidth="1"/>
    <col min="4879" max="4879" width="2.140625" style="63" customWidth="1"/>
    <col min="4880" max="4880" width="25.7109375" style="63" customWidth="1"/>
    <col min="4881" max="4881" width="10.7109375" style="63" customWidth="1"/>
    <col min="4882" max="4883" width="15.7109375" style="63" customWidth="1"/>
    <col min="4884" max="4885" width="9.140625" style="63"/>
    <col min="4886" max="4886" width="11.28515625" style="63" customWidth="1"/>
    <col min="4887" max="5120" width="9.140625" style="63"/>
    <col min="5121" max="5121" width="25.7109375" style="63" customWidth="1"/>
    <col min="5122" max="5122" width="10.7109375" style="63" customWidth="1"/>
    <col min="5123" max="5124" width="15.7109375" style="63" customWidth="1"/>
    <col min="5125" max="5125" width="1.7109375" style="63" customWidth="1"/>
    <col min="5126" max="5126" width="20.85546875" style="63" customWidth="1"/>
    <col min="5127" max="5127" width="10.7109375" style="63" customWidth="1"/>
    <col min="5128" max="5129" width="15.7109375" style="63" customWidth="1"/>
    <col min="5130" max="5130" width="1.7109375" style="63" customWidth="1"/>
    <col min="5131" max="5131" width="20.7109375" style="63" customWidth="1"/>
    <col min="5132" max="5132" width="10.7109375" style="63" customWidth="1"/>
    <col min="5133" max="5134" width="15.7109375" style="63" customWidth="1"/>
    <col min="5135" max="5135" width="2.140625" style="63" customWidth="1"/>
    <col min="5136" max="5136" width="25.7109375" style="63" customWidth="1"/>
    <col min="5137" max="5137" width="10.7109375" style="63" customWidth="1"/>
    <col min="5138" max="5139" width="15.7109375" style="63" customWidth="1"/>
    <col min="5140" max="5141" width="9.140625" style="63"/>
    <col min="5142" max="5142" width="11.28515625" style="63" customWidth="1"/>
    <col min="5143" max="5376" width="9.140625" style="63"/>
    <col min="5377" max="5377" width="25.7109375" style="63" customWidth="1"/>
    <col min="5378" max="5378" width="10.7109375" style="63" customWidth="1"/>
    <col min="5379" max="5380" width="15.7109375" style="63" customWidth="1"/>
    <col min="5381" max="5381" width="1.7109375" style="63" customWidth="1"/>
    <col min="5382" max="5382" width="20.85546875" style="63" customWidth="1"/>
    <col min="5383" max="5383" width="10.7109375" style="63" customWidth="1"/>
    <col min="5384" max="5385" width="15.7109375" style="63" customWidth="1"/>
    <col min="5386" max="5386" width="1.7109375" style="63" customWidth="1"/>
    <col min="5387" max="5387" width="20.7109375" style="63" customWidth="1"/>
    <col min="5388" max="5388" width="10.7109375" style="63" customWidth="1"/>
    <col min="5389" max="5390" width="15.7109375" style="63" customWidth="1"/>
    <col min="5391" max="5391" width="2.140625" style="63" customWidth="1"/>
    <col min="5392" max="5392" width="25.7109375" style="63" customWidth="1"/>
    <col min="5393" max="5393" width="10.7109375" style="63" customWidth="1"/>
    <col min="5394" max="5395" width="15.7109375" style="63" customWidth="1"/>
    <col min="5396" max="5397" width="9.140625" style="63"/>
    <col min="5398" max="5398" width="11.28515625" style="63" customWidth="1"/>
    <col min="5399" max="5632" width="9.140625" style="63"/>
    <col min="5633" max="5633" width="25.7109375" style="63" customWidth="1"/>
    <col min="5634" max="5634" width="10.7109375" style="63" customWidth="1"/>
    <col min="5635" max="5636" width="15.7109375" style="63" customWidth="1"/>
    <col min="5637" max="5637" width="1.7109375" style="63" customWidth="1"/>
    <col min="5638" max="5638" width="20.85546875" style="63" customWidth="1"/>
    <col min="5639" max="5639" width="10.7109375" style="63" customWidth="1"/>
    <col min="5640" max="5641" width="15.7109375" style="63" customWidth="1"/>
    <col min="5642" max="5642" width="1.7109375" style="63" customWidth="1"/>
    <col min="5643" max="5643" width="20.7109375" style="63" customWidth="1"/>
    <col min="5644" max="5644" width="10.7109375" style="63" customWidth="1"/>
    <col min="5645" max="5646" width="15.7109375" style="63" customWidth="1"/>
    <col min="5647" max="5647" width="2.140625" style="63" customWidth="1"/>
    <col min="5648" max="5648" width="25.7109375" style="63" customWidth="1"/>
    <col min="5649" max="5649" width="10.7109375" style="63" customWidth="1"/>
    <col min="5650" max="5651" width="15.7109375" style="63" customWidth="1"/>
    <col min="5652" max="5653" width="9.140625" style="63"/>
    <col min="5654" max="5654" width="11.28515625" style="63" customWidth="1"/>
    <col min="5655" max="5888" width="9.140625" style="63"/>
    <col min="5889" max="5889" width="25.7109375" style="63" customWidth="1"/>
    <col min="5890" max="5890" width="10.7109375" style="63" customWidth="1"/>
    <col min="5891" max="5892" width="15.7109375" style="63" customWidth="1"/>
    <col min="5893" max="5893" width="1.7109375" style="63" customWidth="1"/>
    <col min="5894" max="5894" width="20.85546875" style="63" customWidth="1"/>
    <col min="5895" max="5895" width="10.7109375" style="63" customWidth="1"/>
    <col min="5896" max="5897" width="15.7109375" style="63" customWidth="1"/>
    <col min="5898" max="5898" width="1.7109375" style="63" customWidth="1"/>
    <col min="5899" max="5899" width="20.7109375" style="63" customWidth="1"/>
    <col min="5900" max="5900" width="10.7109375" style="63" customWidth="1"/>
    <col min="5901" max="5902" width="15.7109375" style="63" customWidth="1"/>
    <col min="5903" max="5903" width="2.140625" style="63" customWidth="1"/>
    <col min="5904" max="5904" width="25.7109375" style="63" customWidth="1"/>
    <col min="5905" max="5905" width="10.7109375" style="63" customWidth="1"/>
    <col min="5906" max="5907" width="15.7109375" style="63" customWidth="1"/>
    <col min="5908" max="5909" width="9.140625" style="63"/>
    <col min="5910" max="5910" width="11.28515625" style="63" customWidth="1"/>
    <col min="5911" max="6144" width="9.140625" style="63"/>
    <col min="6145" max="6145" width="25.7109375" style="63" customWidth="1"/>
    <col min="6146" max="6146" width="10.7109375" style="63" customWidth="1"/>
    <col min="6147" max="6148" width="15.7109375" style="63" customWidth="1"/>
    <col min="6149" max="6149" width="1.7109375" style="63" customWidth="1"/>
    <col min="6150" max="6150" width="20.85546875" style="63" customWidth="1"/>
    <col min="6151" max="6151" width="10.7109375" style="63" customWidth="1"/>
    <col min="6152" max="6153" width="15.7109375" style="63" customWidth="1"/>
    <col min="6154" max="6154" width="1.7109375" style="63" customWidth="1"/>
    <col min="6155" max="6155" width="20.7109375" style="63" customWidth="1"/>
    <col min="6156" max="6156" width="10.7109375" style="63" customWidth="1"/>
    <col min="6157" max="6158" width="15.7109375" style="63" customWidth="1"/>
    <col min="6159" max="6159" width="2.140625" style="63" customWidth="1"/>
    <col min="6160" max="6160" width="25.7109375" style="63" customWidth="1"/>
    <col min="6161" max="6161" width="10.7109375" style="63" customWidth="1"/>
    <col min="6162" max="6163" width="15.7109375" style="63" customWidth="1"/>
    <col min="6164" max="6165" width="9.140625" style="63"/>
    <col min="6166" max="6166" width="11.28515625" style="63" customWidth="1"/>
    <col min="6167" max="6400" width="9.140625" style="63"/>
    <col min="6401" max="6401" width="25.7109375" style="63" customWidth="1"/>
    <col min="6402" max="6402" width="10.7109375" style="63" customWidth="1"/>
    <col min="6403" max="6404" width="15.7109375" style="63" customWidth="1"/>
    <col min="6405" max="6405" width="1.7109375" style="63" customWidth="1"/>
    <col min="6406" max="6406" width="20.85546875" style="63" customWidth="1"/>
    <col min="6407" max="6407" width="10.7109375" style="63" customWidth="1"/>
    <col min="6408" max="6409" width="15.7109375" style="63" customWidth="1"/>
    <col min="6410" max="6410" width="1.7109375" style="63" customWidth="1"/>
    <col min="6411" max="6411" width="20.7109375" style="63" customWidth="1"/>
    <col min="6412" max="6412" width="10.7109375" style="63" customWidth="1"/>
    <col min="6413" max="6414" width="15.7109375" style="63" customWidth="1"/>
    <col min="6415" max="6415" width="2.140625" style="63" customWidth="1"/>
    <col min="6416" max="6416" width="25.7109375" style="63" customWidth="1"/>
    <col min="6417" max="6417" width="10.7109375" style="63" customWidth="1"/>
    <col min="6418" max="6419" width="15.7109375" style="63" customWidth="1"/>
    <col min="6420" max="6421" width="9.140625" style="63"/>
    <col min="6422" max="6422" width="11.28515625" style="63" customWidth="1"/>
    <col min="6423" max="6656" width="9.140625" style="63"/>
    <col min="6657" max="6657" width="25.7109375" style="63" customWidth="1"/>
    <col min="6658" max="6658" width="10.7109375" style="63" customWidth="1"/>
    <col min="6659" max="6660" width="15.7109375" style="63" customWidth="1"/>
    <col min="6661" max="6661" width="1.7109375" style="63" customWidth="1"/>
    <col min="6662" max="6662" width="20.85546875" style="63" customWidth="1"/>
    <col min="6663" max="6663" width="10.7109375" style="63" customWidth="1"/>
    <col min="6664" max="6665" width="15.7109375" style="63" customWidth="1"/>
    <col min="6666" max="6666" width="1.7109375" style="63" customWidth="1"/>
    <col min="6667" max="6667" width="20.7109375" style="63" customWidth="1"/>
    <col min="6668" max="6668" width="10.7109375" style="63" customWidth="1"/>
    <col min="6669" max="6670" width="15.7109375" style="63" customWidth="1"/>
    <col min="6671" max="6671" width="2.140625" style="63" customWidth="1"/>
    <col min="6672" max="6672" width="25.7109375" style="63" customWidth="1"/>
    <col min="6673" max="6673" width="10.7109375" style="63" customWidth="1"/>
    <col min="6674" max="6675" width="15.7109375" style="63" customWidth="1"/>
    <col min="6676" max="6677" width="9.140625" style="63"/>
    <col min="6678" max="6678" width="11.28515625" style="63" customWidth="1"/>
    <col min="6679" max="6912" width="9.140625" style="63"/>
    <col min="6913" max="6913" width="25.7109375" style="63" customWidth="1"/>
    <col min="6914" max="6914" width="10.7109375" style="63" customWidth="1"/>
    <col min="6915" max="6916" width="15.7109375" style="63" customWidth="1"/>
    <col min="6917" max="6917" width="1.7109375" style="63" customWidth="1"/>
    <col min="6918" max="6918" width="20.85546875" style="63" customWidth="1"/>
    <col min="6919" max="6919" width="10.7109375" style="63" customWidth="1"/>
    <col min="6920" max="6921" width="15.7109375" style="63" customWidth="1"/>
    <col min="6922" max="6922" width="1.7109375" style="63" customWidth="1"/>
    <col min="6923" max="6923" width="20.7109375" style="63" customWidth="1"/>
    <col min="6924" max="6924" width="10.7109375" style="63" customWidth="1"/>
    <col min="6925" max="6926" width="15.7109375" style="63" customWidth="1"/>
    <col min="6927" max="6927" width="2.140625" style="63" customWidth="1"/>
    <col min="6928" max="6928" width="25.7109375" style="63" customWidth="1"/>
    <col min="6929" max="6929" width="10.7109375" style="63" customWidth="1"/>
    <col min="6930" max="6931" width="15.7109375" style="63" customWidth="1"/>
    <col min="6932" max="6933" width="9.140625" style="63"/>
    <col min="6934" max="6934" width="11.28515625" style="63" customWidth="1"/>
    <col min="6935" max="7168" width="9.140625" style="63"/>
    <col min="7169" max="7169" width="25.7109375" style="63" customWidth="1"/>
    <col min="7170" max="7170" width="10.7109375" style="63" customWidth="1"/>
    <col min="7171" max="7172" width="15.7109375" style="63" customWidth="1"/>
    <col min="7173" max="7173" width="1.7109375" style="63" customWidth="1"/>
    <col min="7174" max="7174" width="20.85546875" style="63" customWidth="1"/>
    <col min="7175" max="7175" width="10.7109375" style="63" customWidth="1"/>
    <col min="7176" max="7177" width="15.7109375" style="63" customWidth="1"/>
    <col min="7178" max="7178" width="1.7109375" style="63" customWidth="1"/>
    <col min="7179" max="7179" width="20.7109375" style="63" customWidth="1"/>
    <col min="7180" max="7180" width="10.7109375" style="63" customWidth="1"/>
    <col min="7181" max="7182" width="15.7109375" style="63" customWidth="1"/>
    <col min="7183" max="7183" width="2.140625" style="63" customWidth="1"/>
    <col min="7184" max="7184" width="25.7109375" style="63" customWidth="1"/>
    <col min="7185" max="7185" width="10.7109375" style="63" customWidth="1"/>
    <col min="7186" max="7187" width="15.7109375" style="63" customWidth="1"/>
    <col min="7188" max="7189" width="9.140625" style="63"/>
    <col min="7190" max="7190" width="11.28515625" style="63" customWidth="1"/>
    <col min="7191" max="7424" width="9.140625" style="63"/>
    <col min="7425" max="7425" width="25.7109375" style="63" customWidth="1"/>
    <col min="7426" max="7426" width="10.7109375" style="63" customWidth="1"/>
    <col min="7427" max="7428" width="15.7109375" style="63" customWidth="1"/>
    <col min="7429" max="7429" width="1.7109375" style="63" customWidth="1"/>
    <col min="7430" max="7430" width="20.85546875" style="63" customWidth="1"/>
    <col min="7431" max="7431" width="10.7109375" style="63" customWidth="1"/>
    <col min="7432" max="7433" width="15.7109375" style="63" customWidth="1"/>
    <col min="7434" max="7434" width="1.7109375" style="63" customWidth="1"/>
    <col min="7435" max="7435" width="20.7109375" style="63" customWidth="1"/>
    <col min="7436" max="7436" width="10.7109375" style="63" customWidth="1"/>
    <col min="7437" max="7438" width="15.7109375" style="63" customWidth="1"/>
    <col min="7439" max="7439" width="2.140625" style="63" customWidth="1"/>
    <col min="7440" max="7440" width="25.7109375" style="63" customWidth="1"/>
    <col min="7441" max="7441" width="10.7109375" style="63" customWidth="1"/>
    <col min="7442" max="7443" width="15.7109375" style="63" customWidth="1"/>
    <col min="7444" max="7445" width="9.140625" style="63"/>
    <col min="7446" max="7446" width="11.28515625" style="63" customWidth="1"/>
    <col min="7447" max="7680" width="9.140625" style="63"/>
    <col min="7681" max="7681" width="25.7109375" style="63" customWidth="1"/>
    <col min="7682" max="7682" width="10.7109375" style="63" customWidth="1"/>
    <col min="7683" max="7684" width="15.7109375" style="63" customWidth="1"/>
    <col min="7685" max="7685" width="1.7109375" style="63" customWidth="1"/>
    <col min="7686" max="7686" width="20.85546875" style="63" customWidth="1"/>
    <col min="7687" max="7687" width="10.7109375" style="63" customWidth="1"/>
    <col min="7688" max="7689" width="15.7109375" style="63" customWidth="1"/>
    <col min="7690" max="7690" width="1.7109375" style="63" customWidth="1"/>
    <col min="7691" max="7691" width="20.7109375" style="63" customWidth="1"/>
    <col min="7692" max="7692" width="10.7109375" style="63" customWidth="1"/>
    <col min="7693" max="7694" width="15.7109375" style="63" customWidth="1"/>
    <col min="7695" max="7695" width="2.140625" style="63" customWidth="1"/>
    <col min="7696" max="7696" width="25.7109375" style="63" customWidth="1"/>
    <col min="7697" max="7697" width="10.7109375" style="63" customWidth="1"/>
    <col min="7698" max="7699" width="15.7109375" style="63" customWidth="1"/>
    <col min="7700" max="7701" width="9.140625" style="63"/>
    <col min="7702" max="7702" width="11.28515625" style="63" customWidth="1"/>
    <col min="7703" max="7936" width="9.140625" style="63"/>
    <col min="7937" max="7937" width="25.7109375" style="63" customWidth="1"/>
    <col min="7938" max="7938" width="10.7109375" style="63" customWidth="1"/>
    <col min="7939" max="7940" width="15.7109375" style="63" customWidth="1"/>
    <col min="7941" max="7941" width="1.7109375" style="63" customWidth="1"/>
    <col min="7942" max="7942" width="20.85546875" style="63" customWidth="1"/>
    <col min="7943" max="7943" width="10.7109375" style="63" customWidth="1"/>
    <col min="7944" max="7945" width="15.7109375" style="63" customWidth="1"/>
    <col min="7946" max="7946" width="1.7109375" style="63" customWidth="1"/>
    <col min="7947" max="7947" width="20.7109375" style="63" customWidth="1"/>
    <col min="7948" max="7948" width="10.7109375" style="63" customWidth="1"/>
    <col min="7949" max="7950" width="15.7109375" style="63" customWidth="1"/>
    <col min="7951" max="7951" width="2.140625" style="63" customWidth="1"/>
    <col min="7952" max="7952" width="25.7109375" style="63" customWidth="1"/>
    <col min="7953" max="7953" width="10.7109375" style="63" customWidth="1"/>
    <col min="7954" max="7955" width="15.7109375" style="63" customWidth="1"/>
    <col min="7956" max="7957" width="9.140625" style="63"/>
    <col min="7958" max="7958" width="11.28515625" style="63" customWidth="1"/>
    <col min="7959" max="8192" width="9.140625" style="63"/>
    <col min="8193" max="8193" width="25.7109375" style="63" customWidth="1"/>
    <col min="8194" max="8194" width="10.7109375" style="63" customWidth="1"/>
    <col min="8195" max="8196" width="15.7109375" style="63" customWidth="1"/>
    <col min="8197" max="8197" width="1.7109375" style="63" customWidth="1"/>
    <col min="8198" max="8198" width="20.85546875" style="63" customWidth="1"/>
    <col min="8199" max="8199" width="10.7109375" style="63" customWidth="1"/>
    <col min="8200" max="8201" width="15.7109375" style="63" customWidth="1"/>
    <col min="8202" max="8202" width="1.7109375" style="63" customWidth="1"/>
    <col min="8203" max="8203" width="20.7109375" style="63" customWidth="1"/>
    <col min="8204" max="8204" width="10.7109375" style="63" customWidth="1"/>
    <col min="8205" max="8206" width="15.7109375" style="63" customWidth="1"/>
    <col min="8207" max="8207" width="2.140625" style="63" customWidth="1"/>
    <col min="8208" max="8208" width="25.7109375" style="63" customWidth="1"/>
    <col min="8209" max="8209" width="10.7109375" style="63" customWidth="1"/>
    <col min="8210" max="8211" width="15.7109375" style="63" customWidth="1"/>
    <col min="8212" max="8213" width="9.140625" style="63"/>
    <col min="8214" max="8214" width="11.28515625" style="63" customWidth="1"/>
    <col min="8215" max="8448" width="9.140625" style="63"/>
    <col min="8449" max="8449" width="25.7109375" style="63" customWidth="1"/>
    <col min="8450" max="8450" width="10.7109375" style="63" customWidth="1"/>
    <col min="8451" max="8452" width="15.7109375" style="63" customWidth="1"/>
    <col min="8453" max="8453" width="1.7109375" style="63" customWidth="1"/>
    <col min="8454" max="8454" width="20.85546875" style="63" customWidth="1"/>
    <col min="8455" max="8455" width="10.7109375" style="63" customWidth="1"/>
    <col min="8456" max="8457" width="15.7109375" style="63" customWidth="1"/>
    <col min="8458" max="8458" width="1.7109375" style="63" customWidth="1"/>
    <col min="8459" max="8459" width="20.7109375" style="63" customWidth="1"/>
    <col min="8460" max="8460" width="10.7109375" style="63" customWidth="1"/>
    <col min="8461" max="8462" width="15.7109375" style="63" customWidth="1"/>
    <col min="8463" max="8463" width="2.140625" style="63" customWidth="1"/>
    <col min="8464" max="8464" width="25.7109375" style="63" customWidth="1"/>
    <col min="8465" max="8465" width="10.7109375" style="63" customWidth="1"/>
    <col min="8466" max="8467" width="15.7109375" style="63" customWidth="1"/>
    <col min="8468" max="8469" width="9.140625" style="63"/>
    <col min="8470" max="8470" width="11.28515625" style="63" customWidth="1"/>
    <col min="8471" max="8704" width="9.140625" style="63"/>
    <col min="8705" max="8705" width="25.7109375" style="63" customWidth="1"/>
    <col min="8706" max="8706" width="10.7109375" style="63" customWidth="1"/>
    <col min="8707" max="8708" width="15.7109375" style="63" customWidth="1"/>
    <col min="8709" max="8709" width="1.7109375" style="63" customWidth="1"/>
    <col min="8710" max="8710" width="20.85546875" style="63" customWidth="1"/>
    <col min="8711" max="8711" width="10.7109375" style="63" customWidth="1"/>
    <col min="8712" max="8713" width="15.7109375" style="63" customWidth="1"/>
    <col min="8714" max="8714" width="1.7109375" style="63" customWidth="1"/>
    <col min="8715" max="8715" width="20.7109375" style="63" customWidth="1"/>
    <col min="8716" max="8716" width="10.7109375" style="63" customWidth="1"/>
    <col min="8717" max="8718" width="15.7109375" style="63" customWidth="1"/>
    <col min="8719" max="8719" width="2.140625" style="63" customWidth="1"/>
    <col min="8720" max="8720" width="25.7109375" style="63" customWidth="1"/>
    <col min="8721" max="8721" width="10.7109375" style="63" customWidth="1"/>
    <col min="8722" max="8723" width="15.7109375" style="63" customWidth="1"/>
    <col min="8724" max="8725" width="9.140625" style="63"/>
    <col min="8726" max="8726" width="11.28515625" style="63" customWidth="1"/>
    <col min="8727" max="8960" width="9.140625" style="63"/>
    <col min="8961" max="8961" width="25.7109375" style="63" customWidth="1"/>
    <col min="8962" max="8962" width="10.7109375" style="63" customWidth="1"/>
    <col min="8963" max="8964" width="15.7109375" style="63" customWidth="1"/>
    <col min="8965" max="8965" width="1.7109375" style="63" customWidth="1"/>
    <col min="8966" max="8966" width="20.85546875" style="63" customWidth="1"/>
    <col min="8967" max="8967" width="10.7109375" style="63" customWidth="1"/>
    <col min="8968" max="8969" width="15.7109375" style="63" customWidth="1"/>
    <col min="8970" max="8970" width="1.7109375" style="63" customWidth="1"/>
    <col min="8971" max="8971" width="20.7109375" style="63" customWidth="1"/>
    <col min="8972" max="8972" width="10.7109375" style="63" customWidth="1"/>
    <col min="8973" max="8974" width="15.7109375" style="63" customWidth="1"/>
    <col min="8975" max="8975" width="2.140625" style="63" customWidth="1"/>
    <col min="8976" max="8976" width="25.7109375" style="63" customWidth="1"/>
    <col min="8977" max="8977" width="10.7109375" style="63" customWidth="1"/>
    <col min="8978" max="8979" width="15.7109375" style="63" customWidth="1"/>
    <col min="8980" max="8981" width="9.140625" style="63"/>
    <col min="8982" max="8982" width="11.28515625" style="63" customWidth="1"/>
    <col min="8983" max="9216" width="9.140625" style="63"/>
    <col min="9217" max="9217" width="25.7109375" style="63" customWidth="1"/>
    <col min="9218" max="9218" width="10.7109375" style="63" customWidth="1"/>
    <col min="9219" max="9220" width="15.7109375" style="63" customWidth="1"/>
    <col min="9221" max="9221" width="1.7109375" style="63" customWidth="1"/>
    <col min="9222" max="9222" width="20.85546875" style="63" customWidth="1"/>
    <col min="9223" max="9223" width="10.7109375" style="63" customWidth="1"/>
    <col min="9224" max="9225" width="15.7109375" style="63" customWidth="1"/>
    <col min="9226" max="9226" width="1.7109375" style="63" customWidth="1"/>
    <col min="9227" max="9227" width="20.7109375" style="63" customWidth="1"/>
    <col min="9228" max="9228" width="10.7109375" style="63" customWidth="1"/>
    <col min="9229" max="9230" width="15.7109375" style="63" customWidth="1"/>
    <col min="9231" max="9231" width="2.140625" style="63" customWidth="1"/>
    <col min="9232" max="9232" width="25.7109375" style="63" customWidth="1"/>
    <col min="9233" max="9233" width="10.7109375" style="63" customWidth="1"/>
    <col min="9234" max="9235" width="15.7109375" style="63" customWidth="1"/>
    <col min="9236" max="9237" width="9.140625" style="63"/>
    <col min="9238" max="9238" width="11.28515625" style="63" customWidth="1"/>
    <col min="9239" max="9472" width="9.140625" style="63"/>
    <col min="9473" max="9473" width="25.7109375" style="63" customWidth="1"/>
    <col min="9474" max="9474" width="10.7109375" style="63" customWidth="1"/>
    <col min="9475" max="9476" width="15.7109375" style="63" customWidth="1"/>
    <col min="9477" max="9477" width="1.7109375" style="63" customWidth="1"/>
    <col min="9478" max="9478" width="20.85546875" style="63" customWidth="1"/>
    <col min="9479" max="9479" width="10.7109375" style="63" customWidth="1"/>
    <col min="9480" max="9481" width="15.7109375" style="63" customWidth="1"/>
    <col min="9482" max="9482" width="1.7109375" style="63" customWidth="1"/>
    <col min="9483" max="9483" width="20.7109375" style="63" customWidth="1"/>
    <col min="9484" max="9484" width="10.7109375" style="63" customWidth="1"/>
    <col min="9485" max="9486" width="15.7109375" style="63" customWidth="1"/>
    <col min="9487" max="9487" width="2.140625" style="63" customWidth="1"/>
    <col min="9488" max="9488" width="25.7109375" style="63" customWidth="1"/>
    <col min="9489" max="9489" width="10.7109375" style="63" customWidth="1"/>
    <col min="9490" max="9491" width="15.7109375" style="63" customWidth="1"/>
    <col min="9492" max="9493" width="9.140625" style="63"/>
    <col min="9494" max="9494" width="11.28515625" style="63" customWidth="1"/>
    <col min="9495" max="9728" width="9.140625" style="63"/>
    <col min="9729" max="9729" width="25.7109375" style="63" customWidth="1"/>
    <col min="9730" max="9730" width="10.7109375" style="63" customWidth="1"/>
    <col min="9731" max="9732" width="15.7109375" style="63" customWidth="1"/>
    <col min="9733" max="9733" width="1.7109375" style="63" customWidth="1"/>
    <col min="9734" max="9734" width="20.85546875" style="63" customWidth="1"/>
    <col min="9735" max="9735" width="10.7109375" style="63" customWidth="1"/>
    <col min="9736" max="9737" width="15.7109375" style="63" customWidth="1"/>
    <col min="9738" max="9738" width="1.7109375" style="63" customWidth="1"/>
    <col min="9739" max="9739" width="20.7109375" style="63" customWidth="1"/>
    <col min="9740" max="9740" width="10.7109375" style="63" customWidth="1"/>
    <col min="9741" max="9742" width="15.7109375" style="63" customWidth="1"/>
    <col min="9743" max="9743" width="2.140625" style="63" customWidth="1"/>
    <col min="9744" max="9744" width="25.7109375" style="63" customWidth="1"/>
    <col min="9745" max="9745" width="10.7109375" style="63" customWidth="1"/>
    <col min="9746" max="9747" width="15.7109375" style="63" customWidth="1"/>
    <col min="9748" max="9749" width="9.140625" style="63"/>
    <col min="9750" max="9750" width="11.28515625" style="63" customWidth="1"/>
    <col min="9751" max="9984" width="9.140625" style="63"/>
    <col min="9985" max="9985" width="25.7109375" style="63" customWidth="1"/>
    <col min="9986" max="9986" width="10.7109375" style="63" customWidth="1"/>
    <col min="9987" max="9988" width="15.7109375" style="63" customWidth="1"/>
    <col min="9989" max="9989" width="1.7109375" style="63" customWidth="1"/>
    <col min="9990" max="9990" width="20.85546875" style="63" customWidth="1"/>
    <col min="9991" max="9991" width="10.7109375" style="63" customWidth="1"/>
    <col min="9992" max="9993" width="15.7109375" style="63" customWidth="1"/>
    <col min="9994" max="9994" width="1.7109375" style="63" customWidth="1"/>
    <col min="9995" max="9995" width="20.7109375" style="63" customWidth="1"/>
    <col min="9996" max="9996" width="10.7109375" style="63" customWidth="1"/>
    <col min="9997" max="9998" width="15.7109375" style="63" customWidth="1"/>
    <col min="9999" max="9999" width="2.140625" style="63" customWidth="1"/>
    <col min="10000" max="10000" width="25.7109375" style="63" customWidth="1"/>
    <col min="10001" max="10001" width="10.7109375" style="63" customWidth="1"/>
    <col min="10002" max="10003" width="15.7109375" style="63" customWidth="1"/>
    <col min="10004" max="10005" width="9.140625" style="63"/>
    <col min="10006" max="10006" width="11.28515625" style="63" customWidth="1"/>
    <col min="10007" max="10240" width="9.140625" style="63"/>
    <col min="10241" max="10241" width="25.7109375" style="63" customWidth="1"/>
    <col min="10242" max="10242" width="10.7109375" style="63" customWidth="1"/>
    <col min="10243" max="10244" width="15.7109375" style="63" customWidth="1"/>
    <col min="10245" max="10245" width="1.7109375" style="63" customWidth="1"/>
    <col min="10246" max="10246" width="20.85546875" style="63" customWidth="1"/>
    <col min="10247" max="10247" width="10.7109375" style="63" customWidth="1"/>
    <col min="10248" max="10249" width="15.7109375" style="63" customWidth="1"/>
    <col min="10250" max="10250" width="1.7109375" style="63" customWidth="1"/>
    <col min="10251" max="10251" width="20.7109375" style="63" customWidth="1"/>
    <col min="10252" max="10252" width="10.7109375" style="63" customWidth="1"/>
    <col min="10253" max="10254" width="15.7109375" style="63" customWidth="1"/>
    <col min="10255" max="10255" width="2.140625" style="63" customWidth="1"/>
    <col min="10256" max="10256" width="25.7109375" style="63" customWidth="1"/>
    <col min="10257" max="10257" width="10.7109375" style="63" customWidth="1"/>
    <col min="10258" max="10259" width="15.7109375" style="63" customWidth="1"/>
    <col min="10260" max="10261" width="9.140625" style="63"/>
    <col min="10262" max="10262" width="11.28515625" style="63" customWidth="1"/>
    <col min="10263" max="10496" width="9.140625" style="63"/>
    <col min="10497" max="10497" width="25.7109375" style="63" customWidth="1"/>
    <col min="10498" max="10498" width="10.7109375" style="63" customWidth="1"/>
    <col min="10499" max="10500" width="15.7109375" style="63" customWidth="1"/>
    <col min="10501" max="10501" width="1.7109375" style="63" customWidth="1"/>
    <col min="10502" max="10502" width="20.85546875" style="63" customWidth="1"/>
    <col min="10503" max="10503" width="10.7109375" style="63" customWidth="1"/>
    <col min="10504" max="10505" width="15.7109375" style="63" customWidth="1"/>
    <col min="10506" max="10506" width="1.7109375" style="63" customWidth="1"/>
    <col min="10507" max="10507" width="20.7109375" style="63" customWidth="1"/>
    <col min="10508" max="10508" width="10.7109375" style="63" customWidth="1"/>
    <col min="10509" max="10510" width="15.7109375" style="63" customWidth="1"/>
    <col min="10511" max="10511" width="2.140625" style="63" customWidth="1"/>
    <col min="10512" max="10512" width="25.7109375" style="63" customWidth="1"/>
    <col min="10513" max="10513" width="10.7109375" style="63" customWidth="1"/>
    <col min="10514" max="10515" width="15.7109375" style="63" customWidth="1"/>
    <col min="10516" max="10517" width="9.140625" style="63"/>
    <col min="10518" max="10518" width="11.28515625" style="63" customWidth="1"/>
    <col min="10519" max="10752" width="9.140625" style="63"/>
    <col min="10753" max="10753" width="25.7109375" style="63" customWidth="1"/>
    <col min="10754" max="10754" width="10.7109375" style="63" customWidth="1"/>
    <col min="10755" max="10756" width="15.7109375" style="63" customWidth="1"/>
    <col min="10757" max="10757" width="1.7109375" style="63" customWidth="1"/>
    <col min="10758" max="10758" width="20.85546875" style="63" customWidth="1"/>
    <col min="10759" max="10759" width="10.7109375" style="63" customWidth="1"/>
    <col min="10760" max="10761" width="15.7109375" style="63" customWidth="1"/>
    <col min="10762" max="10762" width="1.7109375" style="63" customWidth="1"/>
    <col min="10763" max="10763" width="20.7109375" style="63" customWidth="1"/>
    <col min="10764" max="10764" width="10.7109375" style="63" customWidth="1"/>
    <col min="10765" max="10766" width="15.7109375" style="63" customWidth="1"/>
    <col min="10767" max="10767" width="2.140625" style="63" customWidth="1"/>
    <col min="10768" max="10768" width="25.7109375" style="63" customWidth="1"/>
    <col min="10769" max="10769" width="10.7109375" style="63" customWidth="1"/>
    <col min="10770" max="10771" width="15.7109375" style="63" customWidth="1"/>
    <col min="10772" max="10773" width="9.140625" style="63"/>
    <col min="10774" max="10774" width="11.28515625" style="63" customWidth="1"/>
    <col min="10775" max="11008" width="9.140625" style="63"/>
    <col min="11009" max="11009" width="25.7109375" style="63" customWidth="1"/>
    <col min="11010" max="11010" width="10.7109375" style="63" customWidth="1"/>
    <col min="11011" max="11012" width="15.7109375" style="63" customWidth="1"/>
    <col min="11013" max="11013" width="1.7109375" style="63" customWidth="1"/>
    <col min="11014" max="11014" width="20.85546875" style="63" customWidth="1"/>
    <col min="11015" max="11015" width="10.7109375" style="63" customWidth="1"/>
    <col min="11016" max="11017" width="15.7109375" style="63" customWidth="1"/>
    <col min="11018" max="11018" width="1.7109375" style="63" customWidth="1"/>
    <col min="11019" max="11019" width="20.7109375" style="63" customWidth="1"/>
    <col min="11020" max="11020" width="10.7109375" style="63" customWidth="1"/>
    <col min="11021" max="11022" width="15.7109375" style="63" customWidth="1"/>
    <col min="11023" max="11023" width="2.140625" style="63" customWidth="1"/>
    <col min="11024" max="11024" width="25.7109375" style="63" customWidth="1"/>
    <col min="11025" max="11025" width="10.7109375" style="63" customWidth="1"/>
    <col min="11026" max="11027" width="15.7109375" style="63" customWidth="1"/>
    <col min="11028" max="11029" width="9.140625" style="63"/>
    <col min="11030" max="11030" width="11.28515625" style="63" customWidth="1"/>
    <col min="11031" max="11264" width="9.140625" style="63"/>
    <col min="11265" max="11265" width="25.7109375" style="63" customWidth="1"/>
    <col min="11266" max="11266" width="10.7109375" style="63" customWidth="1"/>
    <col min="11267" max="11268" width="15.7109375" style="63" customWidth="1"/>
    <col min="11269" max="11269" width="1.7109375" style="63" customWidth="1"/>
    <col min="11270" max="11270" width="20.85546875" style="63" customWidth="1"/>
    <col min="11271" max="11271" width="10.7109375" style="63" customWidth="1"/>
    <col min="11272" max="11273" width="15.7109375" style="63" customWidth="1"/>
    <col min="11274" max="11274" width="1.7109375" style="63" customWidth="1"/>
    <col min="11275" max="11275" width="20.7109375" style="63" customWidth="1"/>
    <col min="11276" max="11276" width="10.7109375" style="63" customWidth="1"/>
    <col min="11277" max="11278" width="15.7109375" style="63" customWidth="1"/>
    <col min="11279" max="11279" width="2.140625" style="63" customWidth="1"/>
    <col min="11280" max="11280" width="25.7109375" style="63" customWidth="1"/>
    <col min="11281" max="11281" width="10.7109375" style="63" customWidth="1"/>
    <col min="11282" max="11283" width="15.7109375" style="63" customWidth="1"/>
    <col min="11284" max="11285" width="9.140625" style="63"/>
    <col min="11286" max="11286" width="11.28515625" style="63" customWidth="1"/>
    <col min="11287" max="11520" width="9.140625" style="63"/>
    <col min="11521" max="11521" width="25.7109375" style="63" customWidth="1"/>
    <col min="11522" max="11522" width="10.7109375" style="63" customWidth="1"/>
    <col min="11523" max="11524" width="15.7109375" style="63" customWidth="1"/>
    <col min="11525" max="11525" width="1.7109375" style="63" customWidth="1"/>
    <col min="11526" max="11526" width="20.85546875" style="63" customWidth="1"/>
    <col min="11527" max="11527" width="10.7109375" style="63" customWidth="1"/>
    <col min="11528" max="11529" width="15.7109375" style="63" customWidth="1"/>
    <col min="11530" max="11530" width="1.7109375" style="63" customWidth="1"/>
    <col min="11531" max="11531" width="20.7109375" style="63" customWidth="1"/>
    <col min="11532" max="11532" width="10.7109375" style="63" customWidth="1"/>
    <col min="11533" max="11534" width="15.7109375" style="63" customWidth="1"/>
    <col min="11535" max="11535" width="2.140625" style="63" customWidth="1"/>
    <col min="11536" max="11536" width="25.7109375" style="63" customWidth="1"/>
    <col min="11537" max="11537" width="10.7109375" style="63" customWidth="1"/>
    <col min="11538" max="11539" width="15.7109375" style="63" customWidth="1"/>
    <col min="11540" max="11541" width="9.140625" style="63"/>
    <col min="11542" max="11542" width="11.28515625" style="63" customWidth="1"/>
    <col min="11543" max="11776" width="9.140625" style="63"/>
    <col min="11777" max="11777" width="25.7109375" style="63" customWidth="1"/>
    <col min="11778" max="11778" width="10.7109375" style="63" customWidth="1"/>
    <col min="11779" max="11780" width="15.7109375" style="63" customWidth="1"/>
    <col min="11781" max="11781" width="1.7109375" style="63" customWidth="1"/>
    <col min="11782" max="11782" width="20.85546875" style="63" customWidth="1"/>
    <col min="11783" max="11783" width="10.7109375" style="63" customWidth="1"/>
    <col min="11784" max="11785" width="15.7109375" style="63" customWidth="1"/>
    <col min="11786" max="11786" width="1.7109375" style="63" customWidth="1"/>
    <col min="11787" max="11787" width="20.7109375" style="63" customWidth="1"/>
    <col min="11788" max="11788" width="10.7109375" style="63" customWidth="1"/>
    <col min="11789" max="11790" width="15.7109375" style="63" customWidth="1"/>
    <col min="11791" max="11791" width="2.140625" style="63" customWidth="1"/>
    <col min="11792" max="11792" width="25.7109375" style="63" customWidth="1"/>
    <col min="11793" max="11793" width="10.7109375" style="63" customWidth="1"/>
    <col min="11794" max="11795" width="15.7109375" style="63" customWidth="1"/>
    <col min="11796" max="11797" width="9.140625" style="63"/>
    <col min="11798" max="11798" width="11.28515625" style="63" customWidth="1"/>
    <col min="11799" max="12032" width="9.140625" style="63"/>
    <col min="12033" max="12033" width="25.7109375" style="63" customWidth="1"/>
    <col min="12034" max="12034" width="10.7109375" style="63" customWidth="1"/>
    <col min="12035" max="12036" width="15.7109375" style="63" customWidth="1"/>
    <col min="12037" max="12037" width="1.7109375" style="63" customWidth="1"/>
    <col min="12038" max="12038" width="20.85546875" style="63" customWidth="1"/>
    <col min="12039" max="12039" width="10.7109375" style="63" customWidth="1"/>
    <col min="12040" max="12041" width="15.7109375" style="63" customWidth="1"/>
    <col min="12042" max="12042" width="1.7109375" style="63" customWidth="1"/>
    <col min="12043" max="12043" width="20.7109375" style="63" customWidth="1"/>
    <col min="12044" max="12044" width="10.7109375" style="63" customWidth="1"/>
    <col min="12045" max="12046" width="15.7109375" style="63" customWidth="1"/>
    <col min="12047" max="12047" width="2.140625" style="63" customWidth="1"/>
    <col min="12048" max="12048" width="25.7109375" style="63" customWidth="1"/>
    <col min="12049" max="12049" width="10.7109375" style="63" customWidth="1"/>
    <col min="12050" max="12051" width="15.7109375" style="63" customWidth="1"/>
    <col min="12052" max="12053" width="9.140625" style="63"/>
    <col min="12054" max="12054" width="11.28515625" style="63" customWidth="1"/>
    <col min="12055" max="12288" width="9.140625" style="63"/>
    <col min="12289" max="12289" width="25.7109375" style="63" customWidth="1"/>
    <col min="12290" max="12290" width="10.7109375" style="63" customWidth="1"/>
    <col min="12291" max="12292" width="15.7109375" style="63" customWidth="1"/>
    <col min="12293" max="12293" width="1.7109375" style="63" customWidth="1"/>
    <col min="12294" max="12294" width="20.85546875" style="63" customWidth="1"/>
    <col min="12295" max="12295" width="10.7109375" style="63" customWidth="1"/>
    <col min="12296" max="12297" width="15.7109375" style="63" customWidth="1"/>
    <col min="12298" max="12298" width="1.7109375" style="63" customWidth="1"/>
    <col min="12299" max="12299" width="20.7109375" style="63" customWidth="1"/>
    <col min="12300" max="12300" width="10.7109375" style="63" customWidth="1"/>
    <col min="12301" max="12302" width="15.7109375" style="63" customWidth="1"/>
    <col min="12303" max="12303" width="2.140625" style="63" customWidth="1"/>
    <col min="12304" max="12304" width="25.7109375" style="63" customWidth="1"/>
    <col min="12305" max="12305" width="10.7109375" style="63" customWidth="1"/>
    <col min="12306" max="12307" width="15.7109375" style="63" customWidth="1"/>
    <col min="12308" max="12309" width="9.140625" style="63"/>
    <col min="12310" max="12310" width="11.28515625" style="63" customWidth="1"/>
    <col min="12311" max="12544" width="9.140625" style="63"/>
    <col min="12545" max="12545" width="25.7109375" style="63" customWidth="1"/>
    <col min="12546" max="12546" width="10.7109375" style="63" customWidth="1"/>
    <col min="12547" max="12548" width="15.7109375" style="63" customWidth="1"/>
    <col min="12549" max="12549" width="1.7109375" style="63" customWidth="1"/>
    <col min="12550" max="12550" width="20.85546875" style="63" customWidth="1"/>
    <col min="12551" max="12551" width="10.7109375" style="63" customWidth="1"/>
    <col min="12552" max="12553" width="15.7109375" style="63" customWidth="1"/>
    <col min="12554" max="12554" width="1.7109375" style="63" customWidth="1"/>
    <col min="12555" max="12555" width="20.7109375" style="63" customWidth="1"/>
    <col min="12556" max="12556" width="10.7109375" style="63" customWidth="1"/>
    <col min="12557" max="12558" width="15.7109375" style="63" customWidth="1"/>
    <col min="12559" max="12559" width="2.140625" style="63" customWidth="1"/>
    <col min="12560" max="12560" width="25.7109375" style="63" customWidth="1"/>
    <col min="12561" max="12561" width="10.7109375" style="63" customWidth="1"/>
    <col min="12562" max="12563" width="15.7109375" style="63" customWidth="1"/>
    <col min="12564" max="12565" width="9.140625" style="63"/>
    <col min="12566" max="12566" width="11.28515625" style="63" customWidth="1"/>
    <col min="12567" max="12800" width="9.140625" style="63"/>
    <col min="12801" max="12801" width="25.7109375" style="63" customWidth="1"/>
    <col min="12802" max="12802" width="10.7109375" style="63" customWidth="1"/>
    <col min="12803" max="12804" width="15.7109375" style="63" customWidth="1"/>
    <col min="12805" max="12805" width="1.7109375" style="63" customWidth="1"/>
    <col min="12806" max="12806" width="20.85546875" style="63" customWidth="1"/>
    <col min="12807" max="12807" width="10.7109375" style="63" customWidth="1"/>
    <col min="12808" max="12809" width="15.7109375" style="63" customWidth="1"/>
    <col min="12810" max="12810" width="1.7109375" style="63" customWidth="1"/>
    <col min="12811" max="12811" width="20.7109375" style="63" customWidth="1"/>
    <col min="12812" max="12812" width="10.7109375" style="63" customWidth="1"/>
    <col min="12813" max="12814" width="15.7109375" style="63" customWidth="1"/>
    <col min="12815" max="12815" width="2.140625" style="63" customWidth="1"/>
    <col min="12816" max="12816" width="25.7109375" style="63" customWidth="1"/>
    <col min="12817" max="12817" width="10.7109375" style="63" customWidth="1"/>
    <col min="12818" max="12819" width="15.7109375" style="63" customWidth="1"/>
    <col min="12820" max="12821" width="9.140625" style="63"/>
    <col min="12822" max="12822" width="11.28515625" style="63" customWidth="1"/>
    <col min="12823" max="13056" width="9.140625" style="63"/>
    <col min="13057" max="13057" width="25.7109375" style="63" customWidth="1"/>
    <col min="13058" max="13058" width="10.7109375" style="63" customWidth="1"/>
    <col min="13059" max="13060" width="15.7109375" style="63" customWidth="1"/>
    <col min="13061" max="13061" width="1.7109375" style="63" customWidth="1"/>
    <col min="13062" max="13062" width="20.85546875" style="63" customWidth="1"/>
    <col min="13063" max="13063" width="10.7109375" style="63" customWidth="1"/>
    <col min="13064" max="13065" width="15.7109375" style="63" customWidth="1"/>
    <col min="13066" max="13066" width="1.7109375" style="63" customWidth="1"/>
    <col min="13067" max="13067" width="20.7109375" style="63" customWidth="1"/>
    <col min="13068" max="13068" width="10.7109375" style="63" customWidth="1"/>
    <col min="13069" max="13070" width="15.7109375" style="63" customWidth="1"/>
    <col min="13071" max="13071" width="2.140625" style="63" customWidth="1"/>
    <col min="13072" max="13072" width="25.7109375" style="63" customWidth="1"/>
    <col min="13073" max="13073" width="10.7109375" style="63" customWidth="1"/>
    <col min="13074" max="13075" width="15.7109375" style="63" customWidth="1"/>
    <col min="13076" max="13077" width="9.140625" style="63"/>
    <col min="13078" max="13078" width="11.28515625" style="63" customWidth="1"/>
    <col min="13079" max="13312" width="9.140625" style="63"/>
    <col min="13313" max="13313" width="25.7109375" style="63" customWidth="1"/>
    <col min="13314" max="13314" width="10.7109375" style="63" customWidth="1"/>
    <col min="13315" max="13316" width="15.7109375" style="63" customWidth="1"/>
    <col min="13317" max="13317" width="1.7109375" style="63" customWidth="1"/>
    <col min="13318" max="13318" width="20.85546875" style="63" customWidth="1"/>
    <col min="13319" max="13319" width="10.7109375" style="63" customWidth="1"/>
    <col min="13320" max="13321" width="15.7109375" style="63" customWidth="1"/>
    <col min="13322" max="13322" width="1.7109375" style="63" customWidth="1"/>
    <col min="13323" max="13323" width="20.7109375" style="63" customWidth="1"/>
    <col min="13324" max="13324" width="10.7109375" style="63" customWidth="1"/>
    <col min="13325" max="13326" width="15.7109375" style="63" customWidth="1"/>
    <col min="13327" max="13327" width="2.140625" style="63" customWidth="1"/>
    <col min="13328" max="13328" width="25.7109375" style="63" customWidth="1"/>
    <col min="13329" max="13329" width="10.7109375" style="63" customWidth="1"/>
    <col min="13330" max="13331" width="15.7109375" style="63" customWidth="1"/>
    <col min="13332" max="13333" width="9.140625" style="63"/>
    <col min="13334" max="13334" width="11.28515625" style="63" customWidth="1"/>
    <col min="13335" max="13568" width="9.140625" style="63"/>
    <col min="13569" max="13569" width="25.7109375" style="63" customWidth="1"/>
    <col min="13570" max="13570" width="10.7109375" style="63" customWidth="1"/>
    <col min="13571" max="13572" width="15.7109375" style="63" customWidth="1"/>
    <col min="13573" max="13573" width="1.7109375" style="63" customWidth="1"/>
    <col min="13574" max="13574" width="20.85546875" style="63" customWidth="1"/>
    <col min="13575" max="13575" width="10.7109375" style="63" customWidth="1"/>
    <col min="13576" max="13577" width="15.7109375" style="63" customWidth="1"/>
    <col min="13578" max="13578" width="1.7109375" style="63" customWidth="1"/>
    <col min="13579" max="13579" width="20.7109375" style="63" customWidth="1"/>
    <col min="13580" max="13580" width="10.7109375" style="63" customWidth="1"/>
    <col min="13581" max="13582" width="15.7109375" style="63" customWidth="1"/>
    <col min="13583" max="13583" width="2.140625" style="63" customWidth="1"/>
    <col min="13584" max="13584" width="25.7109375" style="63" customWidth="1"/>
    <col min="13585" max="13585" width="10.7109375" style="63" customWidth="1"/>
    <col min="13586" max="13587" width="15.7109375" style="63" customWidth="1"/>
    <col min="13588" max="13589" width="9.140625" style="63"/>
    <col min="13590" max="13590" width="11.28515625" style="63" customWidth="1"/>
    <col min="13591" max="13824" width="9.140625" style="63"/>
    <col min="13825" max="13825" width="25.7109375" style="63" customWidth="1"/>
    <col min="13826" max="13826" width="10.7109375" style="63" customWidth="1"/>
    <col min="13827" max="13828" width="15.7109375" style="63" customWidth="1"/>
    <col min="13829" max="13829" width="1.7109375" style="63" customWidth="1"/>
    <col min="13830" max="13830" width="20.85546875" style="63" customWidth="1"/>
    <col min="13831" max="13831" width="10.7109375" style="63" customWidth="1"/>
    <col min="13832" max="13833" width="15.7109375" style="63" customWidth="1"/>
    <col min="13834" max="13834" width="1.7109375" style="63" customWidth="1"/>
    <col min="13835" max="13835" width="20.7109375" style="63" customWidth="1"/>
    <col min="13836" max="13836" width="10.7109375" style="63" customWidth="1"/>
    <col min="13837" max="13838" width="15.7109375" style="63" customWidth="1"/>
    <col min="13839" max="13839" width="2.140625" style="63" customWidth="1"/>
    <col min="13840" max="13840" width="25.7109375" style="63" customWidth="1"/>
    <col min="13841" max="13841" width="10.7109375" style="63" customWidth="1"/>
    <col min="13842" max="13843" width="15.7109375" style="63" customWidth="1"/>
    <col min="13844" max="13845" width="9.140625" style="63"/>
    <col min="13846" max="13846" width="11.28515625" style="63" customWidth="1"/>
    <col min="13847" max="14080" width="9.140625" style="63"/>
    <col min="14081" max="14081" width="25.7109375" style="63" customWidth="1"/>
    <col min="14082" max="14082" width="10.7109375" style="63" customWidth="1"/>
    <col min="14083" max="14084" width="15.7109375" style="63" customWidth="1"/>
    <col min="14085" max="14085" width="1.7109375" style="63" customWidth="1"/>
    <col min="14086" max="14086" width="20.85546875" style="63" customWidth="1"/>
    <col min="14087" max="14087" width="10.7109375" style="63" customWidth="1"/>
    <col min="14088" max="14089" width="15.7109375" style="63" customWidth="1"/>
    <col min="14090" max="14090" width="1.7109375" style="63" customWidth="1"/>
    <col min="14091" max="14091" width="20.7109375" style="63" customWidth="1"/>
    <col min="14092" max="14092" width="10.7109375" style="63" customWidth="1"/>
    <col min="14093" max="14094" width="15.7109375" style="63" customWidth="1"/>
    <col min="14095" max="14095" width="2.140625" style="63" customWidth="1"/>
    <col min="14096" max="14096" width="25.7109375" style="63" customWidth="1"/>
    <col min="14097" max="14097" width="10.7109375" style="63" customWidth="1"/>
    <col min="14098" max="14099" width="15.7109375" style="63" customWidth="1"/>
    <col min="14100" max="14101" width="9.140625" style="63"/>
    <col min="14102" max="14102" width="11.28515625" style="63" customWidth="1"/>
    <col min="14103" max="14336" width="9.140625" style="63"/>
    <col min="14337" max="14337" width="25.7109375" style="63" customWidth="1"/>
    <col min="14338" max="14338" width="10.7109375" style="63" customWidth="1"/>
    <col min="14339" max="14340" width="15.7109375" style="63" customWidth="1"/>
    <col min="14341" max="14341" width="1.7109375" style="63" customWidth="1"/>
    <col min="14342" max="14342" width="20.85546875" style="63" customWidth="1"/>
    <col min="14343" max="14343" width="10.7109375" style="63" customWidth="1"/>
    <col min="14344" max="14345" width="15.7109375" style="63" customWidth="1"/>
    <col min="14346" max="14346" width="1.7109375" style="63" customWidth="1"/>
    <col min="14347" max="14347" width="20.7109375" style="63" customWidth="1"/>
    <col min="14348" max="14348" width="10.7109375" style="63" customWidth="1"/>
    <col min="14349" max="14350" width="15.7109375" style="63" customWidth="1"/>
    <col min="14351" max="14351" width="2.140625" style="63" customWidth="1"/>
    <col min="14352" max="14352" width="25.7109375" style="63" customWidth="1"/>
    <col min="14353" max="14353" width="10.7109375" style="63" customWidth="1"/>
    <col min="14354" max="14355" width="15.7109375" style="63" customWidth="1"/>
    <col min="14356" max="14357" width="9.140625" style="63"/>
    <col min="14358" max="14358" width="11.28515625" style="63" customWidth="1"/>
    <col min="14359" max="14592" width="9.140625" style="63"/>
    <col min="14593" max="14593" width="25.7109375" style="63" customWidth="1"/>
    <col min="14594" max="14594" width="10.7109375" style="63" customWidth="1"/>
    <col min="14595" max="14596" width="15.7109375" style="63" customWidth="1"/>
    <col min="14597" max="14597" width="1.7109375" style="63" customWidth="1"/>
    <col min="14598" max="14598" width="20.85546875" style="63" customWidth="1"/>
    <col min="14599" max="14599" width="10.7109375" style="63" customWidth="1"/>
    <col min="14600" max="14601" width="15.7109375" style="63" customWidth="1"/>
    <col min="14602" max="14602" width="1.7109375" style="63" customWidth="1"/>
    <col min="14603" max="14603" width="20.7109375" style="63" customWidth="1"/>
    <col min="14604" max="14604" width="10.7109375" style="63" customWidth="1"/>
    <col min="14605" max="14606" width="15.7109375" style="63" customWidth="1"/>
    <col min="14607" max="14607" width="2.140625" style="63" customWidth="1"/>
    <col min="14608" max="14608" width="25.7109375" style="63" customWidth="1"/>
    <col min="14609" max="14609" width="10.7109375" style="63" customWidth="1"/>
    <col min="14610" max="14611" width="15.7109375" style="63" customWidth="1"/>
    <col min="14612" max="14613" width="9.140625" style="63"/>
    <col min="14614" max="14614" width="11.28515625" style="63" customWidth="1"/>
    <col min="14615" max="14848" width="9.140625" style="63"/>
    <col min="14849" max="14849" width="25.7109375" style="63" customWidth="1"/>
    <col min="14850" max="14850" width="10.7109375" style="63" customWidth="1"/>
    <col min="14851" max="14852" width="15.7109375" style="63" customWidth="1"/>
    <col min="14853" max="14853" width="1.7109375" style="63" customWidth="1"/>
    <col min="14854" max="14854" width="20.85546875" style="63" customWidth="1"/>
    <col min="14855" max="14855" width="10.7109375" style="63" customWidth="1"/>
    <col min="14856" max="14857" width="15.7109375" style="63" customWidth="1"/>
    <col min="14858" max="14858" width="1.7109375" style="63" customWidth="1"/>
    <col min="14859" max="14859" width="20.7109375" style="63" customWidth="1"/>
    <col min="14860" max="14860" width="10.7109375" style="63" customWidth="1"/>
    <col min="14861" max="14862" width="15.7109375" style="63" customWidth="1"/>
    <col min="14863" max="14863" width="2.140625" style="63" customWidth="1"/>
    <col min="14864" max="14864" width="25.7109375" style="63" customWidth="1"/>
    <col min="14865" max="14865" width="10.7109375" style="63" customWidth="1"/>
    <col min="14866" max="14867" width="15.7109375" style="63" customWidth="1"/>
    <col min="14868" max="14869" width="9.140625" style="63"/>
    <col min="14870" max="14870" width="11.28515625" style="63" customWidth="1"/>
    <col min="14871" max="15104" width="9.140625" style="63"/>
    <col min="15105" max="15105" width="25.7109375" style="63" customWidth="1"/>
    <col min="15106" max="15106" width="10.7109375" style="63" customWidth="1"/>
    <col min="15107" max="15108" width="15.7109375" style="63" customWidth="1"/>
    <col min="15109" max="15109" width="1.7109375" style="63" customWidth="1"/>
    <col min="15110" max="15110" width="20.85546875" style="63" customWidth="1"/>
    <col min="15111" max="15111" width="10.7109375" style="63" customWidth="1"/>
    <col min="15112" max="15113" width="15.7109375" style="63" customWidth="1"/>
    <col min="15114" max="15114" width="1.7109375" style="63" customWidth="1"/>
    <col min="15115" max="15115" width="20.7109375" style="63" customWidth="1"/>
    <col min="15116" max="15116" width="10.7109375" style="63" customWidth="1"/>
    <col min="15117" max="15118" width="15.7109375" style="63" customWidth="1"/>
    <col min="15119" max="15119" width="2.140625" style="63" customWidth="1"/>
    <col min="15120" max="15120" width="25.7109375" style="63" customWidth="1"/>
    <col min="15121" max="15121" width="10.7109375" style="63" customWidth="1"/>
    <col min="15122" max="15123" width="15.7109375" style="63" customWidth="1"/>
    <col min="15124" max="15125" width="9.140625" style="63"/>
    <col min="15126" max="15126" width="11.28515625" style="63" customWidth="1"/>
    <col min="15127" max="15360" width="9.140625" style="63"/>
    <col min="15361" max="15361" width="25.7109375" style="63" customWidth="1"/>
    <col min="15362" max="15362" width="10.7109375" style="63" customWidth="1"/>
    <col min="15363" max="15364" width="15.7109375" style="63" customWidth="1"/>
    <col min="15365" max="15365" width="1.7109375" style="63" customWidth="1"/>
    <col min="15366" max="15366" width="20.85546875" style="63" customWidth="1"/>
    <col min="15367" max="15367" width="10.7109375" style="63" customWidth="1"/>
    <col min="15368" max="15369" width="15.7109375" style="63" customWidth="1"/>
    <col min="15370" max="15370" width="1.7109375" style="63" customWidth="1"/>
    <col min="15371" max="15371" width="20.7109375" style="63" customWidth="1"/>
    <col min="15372" max="15372" width="10.7109375" style="63" customWidth="1"/>
    <col min="15373" max="15374" width="15.7109375" style="63" customWidth="1"/>
    <col min="15375" max="15375" width="2.140625" style="63" customWidth="1"/>
    <col min="15376" max="15376" width="25.7109375" style="63" customWidth="1"/>
    <col min="15377" max="15377" width="10.7109375" style="63" customWidth="1"/>
    <col min="15378" max="15379" width="15.7109375" style="63" customWidth="1"/>
    <col min="15380" max="15381" width="9.140625" style="63"/>
    <col min="15382" max="15382" width="11.28515625" style="63" customWidth="1"/>
    <col min="15383" max="15616" width="9.140625" style="63"/>
    <col min="15617" max="15617" width="25.7109375" style="63" customWidth="1"/>
    <col min="15618" max="15618" width="10.7109375" style="63" customWidth="1"/>
    <col min="15619" max="15620" width="15.7109375" style="63" customWidth="1"/>
    <col min="15621" max="15621" width="1.7109375" style="63" customWidth="1"/>
    <col min="15622" max="15622" width="20.85546875" style="63" customWidth="1"/>
    <col min="15623" max="15623" width="10.7109375" style="63" customWidth="1"/>
    <col min="15624" max="15625" width="15.7109375" style="63" customWidth="1"/>
    <col min="15626" max="15626" width="1.7109375" style="63" customWidth="1"/>
    <col min="15627" max="15627" width="20.7109375" style="63" customWidth="1"/>
    <col min="15628" max="15628" width="10.7109375" style="63" customWidth="1"/>
    <col min="15629" max="15630" width="15.7109375" style="63" customWidth="1"/>
    <col min="15631" max="15631" width="2.140625" style="63" customWidth="1"/>
    <col min="15632" max="15632" width="25.7109375" style="63" customWidth="1"/>
    <col min="15633" max="15633" width="10.7109375" style="63" customWidth="1"/>
    <col min="15634" max="15635" width="15.7109375" style="63" customWidth="1"/>
    <col min="15636" max="15637" width="9.140625" style="63"/>
    <col min="15638" max="15638" width="11.28515625" style="63" customWidth="1"/>
    <col min="15639" max="15872" width="9.140625" style="63"/>
    <col min="15873" max="15873" width="25.7109375" style="63" customWidth="1"/>
    <col min="15874" max="15874" width="10.7109375" style="63" customWidth="1"/>
    <col min="15875" max="15876" width="15.7109375" style="63" customWidth="1"/>
    <col min="15877" max="15877" width="1.7109375" style="63" customWidth="1"/>
    <col min="15878" max="15878" width="20.85546875" style="63" customWidth="1"/>
    <col min="15879" max="15879" width="10.7109375" style="63" customWidth="1"/>
    <col min="15880" max="15881" width="15.7109375" style="63" customWidth="1"/>
    <col min="15882" max="15882" width="1.7109375" style="63" customWidth="1"/>
    <col min="15883" max="15883" width="20.7109375" style="63" customWidth="1"/>
    <col min="15884" max="15884" width="10.7109375" style="63" customWidth="1"/>
    <col min="15885" max="15886" width="15.7109375" style="63" customWidth="1"/>
    <col min="15887" max="15887" width="2.140625" style="63" customWidth="1"/>
    <col min="15888" max="15888" width="25.7109375" style="63" customWidth="1"/>
    <col min="15889" max="15889" width="10.7109375" style="63" customWidth="1"/>
    <col min="15890" max="15891" width="15.7109375" style="63" customWidth="1"/>
    <col min="15892" max="15893" width="9.140625" style="63"/>
    <col min="15894" max="15894" width="11.28515625" style="63" customWidth="1"/>
    <col min="15895" max="16128" width="9.140625" style="63"/>
    <col min="16129" max="16129" width="25.7109375" style="63" customWidth="1"/>
    <col min="16130" max="16130" width="10.7109375" style="63" customWidth="1"/>
    <col min="16131" max="16132" width="15.7109375" style="63" customWidth="1"/>
    <col min="16133" max="16133" width="1.7109375" style="63" customWidth="1"/>
    <col min="16134" max="16134" width="20.85546875" style="63" customWidth="1"/>
    <col min="16135" max="16135" width="10.7109375" style="63" customWidth="1"/>
    <col min="16136" max="16137" width="15.7109375" style="63" customWidth="1"/>
    <col min="16138" max="16138" width="1.7109375" style="63" customWidth="1"/>
    <col min="16139" max="16139" width="20.7109375" style="63" customWidth="1"/>
    <col min="16140" max="16140" width="10.7109375" style="63" customWidth="1"/>
    <col min="16141" max="16142" width="15.7109375" style="63" customWidth="1"/>
    <col min="16143" max="16143" width="2.140625" style="63" customWidth="1"/>
    <col min="16144" max="16144" width="25.7109375" style="63" customWidth="1"/>
    <col min="16145" max="16145" width="10.7109375" style="63" customWidth="1"/>
    <col min="16146" max="16147" width="15.7109375" style="63" customWidth="1"/>
    <col min="16148" max="16149" width="9.140625" style="63"/>
    <col min="16150" max="16150" width="11.28515625" style="63" customWidth="1"/>
    <col min="16151" max="16384" width="9.140625" style="63"/>
  </cols>
  <sheetData>
    <row r="2" spans="1:22" s="62" customFormat="1" ht="39.950000000000003" customHeight="1" x14ac:dyDescent="0.35">
      <c r="A2" s="1226" t="s">
        <v>34</v>
      </c>
      <c r="B2" s="1226"/>
      <c r="C2" s="1226"/>
      <c r="D2" s="1226"/>
      <c r="E2" s="61"/>
      <c r="F2" s="1226" t="s">
        <v>35</v>
      </c>
      <c r="G2" s="1226"/>
      <c r="H2" s="1226"/>
      <c r="I2" s="1226"/>
      <c r="J2" s="61"/>
      <c r="K2" s="1226" t="s">
        <v>36</v>
      </c>
      <c r="L2" s="1226"/>
      <c r="M2" s="1226"/>
      <c r="N2" s="1226"/>
      <c r="O2" s="61"/>
      <c r="P2" s="1226" t="s">
        <v>37</v>
      </c>
      <c r="Q2" s="1226"/>
      <c r="R2" s="1226"/>
      <c r="S2" s="1226"/>
    </row>
    <row r="3" spans="1:22" ht="20.100000000000001" customHeight="1" x14ac:dyDescent="0.2">
      <c r="C3" s="64" t="s">
        <v>38</v>
      </c>
      <c r="D3" s="65" t="str">
        <f>LPKK!Q4</f>
        <v>SC MARABAHAN</v>
      </c>
      <c r="H3" s="64" t="s">
        <v>38</v>
      </c>
      <c r="I3" s="65" t="str">
        <f>D3</f>
        <v>SC MARABAHAN</v>
      </c>
      <c r="M3" s="64" t="s">
        <v>38</v>
      </c>
      <c r="N3" s="65" t="str">
        <f>I3</f>
        <v>SC MARABAHAN</v>
      </c>
      <c r="R3" s="64" t="s">
        <v>38</v>
      </c>
      <c r="S3" s="65" t="str">
        <f>D3</f>
        <v>SC MARABAHAN</v>
      </c>
    </row>
    <row r="4" spans="1:22" ht="20.100000000000001" customHeight="1" x14ac:dyDescent="0.2">
      <c r="C4" s="66" t="s">
        <v>39</v>
      </c>
      <c r="D4" s="67" t="str">
        <f>LPKK!Q5</f>
        <v>1-7 JULI 2026</v>
      </c>
      <c r="H4" s="66" t="s">
        <v>39</v>
      </c>
      <c r="I4" s="67" t="str">
        <f>D4</f>
        <v>1-7 JULI 2026</v>
      </c>
      <c r="M4" s="66" t="s">
        <v>39</v>
      </c>
      <c r="N4" s="67" t="str">
        <f>I4</f>
        <v>1-7 JULI 2026</v>
      </c>
      <c r="R4" s="66" t="s">
        <v>39</v>
      </c>
      <c r="S4" s="67" t="str">
        <f>D4</f>
        <v>1-7 JULI 2026</v>
      </c>
    </row>
    <row r="5" spans="1:22" ht="13.5" thickBot="1" x14ac:dyDescent="0.25">
      <c r="K5" s="63" t="s">
        <v>975</v>
      </c>
    </row>
    <row r="6" spans="1:22" ht="27" customHeight="1" x14ac:dyDescent="0.2">
      <c r="A6" s="68" t="s">
        <v>6</v>
      </c>
      <c r="B6" s="69" t="s">
        <v>40</v>
      </c>
      <c r="C6" s="69" t="s">
        <v>41</v>
      </c>
      <c r="D6" s="70" t="s">
        <v>10</v>
      </c>
      <c r="E6" s="64"/>
      <c r="F6" s="68" t="s">
        <v>42</v>
      </c>
      <c r="G6" s="69" t="s">
        <v>40</v>
      </c>
      <c r="H6" s="69" t="s">
        <v>43</v>
      </c>
      <c r="I6" s="70" t="s">
        <v>10</v>
      </c>
      <c r="J6" s="64"/>
      <c r="K6" s="68" t="s">
        <v>42</v>
      </c>
      <c r="L6" s="69" t="s">
        <v>40</v>
      </c>
      <c r="M6" s="69" t="s">
        <v>43</v>
      </c>
      <c r="N6" s="70" t="s">
        <v>10</v>
      </c>
      <c r="O6" s="64"/>
      <c r="P6" s="71" t="s">
        <v>6</v>
      </c>
      <c r="Q6" s="72" t="s">
        <v>40</v>
      </c>
      <c r="R6" s="72" t="s">
        <v>41</v>
      </c>
      <c r="S6" s="72" t="s">
        <v>10</v>
      </c>
    </row>
    <row r="7" spans="1:22" s="77" customFormat="1" ht="20.100000000000001" customHeight="1" x14ac:dyDescent="0.25">
      <c r="A7" s="73" t="s">
        <v>58</v>
      </c>
      <c r="B7" s="74">
        <f>H34</f>
        <v>5000</v>
      </c>
      <c r="C7" s="75">
        <f>WEEKLY!E275</f>
        <v>25000</v>
      </c>
      <c r="D7" s="76">
        <f>B7/1000*C7</f>
        <v>125000</v>
      </c>
      <c r="F7" s="73" t="s">
        <v>28</v>
      </c>
      <c r="G7" s="78">
        <v>14</v>
      </c>
      <c r="H7" s="79">
        <f>'LAP. PENJUALAN REGULER'!S8</f>
        <v>15000</v>
      </c>
      <c r="I7" s="80">
        <f>H7*G7*G20</f>
        <v>120500.96966118358</v>
      </c>
      <c r="K7" s="73" t="s">
        <v>28</v>
      </c>
      <c r="L7" s="78"/>
      <c r="M7" s="75">
        <f>H7</f>
        <v>15000</v>
      </c>
      <c r="N7" s="76">
        <f>L7*M7*L21</f>
        <v>0</v>
      </c>
      <c r="P7" s="81" t="s">
        <v>44</v>
      </c>
      <c r="Q7" s="82">
        <v>15</v>
      </c>
      <c r="R7" s="83">
        <f>WEEKLY!E11</f>
        <v>5240.625</v>
      </c>
      <c r="S7" s="84">
        <f>R7*Q7</f>
        <v>78609.375</v>
      </c>
      <c r="U7" s="85"/>
      <c r="V7" s="86"/>
    </row>
    <row r="8" spans="1:22" s="77" customFormat="1" ht="20.100000000000001" customHeight="1" x14ac:dyDescent="0.25">
      <c r="A8" s="73" t="s">
        <v>45</v>
      </c>
      <c r="B8" s="867"/>
      <c r="C8" s="75">
        <f>WEEKLY!E11</f>
        <v>5240.625</v>
      </c>
      <c r="D8" s="76">
        <f>B8*C8</f>
        <v>0</v>
      </c>
      <c r="F8" s="73" t="s">
        <v>46</v>
      </c>
      <c r="G8" s="78"/>
      <c r="H8" s="79">
        <f>'LAP. PENJUALAN REGULER'!S9</f>
        <v>15000</v>
      </c>
      <c r="I8" s="80">
        <f>H8*G8*G20</f>
        <v>0</v>
      </c>
      <c r="K8" s="73" t="s">
        <v>46</v>
      </c>
      <c r="L8" s="78"/>
      <c r="M8" s="75">
        <f>H8</f>
        <v>15000</v>
      </c>
      <c r="N8" s="76">
        <f>L8*M8*L21</f>
        <v>0</v>
      </c>
      <c r="P8" s="87" t="s">
        <v>30</v>
      </c>
      <c r="Q8" s="88"/>
      <c r="R8" s="89">
        <f>WEEKLY!E14</f>
        <v>4635.9375</v>
      </c>
      <c r="S8" s="84">
        <f>R8*Q8</f>
        <v>0</v>
      </c>
      <c r="U8" s="85"/>
      <c r="V8" s="86"/>
    </row>
    <row r="9" spans="1:22" s="77" customFormat="1" ht="20.100000000000001" customHeight="1" x14ac:dyDescent="0.25">
      <c r="A9" s="73" t="s">
        <v>56</v>
      </c>
      <c r="B9" s="74">
        <f t="shared" ref="B9:B16" si="0">H36</f>
        <v>100</v>
      </c>
      <c r="C9" s="75">
        <f>WEEKLY!E278</f>
        <v>10000</v>
      </c>
      <c r="D9" s="76">
        <f>B9/1000*C9</f>
        <v>1000</v>
      </c>
      <c r="F9" s="73" t="s">
        <v>47</v>
      </c>
      <c r="G9" s="78"/>
      <c r="H9" s="79">
        <f>'LAP. PENJUALAN REGULER'!S10</f>
        <v>13500</v>
      </c>
      <c r="I9" s="80">
        <f>H9*G9*G20</f>
        <v>0</v>
      </c>
      <c r="K9" s="73" t="s">
        <v>47</v>
      </c>
      <c r="L9" s="78"/>
      <c r="M9" s="75">
        <f>H9</f>
        <v>13500</v>
      </c>
      <c r="N9" s="76">
        <f>L9*M9*L21</f>
        <v>0</v>
      </c>
      <c r="P9" s="90" t="s">
        <v>48</v>
      </c>
      <c r="Q9" s="91"/>
      <c r="R9" s="92"/>
      <c r="S9" s="84">
        <f>R9*Q9</f>
        <v>0</v>
      </c>
      <c r="U9" s="85"/>
      <c r="V9" s="86"/>
    </row>
    <row r="10" spans="1:22" s="77" customFormat="1" ht="20.100000000000001" customHeight="1" x14ac:dyDescent="0.25">
      <c r="A10" s="73" t="s">
        <v>57</v>
      </c>
      <c r="B10" s="74">
        <f t="shared" si="0"/>
        <v>4</v>
      </c>
      <c r="C10" s="75">
        <f>WEEKLY!E282</f>
        <v>2322</v>
      </c>
      <c r="D10" s="76">
        <f>B10/16*C10</f>
        <v>580.5</v>
      </c>
      <c r="E10" s="1227"/>
      <c r="F10" s="73" t="s">
        <v>31</v>
      </c>
      <c r="G10" s="78"/>
      <c r="H10" s="79">
        <f>'LAP. PENJUALAN REGULER'!S11</f>
        <v>12500</v>
      </c>
      <c r="I10" s="80">
        <f>H10*G10*G20</f>
        <v>0</v>
      </c>
      <c r="K10" s="73" t="s">
        <v>31</v>
      </c>
      <c r="L10" s="78"/>
      <c r="M10" s="75">
        <f>H10</f>
        <v>12500</v>
      </c>
      <c r="N10" s="76">
        <f>L10*M10*L21</f>
        <v>0</v>
      </c>
      <c r="P10" s="93" t="s">
        <v>50</v>
      </c>
      <c r="Q10" s="94">
        <f>R37</f>
        <v>8</v>
      </c>
      <c r="R10" s="84">
        <f>WEEKLY!E48</f>
        <v>900</v>
      </c>
      <c r="S10" s="84">
        <f>R10/12*Q10</f>
        <v>600</v>
      </c>
      <c r="U10" s="85"/>
      <c r="V10" s="86"/>
    </row>
    <row r="11" spans="1:22" s="77" customFormat="1" ht="20.100000000000001" customHeight="1" x14ac:dyDescent="0.25">
      <c r="A11" s="73" t="s">
        <v>49</v>
      </c>
      <c r="B11" s="74">
        <f t="shared" si="0"/>
        <v>40</v>
      </c>
      <c r="C11" s="75">
        <f>WEEKLY!E280</f>
        <v>50000</v>
      </c>
      <c r="D11" s="76">
        <f>B11/1000*C11</f>
        <v>2000</v>
      </c>
      <c r="E11" s="1228"/>
      <c r="F11" s="73" t="s">
        <v>52</v>
      </c>
      <c r="G11" s="78">
        <v>14</v>
      </c>
      <c r="H11" s="79">
        <f>'LAP. PENJUALAN REGULER'!S16</f>
        <v>5000</v>
      </c>
      <c r="I11" s="80">
        <f>H11*G11*G20</f>
        <v>40166.989887061194</v>
      </c>
      <c r="K11" s="73" t="s">
        <v>52</v>
      </c>
      <c r="L11" s="78"/>
      <c r="M11" s="75">
        <f>H11</f>
        <v>5000</v>
      </c>
      <c r="N11" s="76">
        <f>L11*M11*L21</f>
        <v>0</v>
      </c>
      <c r="P11" s="93" t="s">
        <v>53</v>
      </c>
      <c r="Q11" s="94">
        <f t="shared" ref="Q11:Q17" si="1">R38</f>
        <v>25</v>
      </c>
      <c r="R11" s="84">
        <f>WEEKLY!E51</f>
        <v>6000</v>
      </c>
      <c r="S11" s="84">
        <f>Q11/150*R11</f>
        <v>1000</v>
      </c>
      <c r="U11" s="85"/>
      <c r="V11" s="86"/>
    </row>
    <row r="12" spans="1:22" s="77" customFormat="1" ht="20.100000000000001" customHeight="1" x14ac:dyDescent="0.25">
      <c r="A12" s="93" t="s">
        <v>51</v>
      </c>
      <c r="B12" s="74">
        <f t="shared" si="0"/>
        <v>10</v>
      </c>
      <c r="C12" s="75">
        <f>WEEKLY!E279</f>
        <v>40000</v>
      </c>
      <c r="D12" s="75">
        <f>B12/1000*C12</f>
        <v>400</v>
      </c>
      <c r="E12" s="1228"/>
      <c r="F12" s="73"/>
      <c r="G12" s="78"/>
      <c r="H12" s="79"/>
      <c r="I12" s="80">
        <f>H12*G12*G20</f>
        <v>0</v>
      </c>
      <c r="K12" s="95"/>
      <c r="L12" s="78"/>
      <c r="M12" s="75">
        <f t="shared" ref="M12:M19" si="2">H12</f>
        <v>0</v>
      </c>
      <c r="N12" s="76">
        <f>L12*M12*L21</f>
        <v>0</v>
      </c>
      <c r="P12" s="93" t="s">
        <v>55</v>
      </c>
      <c r="Q12" s="94">
        <f t="shared" si="1"/>
        <v>50</v>
      </c>
      <c r="R12" s="84">
        <f>WEEKLY!E44</f>
        <v>40000</v>
      </c>
      <c r="S12" s="84">
        <f>Q12/1000*R12</f>
        <v>2000</v>
      </c>
      <c r="U12" s="85"/>
      <c r="V12" s="86"/>
    </row>
    <row r="13" spans="1:22" s="77" customFormat="1" ht="20.100000000000001" customHeight="1" x14ac:dyDescent="0.25">
      <c r="A13" s="93" t="s">
        <v>54</v>
      </c>
      <c r="B13" s="74"/>
      <c r="C13" s="75"/>
      <c r="D13" s="75"/>
      <c r="E13" s="1228"/>
      <c r="F13" s="95"/>
      <c r="G13" s="78"/>
      <c r="H13" s="79"/>
      <c r="I13" s="80">
        <f>H13*G13*G20</f>
        <v>0</v>
      </c>
      <c r="K13" s="95"/>
      <c r="L13" s="78"/>
      <c r="M13" s="75">
        <f t="shared" si="2"/>
        <v>0</v>
      </c>
      <c r="N13" s="76">
        <f>M13*L13*L21</f>
        <v>0</v>
      </c>
      <c r="P13" s="93" t="s">
        <v>59</v>
      </c>
      <c r="Q13" s="94">
        <f t="shared" si="1"/>
        <v>4</v>
      </c>
      <c r="R13" s="96">
        <f>WEEKLY!E282</f>
        <v>2322</v>
      </c>
      <c r="S13" s="96">
        <f>Q13/16*R13</f>
        <v>580.5</v>
      </c>
      <c r="U13" s="85"/>
      <c r="V13" s="86"/>
    </row>
    <row r="14" spans="1:22" s="77" customFormat="1" ht="20.100000000000001" customHeight="1" x14ac:dyDescent="0.25">
      <c r="A14" s="93" t="s">
        <v>589</v>
      </c>
      <c r="B14" s="74">
        <f t="shared" si="0"/>
        <v>20</v>
      </c>
      <c r="C14" s="75">
        <f>WEEKLY!E274</f>
        <v>14000</v>
      </c>
      <c r="D14" s="75">
        <f>B14/250*C14</f>
        <v>1120</v>
      </c>
      <c r="E14" s="1228"/>
      <c r="F14" s="95"/>
      <c r="G14" s="78"/>
      <c r="H14" s="79"/>
      <c r="I14" s="80">
        <f>H14*G14*G20</f>
        <v>0</v>
      </c>
      <c r="K14" s="95"/>
      <c r="L14" s="78"/>
      <c r="M14" s="75">
        <f t="shared" si="2"/>
        <v>0</v>
      </c>
      <c r="N14" s="76">
        <f>M14*L14*L21</f>
        <v>0</v>
      </c>
      <c r="P14" s="93" t="s">
        <v>61</v>
      </c>
      <c r="Q14" s="94">
        <f t="shared" si="1"/>
        <v>10</v>
      </c>
      <c r="R14" s="84">
        <f>WEEKLY!E46</f>
        <v>7000</v>
      </c>
      <c r="S14" s="84">
        <f>Q14/200*R14</f>
        <v>350</v>
      </c>
      <c r="U14" s="85"/>
      <c r="V14" s="86"/>
    </row>
    <row r="15" spans="1:22" s="77" customFormat="1" ht="20.100000000000001" customHeight="1" x14ac:dyDescent="0.25">
      <c r="A15" s="73" t="s">
        <v>590</v>
      </c>
      <c r="B15" s="74">
        <f t="shared" si="0"/>
        <v>6</v>
      </c>
      <c r="C15" s="75">
        <f>WEEKLY!E277</f>
        <v>1500</v>
      </c>
      <c r="D15" s="76">
        <f>B15*C15</f>
        <v>9000</v>
      </c>
      <c r="E15" s="1228"/>
      <c r="F15" s="95"/>
      <c r="G15" s="78"/>
      <c r="H15" s="79"/>
      <c r="I15" s="80">
        <f>H15*G15*G20</f>
        <v>0</v>
      </c>
      <c r="K15" s="73"/>
      <c r="L15" s="78"/>
      <c r="M15" s="75">
        <f t="shared" si="2"/>
        <v>0</v>
      </c>
      <c r="N15" s="76">
        <f>M15*L15*L21</f>
        <v>0</v>
      </c>
      <c r="P15" s="93" t="s">
        <v>589</v>
      </c>
      <c r="Q15" s="94">
        <f t="shared" si="1"/>
        <v>30</v>
      </c>
      <c r="R15" s="92">
        <f>WEEKLY!E274</f>
        <v>14000</v>
      </c>
      <c r="S15" s="97">
        <f>Q15/250*R15</f>
        <v>1680</v>
      </c>
      <c r="U15" s="85"/>
      <c r="V15" s="86"/>
    </row>
    <row r="16" spans="1:22" s="77" customFormat="1" ht="20.100000000000001" customHeight="1" x14ac:dyDescent="0.25">
      <c r="A16" s="73" t="s">
        <v>591</v>
      </c>
      <c r="B16" s="74">
        <f t="shared" si="0"/>
        <v>10</v>
      </c>
      <c r="C16" s="75">
        <f>WEEKLY!E276</f>
        <v>8000</v>
      </c>
      <c r="D16" s="76">
        <f>C16/250*B16</f>
        <v>320</v>
      </c>
      <c r="F16" s="98"/>
      <c r="G16" s="78"/>
      <c r="H16" s="79"/>
      <c r="I16" s="80">
        <f>H16*G16*G20</f>
        <v>0</v>
      </c>
      <c r="K16" s="73"/>
      <c r="L16" s="78"/>
      <c r="M16" s="75">
        <f t="shared" si="2"/>
        <v>0</v>
      </c>
      <c r="N16" s="76">
        <f>M16*L16*L21</f>
        <v>0</v>
      </c>
      <c r="P16" s="99" t="s">
        <v>590</v>
      </c>
      <c r="Q16" s="94">
        <f t="shared" si="1"/>
        <v>15</v>
      </c>
      <c r="R16" s="92">
        <f>WEEKLY!E277</f>
        <v>1500</v>
      </c>
      <c r="S16" s="92">
        <f>Q16/250*R16</f>
        <v>90</v>
      </c>
      <c r="U16" s="85"/>
      <c r="V16" s="86"/>
    </row>
    <row r="17" spans="1:25" s="77" customFormat="1" ht="20.100000000000001" customHeight="1" x14ac:dyDescent="0.25">
      <c r="A17" s="95"/>
      <c r="B17" s="100"/>
      <c r="C17" s="79"/>
      <c r="D17" s="101"/>
      <c r="F17" s="98"/>
      <c r="G17" s="78"/>
      <c r="H17" s="79"/>
      <c r="I17" s="80">
        <f>H17*G17*G20</f>
        <v>0</v>
      </c>
      <c r="K17" s="73"/>
      <c r="L17" s="78"/>
      <c r="M17" s="75">
        <f t="shared" si="2"/>
        <v>0</v>
      </c>
      <c r="N17" s="76">
        <f>M17*L17*L21</f>
        <v>0</v>
      </c>
      <c r="P17" s="93" t="s">
        <v>591</v>
      </c>
      <c r="Q17" s="94">
        <f t="shared" si="1"/>
        <v>18</v>
      </c>
      <c r="R17" s="84">
        <f>WEEKLY!E276</f>
        <v>8000</v>
      </c>
      <c r="S17" s="84">
        <f>R17/250*Q17</f>
        <v>576</v>
      </c>
      <c r="U17" s="85"/>
      <c r="V17" s="86"/>
    </row>
    <row r="18" spans="1:25" s="77" customFormat="1" ht="20.100000000000001" customHeight="1" x14ac:dyDescent="0.25">
      <c r="A18" s="102"/>
      <c r="B18" s="103"/>
      <c r="C18" s="104" t="s">
        <v>60</v>
      </c>
      <c r="D18" s="105">
        <f>SUM(D7:D17)</f>
        <v>139420.5</v>
      </c>
      <c r="F18" s="98"/>
      <c r="G18" s="78"/>
      <c r="H18" s="79"/>
      <c r="I18" s="80">
        <f>H18*G18*G20</f>
        <v>0</v>
      </c>
      <c r="K18" s="73"/>
      <c r="L18" s="78"/>
      <c r="M18" s="75">
        <f t="shared" si="2"/>
        <v>0</v>
      </c>
      <c r="N18" s="76">
        <f>M18*L18*L21</f>
        <v>0</v>
      </c>
      <c r="P18" s="106"/>
      <c r="Q18" s="94"/>
      <c r="R18" s="84"/>
      <c r="S18" s="84"/>
      <c r="U18" s="85"/>
      <c r="V18" s="86"/>
    </row>
    <row r="19" spans="1:25" s="77" customFormat="1" ht="20.100000000000001" customHeight="1" x14ac:dyDescent="0.25">
      <c r="A19" s="95"/>
      <c r="B19" s="107"/>
      <c r="C19" s="107"/>
      <c r="D19" s="108"/>
      <c r="F19" s="98"/>
      <c r="G19" s="78"/>
      <c r="H19" s="79"/>
      <c r="I19" s="80">
        <f>H19*G19*G20</f>
        <v>0</v>
      </c>
      <c r="K19" s="95"/>
      <c r="L19" s="78"/>
      <c r="M19" s="75">
        <f t="shared" si="2"/>
        <v>0</v>
      </c>
      <c r="N19" s="76">
        <f>M19*L19*L21</f>
        <v>0</v>
      </c>
      <c r="P19" s="103"/>
      <c r="Q19" s="109"/>
      <c r="R19" s="110" t="s">
        <v>60</v>
      </c>
      <c r="S19" s="111">
        <f>S7+S8+S10+S11+S12+S14+S15+S16+S17+S18+S9+S13</f>
        <v>85485.875</v>
      </c>
      <c r="U19" s="85"/>
      <c r="V19" s="86"/>
    </row>
    <row r="20" spans="1:25" s="77" customFormat="1" ht="20.100000000000001" customHeight="1" thickBot="1" x14ac:dyDescent="0.3">
      <c r="A20" s="112" t="s">
        <v>62</v>
      </c>
      <c r="B20" s="113">
        <v>72</v>
      </c>
      <c r="C20" s="114" t="s">
        <v>63</v>
      </c>
      <c r="D20" s="115">
        <f>D18/B20</f>
        <v>1936.3958333333333</v>
      </c>
      <c r="F20" s="116" t="s">
        <v>64</v>
      </c>
      <c r="G20" s="117">
        <f>H29</f>
        <v>0.57381414124373131</v>
      </c>
      <c r="H20" s="118"/>
      <c r="I20" s="119">
        <f>SUM(I7:I19)</f>
        <v>160667.95954824478</v>
      </c>
      <c r="K20" s="120"/>
      <c r="L20" s="78"/>
      <c r="M20" s="79"/>
      <c r="N20" s="121"/>
      <c r="P20" s="107"/>
      <c r="Q20" s="122"/>
      <c r="R20" s="122"/>
      <c r="S20" s="122"/>
    </row>
    <row r="21" spans="1:25" ht="24.95" customHeight="1" thickBot="1" x14ac:dyDescent="0.25">
      <c r="A21" s="64"/>
      <c r="B21" s="123"/>
      <c r="C21" s="64"/>
      <c r="D21" s="64"/>
      <c r="E21" s="64"/>
      <c r="F21" s="64"/>
      <c r="G21" s="124"/>
      <c r="H21" s="125"/>
      <c r="I21" s="126"/>
      <c r="J21" s="64"/>
      <c r="K21" s="116" t="s">
        <v>64</v>
      </c>
      <c r="L21" s="127">
        <f>H29</f>
        <v>0.57381414124373131</v>
      </c>
      <c r="M21" s="114" t="s">
        <v>10</v>
      </c>
      <c r="N21" s="115">
        <f>SUM(N7:N20)</f>
        <v>0</v>
      </c>
      <c r="O21" s="64"/>
      <c r="P21" s="106" t="s">
        <v>65</v>
      </c>
      <c r="Q21" s="110">
        <v>36</v>
      </c>
      <c r="R21" s="72"/>
      <c r="S21" s="128">
        <f>S19/Q21</f>
        <v>2374.6076388888887</v>
      </c>
      <c r="Y21" s="129">
        <f>SUM(V7:V20)</f>
        <v>0</v>
      </c>
    </row>
    <row r="22" spans="1:25" ht="24.95" customHeight="1" x14ac:dyDescent="0.2">
      <c r="D22" s="130" t="s">
        <v>66</v>
      </c>
      <c r="I22" s="130" t="s">
        <v>66</v>
      </c>
      <c r="N22" s="130" t="s">
        <v>66</v>
      </c>
      <c r="S22" s="130" t="s">
        <v>66</v>
      </c>
    </row>
    <row r="25" spans="1:25" x14ac:dyDescent="0.2">
      <c r="D25" s="131"/>
    </row>
    <row r="26" spans="1:25" x14ac:dyDescent="0.2">
      <c r="I26" s="131"/>
      <c r="N26" s="131"/>
      <c r="S26" s="131"/>
    </row>
    <row r="27" spans="1:25" ht="13.5" customHeight="1" x14ac:dyDescent="0.2"/>
    <row r="29" spans="1:25" ht="21.75" customHeight="1" x14ac:dyDescent="0.2">
      <c r="A29" s="132" t="s">
        <v>67</v>
      </c>
      <c r="B29" s="133">
        <v>2</v>
      </c>
      <c r="D29" s="131"/>
      <c r="F29" s="1222" t="s">
        <v>68</v>
      </c>
      <c r="G29" s="1223"/>
      <c r="H29" s="134">
        <v>0.57381414124373131</v>
      </c>
      <c r="P29" s="132" t="s">
        <v>67</v>
      </c>
      <c r="Q29" s="133">
        <v>1</v>
      </c>
    </row>
    <row r="32" spans="1:25" ht="23.25" x14ac:dyDescent="0.35">
      <c r="A32" s="135" t="s">
        <v>69</v>
      </c>
      <c r="B32" s="135"/>
      <c r="C32" s="135"/>
      <c r="F32" s="1224" t="s">
        <v>70</v>
      </c>
      <c r="G32" s="1224"/>
      <c r="H32" s="1224"/>
      <c r="L32" s="158"/>
      <c r="P32" s="1225" t="s">
        <v>71</v>
      </c>
      <c r="Q32" s="1225"/>
      <c r="R32" s="1225"/>
    </row>
    <row r="33" spans="1:18" ht="13.5" thickBot="1" x14ac:dyDescent="0.25">
      <c r="A33" s="136"/>
      <c r="F33" s="137"/>
      <c r="G33" s="137"/>
      <c r="H33" s="137"/>
      <c r="L33" s="158"/>
      <c r="P33" s="137"/>
      <c r="Q33" s="137"/>
      <c r="R33" s="137"/>
    </row>
    <row r="34" spans="1:18" ht="15" x14ac:dyDescent="0.2">
      <c r="A34" s="138" t="s">
        <v>72</v>
      </c>
      <c r="B34" s="139"/>
      <c r="C34" s="139"/>
      <c r="D34" s="140"/>
      <c r="F34" s="141" t="s">
        <v>58</v>
      </c>
      <c r="G34" s="142">
        <v>2500</v>
      </c>
      <c r="H34" s="143">
        <f>G34*B29</f>
        <v>5000</v>
      </c>
      <c r="L34" s="158"/>
      <c r="P34" s="144" t="s">
        <v>44</v>
      </c>
      <c r="Q34" s="145"/>
      <c r="R34" s="146"/>
    </row>
    <row r="35" spans="1:18" ht="15" x14ac:dyDescent="0.2">
      <c r="A35" s="147" t="s">
        <v>73</v>
      </c>
      <c r="B35" s="148"/>
      <c r="C35" s="148"/>
      <c r="D35" s="149"/>
      <c r="F35" s="141" t="s">
        <v>45</v>
      </c>
      <c r="G35" s="142"/>
      <c r="H35" s="150">
        <f>G35*B29</f>
        <v>0</v>
      </c>
      <c r="P35" s="144" t="s">
        <v>30</v>
      </c>
      <c r="Q35" s="145"/>
      <c r="R35" s="151"/>
    </row>
    <row r="36" spans="1:18" ht="15.75" x14ac:dyDescent="0.2">
      <c r="A36" s="152" t="s">
        <v>74</v>
      </c>
      <c r="B36" s="148"/>
      <c r="C36" s="148"/>
      <c r="D36" s="149"/>
      <c r="F36" s="141" t="s">
        <v>56</v>
      </c>
      <c r="G36" s="142">
        <v>50</v>
      </c>
      <c r="H36" s="143">
        <f>G36*B29</f>
        <v>100</v>
      </c>
      <c r="O36" s="126"/>
      <c r="P36" s="144" t="s">
        <v>48</v>
      </c>
      <c r="Q36" s="145"/>
      <c r="R36" s="151"/>
    </row>
    <row r="37" spans="1:18" ht="15" x14ac:dyDescent="0.2">
      <c r="A37" s="147" t="s">
        <v>75</v>
      </c>
      <c r="B37" s="148"/>
      <c r="C37" s="148"/>
      <c r="D37" s="149"/>
      <c r="F37" s="141" t="s">
        <v>57</v>
      </c>
      <c r="G37" s="142">
        <v>2</v>
      </c>
      <c r="H37" s="153">
        <f>G37*B29</f>
        <v>4</v>
      </c>
      <c r="O37" s="126"/>
      <c r="P37" s="144" t="s">
        <v>50</v>
      </c>
      <c r="Q37" s="145">
        <v>8</v>
      </c>
      <c r="R37" s="146">
        <f>Q37*Q29</f>
        <v>8</v>
      </c>
    </row>
    <row r="38" spans="1:18" ht="15.75" x14ac:dyDescent="0.2">
      <c r="A38" s="147" t="s">
        <v>76</v>
      </c>
      <c r="B38" s="154"/>
      <c r="C38" s="148"/>
      <c r="D38" s="149"/>
      <c r="F38" s="141" t="s">
        <v>49</v>
      </c>
      <c r="G38" s="142">
        <v>20</v>
      </c>
      <c r="H38" s="143">
        <f>G38*B29</f>
        <v>40</v>
      </c>
      <c r="P38" s="144" t="s">
        <v>53</v>
      </c>
      <c r="Q38" s="145">
        <v>25</v>
      </c>
      <c r="R38" s="151">
        <f>Q38*Q29</f>
        <v>25</v>
      </c>
    </row>
    <row r="39" spans="1:18" ht="15.75" x14ac:dyDescent="0.2">
      <c r="A39" s="147" t="s">
        <v>77</v>
      </c>
      <c r="B39" s="148"/>
      <c r="C39" s="148"/>
      <c r="D39" s="149"/>
      <c r="F39" s="141" t="s">
        <v>51</v>
      </c>
      <c r="G39" s="142">
        <v>5</v>
      </c>
      <c r="H39" s="143">
        <f>G39*B29</f>
        <v>10</v>
      </c>
      <c r="P39" s="144" t="s">
        <v>55</v>
      </c>
      <c r="Q39" s="145">
        <v>50</v>
      </c>
      <c r="R39" s="151">
        <f>Q39*Q29</f>
        <v>50</v>
      </c>
    </row>
    <row r="40" spans="1:18" ht="12.75" customHeight="1" x14ac:dyDescent="0.2">
      <c r="A40" s="147" t="s">
        <v>78</v>
      </c>
      <c r="B40" s="148"/>
      <c r="C40" s="148"/>
      <c r="D40" s="149"/>
      <c r="F40" s="141" t="s">
        <v>54</v>
      </c>
      <c r="G40" s="142"/>
      <c r="H40" s="153">
        <f>G40*B29</f>
        <v>0</v>
      </c>
      <c r="P40" s="144" t="s">
        <v>59</v>
      </c>
      <c r="Q40" s="145">
        <v>4</v>
      </c>
      <c r="R40" s="151">
        <f>Q40*Q29</f>
        <v>4</v>
      </c>
    </row>
    <row r="41" spans="1:18" ht="15.75" x14ac:dyDescent="0.2">
      <c r="A41" s="147" t="s">
        <v>79</v>
      </c>
      <c r="B41" s="148"/>
      <c r="C41" s="148"/>
      <c r="D41" s="149"/>
      <c r="F41" s="141" t="s">
        <v>589</v>
      </c>
      <c r="G41" s="142">
        <v>10</v>
      </c>
      <c r="H41" s="143">
        <f>G41*B29</f>
        <v>20</v>
      </c>
      <c r="O41" s="126"/>
      <c r="P41" s="144" t="s">
        <v>61</v>
      </c>
      <c r="Q41" s="145">
        <v>10</v>
      </c>
      <c r="R41" s="151">
        <f>Q41*Q29</f>
        <v>10</v>
      </c>
    </row>
    <row r="42" spans="1:18" ht="15" x14ac:dyDescent="0.2">
      <c r="A42" s="147" t="s">
        <v>80</v>
      </c>
      <c r="B42" s="148"/>
      <c r="C42" s="148"/>
      <c r="D42" s="149"/>
      <c r="F42" s="141" t="s">
        <v>590</v>
      </c>
      <c r="G42" s="142">
        <v>3</v>
      </c>
      <c r="H42" s="153">
        <f>G42*B29</f>
        <v>6</v>
      </c>
      <c r="O42" s="130"/>
      <c r="P42" s="144" t="s">
        <v>589</v>
      </c>
      <c r="Q42" s="145">
        <v>30</v>
      </c>
      <c r="R42" s="146">
        <f>Q42*Q29</f>
        <v>30</v>
      </c>
    </row>
    <row r="43" spans="1:18" ht="15" x14ac:dyDescent="0.2">
      <c r="A43" s="147" t="s">
        <v>81</v>
      </c>
      <c r="B43" s="148"/>
      <c r="C43" s="148"/>
      <c r="D43" s="149"/>
      <c r="F43" s="141" t="s">
        <v>591</v>
      </c>
      <c r="G43" s="142">
        <v>5</v>
      </c>
      <c r="H43" s="143">
        <f>G43*B29</f>
        <v>10</v>
      </c>
      <c r="O43" s="130"/>
      <c r="P43" s="144" t="s">
        <v>590</v>
      </c>
      <c r="Q43" s="145">
        <v>15</v>
      </c>
      <c r="R43" s="146">
        <f>Q43*Q29</f>
        <v>15</v>
      </c>
    </row>
    <row r="44" spans="1:18" ht="15" x14ac:dyDescent="0.2">
      <c r="A44" s="147" t="s">
        <v>82</v>
      </c>
      <c r="B44" s="148"/>
      <c r="C44" s="148"/>
      <c r="D44" s="149"/>
      <c r="F44" s="141"/>
      <c r="G44" s="142"/>
      <c r="H44" s="143">
        <f>G44*B29</f>
        <v>0</v>
      </c>
      <c r="P44" s="144" t="s">
        <v>591</v>
      </c>
      <c r="Q44" s="145">
        <v>18</v>
      </c>
      <c r="R44" s="146">
        <f>Q44*Q29</f>
        <v>18</v>
      </c>
    </row>
    <row r="45" spans="1:18" x14ac:dyDescent="0.2">
      <c r="A45" s="147" t="s">
        <v>83</v>
      </c>
      <c r="B45" s="148"/>
      <c r="C45" s="148"/>
      <c r="D45" s="149"/>
      <c r="F45" s="64"/>
      <c r="G45" s="64"/>
      <c r="H45" s="64"/>
    </row>
    <row r="46" spans="1:18" x14ac:dyDescent="0.2">
      <c r="A46" s="147" t="s">
        <v>84</v>
      </c>
      <c r="B46" s="148"/>
      <c r="C46" s="148"/>
      <c r="D46" s="149"/>
    </row>
    <row r="47" spans="1:18" x14ac:dyDescent="0.2">
      <c r="A47" s="147"/>
      <c r="B47" s="148"/>
      <c r="C47" s="148"/>
      <c r="D47" s="149"/>
    </row>
    <row r="48" spans="1:18" x14ac:dyDescent="0.2">
      <c r="D48" s="149"/>
    </row>
    <row r="49" spans="1:8" x14ac:dyDescent="0.2">
      <c r="D49" s="149"/>
    </row>
    <row r="50" spans="1:8" ht="13.5" thickBot="1" x14ac:dyDescent="0.25">
      <c r="A50" s="155"/>
      <c r="B50" s="156"/>
      <c r="C50" s="156"/>
      <c r="D50" s="157"/>
    </row>
    <row r="57" spans="1:8" x14ac:dyDescent="0.2">
      <c r="A57" s="159"/>
      <c r="B57" s="159"/>
      <c r="C57" s="159"/>
      <c r="D57" s="159"/>
      <c r="E57" s="159"/>
      <c r="F57" s="159"/>
      <c r="G57" s="159"/>
      <c r="H57" s="159"/>
    </row>
    <row r="58" spans="1:8" x14ac:dyDescent="0.2">
      <c r="A58" s="159"/>
      <c r="B58" s="159"/>
      <c r="C58" s="159"/>
      <c r="D58" s="159"/>
      <c r="E58" s="159"/>
      <c r="F58" s="159"/>
      <c r="G58" s="159"/>
      <c r="H58" s="159"/>
    </row>
    <row r="59" spans="1:8" x14ac:dyDescent="0.2">
      <c r="A59" s="160">
        <v>0</v>
      </c>
    </row>
    <row r="60" spans="1:8" x14ac:dyDescent="0.2">
      <c r="A60" s="159"/>
    </row>
    <row r="61" spans="1:8" x14ac:dyDescent="0.2">
      <c r="A61" s="159"/>
    </row>
    <row r="62" spans="1:8" x14ac:dyDescent="0.2">
      <c r="A62" s="159"/>
    </row>
    <row r="63" spans="1:8" x14ac:dyDescent="0.2">
      <c r="A63" s="159"/>
    </row>
    <row r="64" spans="1:8" x14ac:dyDescent="0.2">
      <c r="A64" s="159"/>
    </row>
    <row r="65" spans="1:1" x14ac:dyDescent="0.2">
      <c r="A65" s="159"/>
    </row>
    <row r="66" spans="1:1" x14ac:dyDescent="0.2">
      <c r="A66" s="159"/>
    </row>
    <row r="67" spans="1:1" x14ac:dyDescent="0.2">
      <c r="A67" s="159"/>
    </row>
    <row r="68" spans="1:1" x14ac:dyDescent="0.2">
      <c r="A68" s="159"/>
    </row>
    <row r="69" spans="1:1" x14ac:dyDescent="0.2">
      <c r="A69" s="159"/>
    </row>
    <row r="70" spans="1:1" x14ac:dyDescent="0.2">
      <c r="A70" s="159"/>
    </row>
  </sheetData>
  <mergeCells count="8">
    <mergeCell ref="F29:G29"/>
    <mergeCell ref="F32:H32"/>
    <mergeCell ref="P32:R32"/>
    <mergeCell ref="A2:D2"/>
    <mergeCell ref="F2:I2"/>
    <mergeCell ref="K2:N2"/>
    <mergeCell ref="P2:S2"/>
    <mergeCell ref="E10:E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0317B-4532-44AD-9C50-14968407296E}">
  <sheetPr>
    <tabColor rgb="FFFFC000"/>
  </sheetPr>
  <dimension ref="A1:U302"/>
  <sheetViews>
    <sheetView topLeftCell="A7" zoomScale="60" zoomScaleNormal="60" workbookViewId="0">
      <pane ySplit="810" topLeftCell="A173" activePane="bottomLeft"/>
      <selection activeCell="D8" sqref="D8"/>
      <selection pane="bottomLeft" activeCell="B201" sqref="B201"/>
    </sheetView>
  </sheetViews>
  <sheetFormatPr defaultRowHeight="12.75" x14ac:dyDescent="0.2"/>
  <cols>
    <col min="1" max="1" width="19" style="63" customWidth="1"/>
    <col min="2" max="2" width="8.5703125" style="214" customWidth="1"/>
    <col min="3" max="3" width="19.85546875" style="63" customWidth="1"/>
    <col min="4" max="7" width="17.7109375" style="63" customWidth="1"/>
    <col min="8" max="8" width="19.28515625" style="63" customWidth="1"/>
    <col min="9" max="15" width="17.7109375" style="63" customWidth="1"/>
    <col min="16" max="16" width="19.42578125" style="63" customWidth="1"/>
    <col min="17" max="17" width="40.7109375" style="63" customWidth="1"/>
    <col min="18" max="18" width="18.7109375" style="63" customWidth="1"/>
    <col min="19" max="19" width="21.28515625" style="63" customWidth="1"/>
    <col min="20" max="20" width="15.7109375" style="63" bestFit="1" customWidth="1"/>
    <col min="21" max="21" width="15.5703125" style="63" customWidth="1"/>
    <col min="22" max="258" width="9.140625" style="63"/>
    <col min="259" max="259" width="19" style="63" customWidth="1"/>
    <col min="260" max="260" width="8.5703125" style="63" customWidth="1"/>
    <col min="261" max="264" width="17.7109375" style="63" customWidth="1"/>
    <col min="265" max="265" width="19.28515625" style="63" customWidth="1"/>
    <col min="266" max="271" width="17.7109375" style="63" customWidth="1"/>
    <col min="272" max="272" width="19.42578125" style="63" customWidth="1"/>
    <col min="273" max="273" width="40.7109375" style="63" customWidth="1"/>
    <col min="274" max="274" width="18.7109375" style="63" customWidth="1"/>
    <col min="275" max="275" width="21.28515625" style="63" customWidth="1"/>
    <col min="276" max="276" width="15.7109375" style="63" bestFit="1" customWidth="1"/>
    <col min="277" max="277" width="15.5703125" style="63" customWidth="1"/>
    <col min="278" max="514" width="9.140625" style="63"/>
    <col min="515" max="515" width="19" style="63" customWidth="1"/>
    <col min="516" max="516" width="8.5703125" style="63" customWidth="1"/>
    <col min="517" max="520" width="17.7109375" style="63" customWidth="1"/>
    <col min="521" max="521" width="19.28515625" style="63" customWidth="1"/>
    <col min="522" max="527" width="17.7109375" style="63" customWidth="1"/>
    <col min="528" max="528" width="19.42578125" style="63" customWidth="1"/>
    <col min="529" max="529" width="40.7109375" style="63" customWidth="1"/>
    <col min="530" max="530" width="18.7109375" style="63" customWidth="1"/>
    <col min="531" max="531" width="21.28515625" style="63" customWidth="1"/>
    <col min="532" max="532" width="15.7109375" style="63" bestFit="1" customWidth="1"/>
    <col min="533" max="533" width="15.5703125" style="63" customWidth="1"/>
    <col min="534" max="770" width="9.140625" style="63"/>
    <col min="771" max="771" width="19" style="63" customWidth="1"/>
    <col min="772" max="772" width="8.5703125" style="63" customWidth="1"/>
    <col min="773" max="776" width="17.7109375" style="63" customWidth="1"/>
    <col min="777" max="777" width="19.28515625" style="63" customWidth="1"/>
    <col min="778" max="783" width="17.7109375" style="63" customWidth="1"/>
    <col min="784" max="784" width="19.42578125" style="63" customWidth="1"/>
    <col min="785" max="785" width="40.7109375" style="63" customWidth="1"/>
    <col min="786" max="786" width="18.7109375" style="63" customWidth="1"/>
    <col min="787" max="787" width="21.28515625" style="63" customWidth="1"/>
    <col min="788" max="788" width="15.7109375" style="63" bestFit="1" customWidth="1"/>
    <col min="789" max="789" width="15.5703125" style="63" customWidth="1"/>
    <col min="790" max="1026" width="9.140625" style="63"/>
    <col min="1027" max="1027" width="19" style="63" customWidth="1"/>
    <col min="1028" max="1028" width="8.5703125" style="63" customWidth="1"/>
    <col min="1029" max="1032" width="17.7109375" style="63" customWidth="1"/>
    <col min="1033" max="1033" width="19.28515625" style="63" customWidth="1"/>
    <col min="1034" max="1039" width="17.7109375" style="63" customWidth="1"/>
    <col min="1040" max="1040" width="19.42578125" style="63" customWidth="1"/>
    <col min="1041" max="1041" width="40.7109375" style="63" customWidth="1"/>
    <col min="1042" max="1042" width="18.7109375" style="63" customWidth="1"/>
    <col min="1043" max="1043" width="21.28515625" style="63" customWidth="1"/>
    <col min="1044" max="1044" width="15.7109375" style="63" bestFit="1" customWidth="1"/>
    <col min="1045" max="1045" width="15.5703125" style="63" customWidth="1"/>
    <col min="1046" max="1282" width="9.140625" style="63"/>
    <col min="1283" max="1283" width="19" style="63" customWidth="1"/>
    <col min="1284" max="1284" width="8.5703125" style="63" customWidth="1"/>
    <col min="1285" max="1288" width="17.7109375" style="63" customWidth="1"/>
    <col min="1289" max="1289" width="19.28515625" style="63" customWidth="1"/>
    <col min="1290" max="1295" width="17.7109375" style="63" customWidth="1"/>
    <col min="1296" max="1296" width="19.42578125" style="63" customWidth="1"/>
    <col min="1297" max="1297" width="40.7109375" style="63" customWidth="1"/>
    <col min="1298" max="1298" width="18.7109375" style="63" customWidth="1"/>
    <col min="1299" max="1299" width="21.28515625" style="63" customWidth="1"/>
    <col min="1300" max="1300" width="15.7109375" style="63" bestFit="1" customWidth="1"/>
    <col min="1301" max="1301" width="15.5703125" style="63" customWidth="1"/>
    <col min="1302" max="1538" width="9.140625" style="63"/>
    <col min="1539" max="1539" width="19" style="63" customWidth="1"/>
    <col min="1540" max="1540" width="8.5703125" style="63" customWidth="1"/>
    <col min="1541" max="1544" width="17.7109375" style="63" customWidth="1"/>
    <col min="1545" max="1545" width="19.28515625" style="63" customWidth="1"/>
    <col min="1546" max="1551" width="17.7109375" style="63" customWidth="1"/>
    <col min="1552" max="1552" width="19.42578125" style="63" customWidth="1"/>
    <col min="1553" max="1553" width="40.7109375" style="63" customWidth="1"/>
    <col min="1554" max="1554" width="18.7109375" style="63" customWidth="1"/>
    <col min="1555" max="1555" width="21.28515625" style="63" customWidth="1"/>
    <col min="1556" max="1556" width="15.7109375" style="63" bestFit="1" customWidth="1"/>
    <col min="1557" max="1557" width="15.5703125" style="63" customWidth="1"/>
    <col min="1558" max="1794" width="9.140625" style="63"/>
    <col min="1795" max="1795" width="19" style="63" customWidth="1"/>
    <col min="1796" max="1796" width="8.5703125" style="63" customWidth="1"/>
    <col min="1797" max="1800" width="17.7109375" style="63" customWidth="1"/>
    <col min="1801" max="1801" width="19.28515625" style="63" customWidth="1"/>
    <col min="1802" max="1807" width="17.7109375" style="63" customWidth="1"/>
    <col min="1808" max="1808" width="19.42578125" style="63" customWidth="1"/>
    <col min="1809" max="1809" width="40.7109375" style="63" customWidth="1"/>
    <col min="1810" max="1810" width="18.7109375" style="63" customWidth="1"/>
    <col min="1811" max="1811" width="21.28515625" style="63" customWidth="1"/>
    <col min="1812" max="1812" width="15.7109375" style="63" bestFit="1" customWidth="1"/>
    <col min="1813" max="1813" width="15.5703125" style="63" customWidth="1"/>
    <col min="1814" max="2050" width="9.140625" style="63"/>
    <col min="2051" max="2051" width="19" style="63" customWidth="1"/>
    <col min="2052" max="2052" width="8.5703125" style="63" customWidth="1"/>
    <col min="2053" max="2056" width="17.7109375" style="63" customWidth="1"/>
    <col min="2057" max="2057" width="19.28515625" style="63" customWidth="1"/>
    <col min="2058" max="2063" width="17.7109375" style="63" customWidth="1"/>
    <col min="2064" max="2064" width="19.42578125" style="63" customWidth="1"/>
    <col min="2065" max="2065" width="40.7109375" style="63" customWidth="1"/>
    <col min="2066" max="2066" width="18.7109375" style="63" customWidth="1"/>
    <col min="2067" max="2067" width="21.28515625" style="63" customWidth="1"/>
    <col min="2068" max="2068" width="15.7109375" style="63" bestFit="1" customWidth="1"/>
    <col min="2069" max="2069" width="15.5703125" style="63" customWidth="1"/>
    <col min="2070" max="2306" width="9.140625" style="63"/>
    <col min="2307" max="2307" width="19" style="63" customWidth="1"/>
    <col min="2308" max="2308" width="8.5703125" style="63" customWidth="1"/>
    <col min="2309" max="2312" width="17.7109375" style="63" customWidth="1"/>
    <col min="2313" max="2313" width="19.28515625" style="63" customWidth="1"/>
    <col min="2314" max="2319" width="17.7109375" style="63" customWidth="1"/>
    <col min="2320" max="2320" width="19.42578125" style="63" customWidth="1"/>
    <col min="2321" max="2321" width="40.7109375" style="63" customWidth="1"/>
    <col min="2322" max="2322" width="18.7109375" style="63" customWidth="1"/>
    <col min="2323" max="2323" width="21.28515625" style="63" customWidth="1"/>
    <col min="2324" max="2324" width="15.7109375" style="63" bestFit="1" customWidth="1"/>
    <col min="2325" max="2325" width="15.5703125" style="63" customWidth="1"/>
    <col min="2326" max="2562" width="9.140625" style="63"/>
    <col min="2563" max="2563" width="19" style="63" customWidth="1"/>
    <col min="2564" max="2564" width="8.5703125" style="63" customWidth="1"/>
    <col min="2565" max="2568" width="17.7109375" style="63" customWidth="1"/>
    <col min="2569" max="2569" width="19.28515625" style="63" customWidth="1"/>
    <col min="2570" max="2575" width="17.7109375" style="63" customWidth="1"/>
    <col min="2576" max="2576" width="19.42578125" style="63" customWidth="1"/>
    <col min="2577" max="2577" width="40.7109375" style="63" customWidth="1"/>
    <col min="2578" max="2578" width="18.7109375" style="63" customWidth="1"/>
    <col min="2579" max="2579" width="21.28515625" style="63" customWidth="1"/>
    <col min="2580" max="2580" width="15.7109375" style="63" bestFit="1" customWidth="1"/>
    <col min="2581" max="2581" width="15.5703125" style="63" customWidth="1"/>
    <col min="2582" max="2818" width="9.140625" style="63"/>
    <col min="2819" max="2819" width="19" style="63" customWidth="1"/>
    <col min="2820" max="2820" width="8.5703125" style="63" customWidth="1"/>
    <col min="2821" max="2824" width="17.7109375" style="63" customWidth="1"/>
    <col min="2825" max="2825" width="19.28515625" style="63" customWidth="1"/>
    <col min="2826" max="2831" width="17.7109375" style="63" customWidth="1"/>
    <col min="2832" max="2832" width="19.42578125" style="63" customWidth="1"/>
    <col min="2833" max="2833" width="40.7109375" style="63" customWidth="1"/>
    <col min="2834" max="2834" width="18.7109375" style="63" customWidth="1"/>
    <col min="2835" max="2835" width="21.28515625" style="63" customWidth="1"/>
    <col min="2836" max="2836" width="15.7109375" style="63" bestFit="1" customWidth="1"/>
    <col min="2837" max="2837" width="15.5703125" style="63" customWidth="1"/>
    <col min="2838" max="3074" width="9.140625" style="63"/>
    <col min="3075" max="3075" width="19" style="63" customWidth="1"/>
    <col min="3076" max="3076" width="8.5703125" style="63" customWidth="1"/>
    <col min="3077" max="3080" width="17.7109375" style="63" customWidth="1"/>
    <col min="3081" max="3081" width="19.28515625" style="63" customWidth="1"/>
    <col min="3082" max="3087" width="17.7109375" style="63" customWidth="1"/>
    <col min="3088" max="3088" width="19.42578125" style="63" customWidth="1"/>
    <col min="3089" max="3089" width="40.7109375" style="63" customWidth="1"/>
    <col min="3090" max="3090" width="18.7109375" style="63" customWidth="1"/>
    <col min="3091" max="3091" width="21.28515625" style="63" customWidth="1"/>
    <col min="3092" max="3092" width="15.7109375" style="63" bestFit="1" customWidth="1"/>
    <col min="3093" max="3093" width="15.5703125" style="63" customWidth="1"/>
    <col min="3094" max="3330" width="9.140625" style="63"/>
    <col min="3331" max="3331" width="19" style="63" customWidth="1"/>
    <col min="3332" max="3332" width="8.5703125" style="63" customWidth="1"/>
    <col min="3333" max="3336" width="17.7109375" style="63" customWidth="1"/>
    <col min="3337" max="3337" width="19.28515625" style="63" customWidth="1"/>
    <col min="3338" max="3343" width="17.7109375" style="63" customWidth="1"/>
    <col min="3344" max="3344" width="19.42578125" style="63" customWidth="1"/>
    <col min="3345" max="3345" width="40.7109375" style="63" customWidth="1"/>
    <col min="3346" max="3346" width="18.7109375" style="63" customWidth="1"/>
    <col min="3347" max="3347" width="21.28515625" style="63" customWidth="1"/>
    <col min="3348" max="3348" width="15.7109375" style="63" bestFit="1" customWidth="1"/>
    <col min="3349" max="3349" width="15.5703125" style="63" customWidth="1"/>
    <col min="3350" max="3586" width="9.140625" style="63"/>
    <col min="3587" max="3587" width="19" style="63" customWidth="1"/>
    <col min="3588" max="3588" width="8.5703125" style="63" customWidth="1"/>
    <col min="3589" max="3592" width="17.7109375" style="63" customWidth="1"/>
    <col min="3593" max="3593" width="19.28515625" style="63" customWidth="1"/>
    <col min="3594" max="3599" width="17.7109375" style="63" customWidth="1"/>
    <col min="3600" max="3600" width="19.42578125" style="63" customWidth="1"/>
    <col min="3601" max="3601" width="40.7109375" style="63" customWidth="1"/>
    <col min="3602" max="3602" width="18.7109375" style="63" customWidth="1"/>
    <col min="3603" max="3603" width="21.28515625" style="63" customWidth="1"/>
    <col min="3604" max="3604" width="15.7109375" style="63" bestFit="1" customWidth="1"/>
    <col min="3605" max="3605" width="15.5703125" style="63" customWidth="1"/>
    <col min="3606" max="3842" width="9.140625" style="63"/>
    <col min="3843" max="3843" width="19" style="63" customWidth="1"/>
    <col min="3844" max="3844" width="8.5703125" style="63" customWidth="1"/>
    <col min="3845" max="3848" width="17.7109375" style="63" customWidth="1"/>
    <col min="3849" max="3849" width="19.28515625" style="63" customWidth="1"/>
    <col min="3850" max="3855" width="17.7109375" style="63" customWidth="1"/>
    <col min="3856" max="3856" width="19.42578125" style="63" customWidth="1"/>
    <col min="3857" max="3857" width="40.7109375" style="63" customWidth="1"/>
    <col min="3858" max="3858" width="18.7109375" style="63" customWidth="1"/>
    <col min="3859" max="3859" width="21.28515625" style="63" customWidth="1"/>
    <col min="3860" max="3860" width="15.7109375" style="63" bestFit="1" customWidth="1"/>
    <col min="3861" max="3861" width="15.5703125" style="63" customWidth="1"/>
    <col min="3862" max="4098" width="9.140625" style="63"/>
    <col min="4099" max="4099" width="19" style="63" customWidth="1"/>
    <col min="4100" max="4100" width="8.5703125" style="63" customWidth="1"/>
    <col min="4101" max="4104" width="17.7109375" style="63" customWidth="1"/>
    <col min="4105" max="4105" width="19.28515625" style="63" customWidth="1"/>
    <col min="4106" max="4111" width="17.7109375" style="63" customWidth="1"/>
    <col min="4112" max="4112" width="19.42578125" style="63" customWidth="1"/>
    <col min="4113" max="4113" width="40.7109375" style="63" customWidth="1"/>
    <col min="4114" max="4114" width="18.7109375" style="63" customWidth="1"/>
    <col min="4115" max="4115" width="21.28515625" style="63" customWidth="1"/>
    <col min="4116" max="4116" width="15.7109375" style="63" bestFit="1" customWidth="1"/>
    <col min="4117" max="4117" width="15.5703125" style="63" customWidth="1"/>
    <col min="4118" max="4354" width="9.140625" style="63"/>
    <col min="4355" max="4355" width="19" style="63" customWidth="1"/>
    <col min="4356" max="4356" width="8.5703125" style="63" customWidth="1"/>
    <col min="4357" max="4360" width="17.7109375" style="63" customWidth="1"/>
    <col min="4361" max="4361" width="19.28515625" style="63" customWidth="1"/>
    <col min="4362" max="4367" width="17.7109375" style="63" customWidth="1"/>
    <col min="4368" max="4368" width="19.42578125" style="63" customWidth="1"/>
    <col min="4369" max="4369" width="40.7109375" style="63" customWidth="1"/>
    <col min="4370" max="4370" width="18.7109375" style="63" customWidth="1"/>
    <col min="4371" max="4371" width="21.28515625" style="63" customWidth="1"/>
    <col min="4372" max="4372" width="15.7109375" style="63" bestFit="1" customWidth="1"/>
    <col min="4373" max="4373" width="15.5703125" style="63" customWidth="1"/>
    <col min="4374" max="4610" width="9.140625" style="63"/>
    <col min="4611" max="4611" width="19" style="63" customWidth="1"/>
    <col min="4612" max="4612" width="8.5703125" style="63" customWidth="1"/>
    <col min="4613" max="4616" width="17.7109375" style="63" customWidth="1"/>
    <col min="4617" max="4617" width="19.28515625" style="63" customWidth="1"/>
    <col min="4618" max="4623" width="17.7109375" style="63" customWidth="1"/>
    <col min="4624" max="4624" width="19.42578125" style="63" customWidth="1"/>
    <col min="4625" max="4625" width="40.7109375" style="63" customWidth="1"/>
    <col min="4626" max="4626" width="18.7109375" style="63" customWidth="1"/>
    <col min="4627" max="4627" width="21.28515625" style="63" customWidth="1"/>
    <col min="4628" max="4628" width="15.7109375" style="63" bestFit="1" customWidth="1"/>
    <col min="4629" max="4629" width="15.5703125" style="63" customWidth="1"/>
    <col min="4630" max="4866" width="9.140625" style="63"/>
    <col min="4867" max="4867" width="19" style="63" customWidth="1"/>
    <col min="4868" max="4868" width="8.5703125" style="63" customWidth="1"/>
    <col min="4869" max="4872" width="17.7109375" style="63" customWidth="1"/>
    <col min="4873" max="4873" width="19.28515625" style="63" customWidth="1"/>
    <col min="4874" max="4879" width="17.7109375" style="63" customWidth="1"/>
    <col min="4880" max="4880" width="19.42578125" style="63" customWidth="1"/>
    <col min="4881" max="4881" width="40.7109375" style="63" customWidth="1"/>
    <col min="4882" max="4882" width="18.7109375" style="63" customWidth="1"/>
    <col min="4883" max="4883" width="21.28515625" style="63" customWidth="1"/>
    <col min="4884" max="4884" width="15.7109375" style="63" bestFit="1" customWidth="1"/>
    <col min="4885" max="4885" width="15.5703125" style="63" customWidth="1"/>
    <col min="4886" max="5122" width="9.140625" style="63"/>
    <col min="5123" max="5123" width="19" style="63" customWidth="1"/>
    <col min="5124" max="5124" width="8.5703125" style="63" customWidth="1"/>
    <col min="5125" max="5128" width="17.7109375" style="63" customWidth="1"/>
    <col min="5129" max="5129" width="19.28515625" style="63" customWidth="1"/>
    <col min="5130" max="5135" width="17.7109375" style="63" customWidth="1"/>
    <col min="5136" max="5136" width="19.42578125" style="63" customWidth="1"/>
    <col min="5137" max="5137" width="40.7109375" style="63" customWidth="1"/>
    <col min="5138" max="5138" width="18.7109375" style="63" customWidth="1"/>
    <col min="5139" max="5139" width="21.28515625" style="63" customWidth="1"/>
    <col min="5140" max="5140" width="15.7109375" style="63" bestFit="1" customWidth="1"/>
    <col min="5141" max="5141" width="15.5703125" style="63" customWidth="1"/>
    <col min="5142" max="5378" width="9.140625" style="63"/>
    <col min="5379" max="5379" width="19" style="63" customWidth="1"/>
    <col min="5380" max="5380" width="8.5703125" style="63" customWidth="1"/>
    <col min="5381" max="5384" width="17.7109375" style="63" customWidth="1"/>
    <col min="5385" max="5385" width="19.28515625" style="63" customWidth="1"/>
    <col min="5386" max="5391" width="17.7109375" style="63" customWidth="1"/>
    <col min="5392" max="5392" width="19.42578125" style="63" customWidth="1"/>
    <col min="5393" max="5393" width="40.7109375" style="63" customWidth="1"/>
    <col min="5394" max="5394" width="18.7109375" style="63" customWidth="1"/>
    <col min="5395" max="5395" width="21.28515625" style="63" customWidth="1"/>
    <col min="5396" max="5396" width="15.7109375" style="63" bestFit="1" customWidth="1"/>
    <col min="5397" max="5397" width="15.5703125" style="63" customWidth="1"/>
    <col min="5398" max="5634" width="9.140625" style="63"/>
    <col min="5635" max="5635" width="19" style="63" customWidth="1"/>
    <col min="5636" max="5636" width="8.5703125" style="63" customWidth="1"/>
    <col min="5637" max="5640" width="17.7109375" style="63" customWidth="1"/>
    <col min="5641" max="5641" width="19.28515625" style="63" customWidth="1"/>
    <col min="5642" max="5647" width="17.7109375" style="63" customWidth="1"/>
    <col min="5648" max="5648" width="19.42578125" style="63" customWidth="1"/>
    <col min="5649" max="5649" width="40.7109375" style="63" customWidth="1"/>
    <col min="5650" max="5650" width="18.7109375" style="63" customWidth="1"/>
    <col min="5651" max="5651" width="21.28515625" style="63" customWidth="1"/>
    <col min="5652" max="5652" width="15.7109375" style="63" bestFit="1" customWidth="1"/>
    <col min="5653" max="5653" width="15.5703125" style="63" customWidth="1"/>
    <col min="5654" max="5890" width="9.140625" style="63"/>
    <col min="5891" max="5891" width="19" style="63" customWidth="1"/>
    <col min="5892" max="5892" width="8.5703125" style="63" customWidth="1"/>
    <col min="5893" max="5896" width="17.7109375" style="63" customWidth="1"/>
    <col min="5897" max="5897" width="19.28515625" style="63" customWidth="1"/>
    <col min="5898" max="5903" width="17.7109375" style="63" customWidth="1"/>
    <col min="5904" max="5904" width="19.42578125" style="63" customWidth="1"/>
    <col min="5905" max="5905" width="40.7109375" style="63" customWidth="1"/>
    <col min="5906" max="5906" width="18.7109375" style="63" customWidth="1"/>
    <col min="5907" max="5907" width="21.28515625" style="63" customWidth="1"/>
    <col min="5908" max="5908" width="15.7109375" style="63" bestFit="1" customWidth="1"/>
    <col min="5909" max="5909" width="15.5703125" style="63" customWidth="1"/>
    <col min="5910" max="6146" width="9.140625" style="63"/>
    <col min="6147" max="6147" width="19" style="63" customWidth="1"/>
    <col min="6148" max="6148" width="8.5703125" style="63" customWidth="1"/>
    <col min="6149" max="6152" width="17.7109375" style="63" customWidth="1"/>
    <col min="6153" max="6153" width="19.28515625" style="63" customWidth="1"/>
    <col min="6154" max="6159" width="17.7109375" style="63" customWidth="1"/>
    <col min="6160" max="6160" width="19.42578125" style="63" customWidth="1"/>
    <col min="6161" max="6161" width="40.7109375" style="63" customWidth="1"/>
    <col min="6162" max="6162" width="18.7109375" style="63" customWidth="1"/>
    <col min="6163" max="6163" width="21.28515625" style="63" customWidth="1"/>
    <col min="6164" max="6164" width="15.7109375" style="63" bestFit="1" customWidth="1"/>
    <col min="6165" max="6165" width="15.5703125" style="63" customWidth="1"/>
    <col min="6166" max="6402" width="9.140625" style="63"/>
    <col min="6403" max="6403" width="19" style="63" customWidth="1"/>
    <col min="6404" max="6404" width="8.5703125" style="63" customWidth="1"/>
    <col min="6405" max="6408" width="17.7109375" style="63" customWidth="1"/>
    <col min="6409" max="6409" width="19.28515625" style="63" customWidth="1"/>
    <col min="6410" max="6415" width="17.7109375" style="63" customWidth="1"/>
    <col min="6416" max="6416" width="19.42578125" style="63" customWidth="1"/>
    <col min="6417" max="6417" width="40.7109375" style="63" customWidth="1"/>
    <col min="6418" max="6418" width="18.7109375" style="63" customWidth="1"/>
    <col min="6419" max="6419" width="21.28515625" style="63" customWidth="1"/>
    <col min="6420" max="6420" width="15.7109375" style="63" bestFit="1" customWidth="1"/>
    <col min="6421" max="6421" width="15.5703125" style="63" customWidth="1"/>
    <col min="6422" max="6658" width="9.140625" style="63"/>
    <col min="6659" max="6659" width="19" style="63" customWidth="1"/>
    <col min="6660" max="6660" width="8.5703125" style="63" customWidth="1"/>
    <col min="6661" max="6664" width="17.7109375" style="63" customWidth="1"/>
    <col min="6665" max="6665" width="19.28515625" style="63" customWidth="1"/>
    <col min="6666" max="6671" width="17.7109375" style="63" customWidth="1"/>
    <col min="6672" max="6672" width="19.42578125" style="63" customWidth="1"/>
    <col min="6673" max="6673" width="40.7109375" style="63" customWidth="1"/>
    <col min="6674" max="6674" width="18.7109375" style="63" customWidth="1"/>
    <col min="6675" max="6675" width="21.28515625" style="63" customWidth="1"/>
    <col min="6676" max="6676" width="15.7109375" style="63" bestFit="1" customWidth="1"/>
    <col min="6677" max="6677" width="15.5703125" style="63" customWidth="1"/>
    <col min="6678" max="6914" width="9.140625" style="63"/>
    <col min="6915" max="6915" width="19" style="63" customWidth="1"/>
    <col min="6916" max="6916" width="8.5703125" style="63" customWidth="1"/>
    <col min="6917" max="6920" width="17.7109375" style="63" customWidth="1"/>
    <col min="6921" max="6921" width="19.28515625" style="63" customWidth="1"/>
    <col min="6922" max="6927" width="17.7109375" style="63" customWidth="1"/>
    <col min="6928" max="6928" width="19.42578125" style="63" customWidth="1"/>
    <col min="6929" max="6929" width="40.7109375" style="63" customWidth="1"/>
    <col min="6930" max="6930" width="18.7109375" style="63" customWidth="1"/>
    <col min="6931" max="6931" width="21.28515625" style="63" customWidth="1"/>
    <col min="6932" max="6932" width="15.7109375" style="63" bestFit="1" customWidth="1"/>
    <col min="6933" max="6933" width="15.5703125" style="63" customWidth="1"/>
    <col min="6934" max="7170" width="9.140625" style="63"/>
    <col min="7171" max="7171" width="19" style="63" customWidth="1"/>
    <col min="7172" max="7172" width="8.5703125" style="63" customWidth="1"/>
    <col min="7173" max="7176" width="17.7109375" style="63" customWidth="1"/>
    <col min="7177" max="7177" width="19.28515625" style="63" customWidth="1"/>
    <col min="7178" max="7183" width="17.7109375" style="63" customWidth="1"/>
    <col min="7184" max="7184" width="19.42578125" style="63" customWidth="1"/>
    <col min="7185" max="7185" width="40.7109375" style="63" customWidth="1"/>
    <col min="7186" max="7186" width="18.7109375" style="63" customWidth="1"/>
    <col min="7187" max="7187" width="21.28515625" style="63" customWidth="1"/>
    <col min="7188" max="7188" width="15.7109375" style="63" bestFit="1" customWidth="1"/>
    <col min="7189" max="7189" width="15.5703125" style="63" customWidth="1"/>
    <col min="7190" max="7426" width="9.140625" style="63"/>
    <col min="7427" max="7427" width="19" style="63" customWidth="1"/>
    <col min="7428" max="7428" width="8.5703125" style="63" customWidth="1"/>
    <col min="7429" max="7432" width="17.7109375" style="63" customWidth="1"/>
    <col min="7433" max="7433" width="19.28515625" style="63" customWidth="1"/>
    <col min="7434" max="7439" width="17.7109375" style="63" customWidth="1"/>
    <col min="7440" max="7440" width="19.42578125" style="63" customWidth="1"/>
    <col min="7441" max="7441" width="40.7109375" style="63" customWidth="1"/>
    <col min="7442" max="7442" width="18.7109375" style="63" customWidth="1"/>
    <col min="7443" max="7443" width="21.28515625" style="63" customWidth="1"/>
    <col min="7444" max="7444" width="15.7109375" style="63" bestFit="1" customWidth="1"/>
    <col min="7445" max="7445" width="15.5703125" style="63" customWidth="1"/>
    <col min="7446" max="7682" width="9.140625" style="63"/>
    <col min="7683" max="7683" width="19" style="63" customWidth="1"/>
    <col min="7684" max="7684" width="8.5703125" style="63" customWidth="1"/>
    <col min="7685" max="7688" width="17.7109375" style="63" customWidth="1"/>
    <col min="7689" max="7689" width="19.28515625" style="63" customWidth="1"/>
    <col min="7690" max="7695" width="17.7109375" style="63" customWidth="1"/>
    <col min="7696" max="7696" width="19.42578125" style="63" customWidth="1"/>
    <col min="7697" max="7697" width="40.7109375" style="63" customWidth="1"/>
    <col min="7698" max="7698" width="18.7109375" style="63" customWidth="1"/>
    <col min="7699" max="7699" width="21.28515625" style="63" customWidth="1"/>
    <col min="7700" max="7700" width="15.7109375" style="63" bestFit="1" customWidth="1"/>
    <col min="7701" max="7701" width="15.5703125" style="63" customWidth="1"/>
    <col min="7702" max="7938" width="9.140625" style="63"/>
    <col min="7939" max="7939" width="19" style="63" customWidth="1"/>
    <col min="7940" max="7940" width="8.5703125" style="63" customWidth="1"/>
    <col min="7941" max="7944" width="17.7109375" style="63" customWidth="1"/>
    <col min="7945" max="7945" width="19.28515625" style="63" customWidth="1"/>
    <col min="7946" max="7951" width="17.7109375" style="63" customWidth="1"/>
    <col min="7952" max="7952" width="19.42578125" style="63" customWidth="1"/>
    <col min="7953" max="7953" width="40.7109375" style="63" customWidth="1"/>
    <col min="7954" max="7954" width="18.7109375" style="63" customWidth="1"/>
    <col min="7955" max="7955" width="21.28515625" style="63" customWidth="1"/>
    <col min="7956" max="7956" width="15.7109375" style="63" bestFit="1" customWidth="1"/>
    <col min="7957" max="7957" width="15.5703125" style="63" customWidth="1"/>
    <col min="7958" max="8194" width="9.140625" style="63"/>
    <col min="8195" max="8195" width="19" style="63" customWidth="1"/>
    <col min="8196" max="8196" width="8.5703125" style="63" customWidth="1"/>
    <col min="8197" max="8200" width="17.7109375" style="63" customWidth="1"/>
    <col min="8201" max="8201" width="19.28515625" style="63" customWidth="1"/>
    <col min="8202" max="8207" width="17.7109375" style="63" customWidth="1"/>
    <col min="8208" max="8208" width="19.42578125" style="63" customWidth="1"/>
    <col min="8209" max="8209" width="40.7109375" style="63" customWidth="1"/>
    <col min="8210" max="8210" width="18.7109375" style="63" customWidth="1"/>
    <col min="8211" max="8211" width="21.28515625" style="63" customWidth="1"/>
    <col min="8212" max="8212" width="15.7109375" style="63" bestFit="1" customWidth="1"/>
    <col min="8213" max="8213" width="15.5703125" style="63" customWidth="1"/>
    <col min="8214" max="8450" width="9.140625" style="63"/>
    <col min="8451" max="8451" width="19" style="63" customWidth="1"/>
    <col min="8452" max="8452" width="8.5703125" style="63" customWidth="1"/>
    <col min="8453" max="8456" width="17.7109375" style="63" customWidth="1"/>
    <col min="8457" max="8457" width="19.28515625" style="63" customWidth="1"/>
    <col min="8458" max="8463" width="17.7109375" style="63" customWidth="1"/>
    <col min="8464" max="8464" width="19.42578125" style="63" customWidth="1"/>
    <col min="8465" max="8465" width="40.7109375" style="63" customWidth="1"/>
    <col min="8466" max="8466" width="18.7109375" style="63" customWidth="1"/>
    <col min="8467" max="8467" width="21.28515625" style="63" customWidth="1"/>
    <col min="8468" max="8468" width="15.7109375" style="63" bestFit="1" customWidth="1"/>
    <col min="8469" max="8469" width="15.5703125" style="63" customWidth="1"/>
    <col min="8470" max="8706" width="9.140625" style="63"/>
    <col min="8707" max="8707" width="19" style="63" customWidth="1"/>
    <col min="8708" max="8708" width="8.5703125" style="63" customWidth="1"/>
    <col min="8709" max="8712" width="17.7109375" style="63" customWidth="1"/>
    <col min="8713" max="8713" width="19.28515625" style="63" customWidth="1"/>
    <col min="8714" max="8719" width="17.7109375" style="63" customWidth="1"/>
    <col min="8720" max="8720" width="19.42578125" style="63" customWidth="1"/>
    <col min="8721" max="8721" width="40.7109375" style="63" customWidth="1"/>
    <col min="8722" max="8722" width="18.7109375" style="63" customWidth="1"/>
    <col min="8723" max="8723" width="21.28515625" style="63" customWidth="1"/>
    <col min="8724" max="8724" width="15.7109375" style="63" bestFit="1" customWidth="1"/>
    <col min="8725" max="8725" width="15.5703125" style="63" customWidth="1"/>
    <col min="8726" max="8962" width="9.140625" style="63"/>
    <col min="8963" max="8963" width="19" style="63" customWidth="1"/>
    <col min="8964" max="8964" width="8.5703125" style="63" customWidth="1"/>
    <col min="8965" max="8968" width="17.7109375" style="63" customWidth="1"/>
    <col min="8969" max="8969" width="19.28515625" style="63" customWidth="1"/>
    <col min="8970" max="8975" width="17.7109375" style="63" customWidth="1"/>
    <col min="8976" max="8976" width="19.42578125" style="63" customWidth="1"/>
    <col min="8977" max="8977" width="40.7109375" style="63" customWidth="1"/>
    <col min="8978" max="8978" width="18.7109375" style="63" customWidth="1"/>
    <col min="8979" max="8979" width="21.28515625" style="63" customWidth="1"/>
    <col min="8980" max="8980" width="15.7109375" style="63" bestFit="1" customWidth="1"/>
    <col min="8981" max="8981" width="15.5703125" style="63" customWidth="1"/>
    <col min="8982" max="9218" width="9.140625" style="63"/>
    <col min="9219" max="9219" width="19" style="63" customWidth="1"/>
    <col min="9220" max="9220" width="8.5703125" style="63" customWidth="1"/>
    <col min="9221" max="9224" width="17.7109375" style="63" customWidth="1"/>
    <col min="9225" max="9225" width="19.28515625" style="63" customWidth="1"/>
    <col min="9226" max="9231" width="17.7109375" style="63" customWidth="1"/>
    <col min="9232" max="9232" width="19.42578125" style="63" customWidth="1"/>
    <col min="9233" max="9233" width="40.7109375" style="63" customWidth="1"/>
    <col min="9234" max="9234" width="18.7109375" style="63" customWidth="1"/>
    <col min="9235" max="9235" width="21.28515625" style="63" customWidth="1"/>
    <col min="9236" max="9236" width="15.7109375" style="63" bestFit="1" customWidth="1"/>
    <col min="9237" max="9237" width="15.5703125" style="63" customWidth="1"/>
    <col min="9238" max="9474" width="9.140625" style="63"/>
    <col min="9475" max="9475" width="19" style="63" customWidth="1"/>
    <col min="9476" max="9476" width="8.5703125" style="63" customWidth="1"/>
    <col min="9477" max="9480" width="17.7109375" style="63" customWidth="1"/>
    <col min="9481" max="9481" width="19.28515625" style="63" customWidth="1"/>
    <col min="9482" max="9487" width="17.7109375" style="63" customWidth="1"/>
    <col min="9488" max="9488" width="19.42578125" style="63" customWidth="1"/>
    <col min="9489" max="9489" width="40.7109375" style="63" customWidth="1"/>
    <col min="9490" max="9490" width="18.7109375" style="63" customWidth="1"/>
    <col min="9491" max="9491" width="21.28515625" style="63" customWidth="1"/>
    <col min="9492" max="9492" width="15.7109375" style="63" bestFit="1" customWidth="1"/>
    <col min="9493" max="9493" width="15.5703125" style="63" customWidth="1"/>
    <col min="9494" max="9730" width="9.140625" style="63"/>
    <col min="9731" max="9731" width="19" style="63" customWidth="1"/>
    <col min="9732" max="9732" width="8.5703125" style="63" customWidth="1"/>
    <col min="9733" max="9736" width="17.7109375" style="63" customWidth="1"/>
    <col min="9737" max="9737" width="19.28515625" style="63" customWidth="1"/>
    <col min="9738" max="9743" width="17.7109375" style="63" customWidth="1"/>
    <col min="9744" max="9744" width="19.42578125" style="63" customWidth="1"/>
    <col min="9745" max="9745" width="40.7109375" style="63" customWidth="1"/>
    <col min="9746" max="9746" width="18.7109375" style="63" customWidth="1"/>
    <col min="9747" max="9747" width="21.28515625" style="63" customWidth="1"/>
    <col min="9748" max="9748" width="15.7109375" style="63" bestFit="1" customWidth="1"/>
    <col min="9749" max="9749" width="15.5703125" style="63" customWidth="1"/>
    <col min="9750" max="9986" width="9.140625" style="63"/>
    <col min="9987" max="9987" width="19" style="63" customWidth="1"/>
    <col min="9988" max="9988" width="8.5703125" style="63" customWidth="1"/>
    <col min="9989" max="9992" width="17.7109375" style="63" customWidth="1"/>
    <col min="9993" max="9993" width="19.28515625" style="63" customWidth="1"/>
    <col min="9994" max="9999" width="17.7109375" style="63" customWidth="1"/>
    <col min="10000" max="10000" width="19.42578125" style="63" customWidth="1"/>
    <col min="10001" max="10001" width="40.7109375" style="63" customWidth="1"/>
    <col min="10002" max="10002" width="18.7109375" style="63" customWidth="1"/>
    <col min="10003" max="10003" width="21.28515625" style="63" customWidth="1"/>
    <col min="10004" max="10004" width="15.7109375" style="63" bestFit="1" customWidth="1"/>
    <col min="10005" max="10005" width="15.5703125" style="63" customWidth="1"/>
    <col min="10006" max="10242" width="9.140625" style="63"/>
    <col min="10243" max="10243" width="19" style="63" customWidth="1"/>
    <col min="10244" max="10244" width="8.5703125" style="63" customWidth="1"/>
    <col min="10245" max="10248" width="17.7109375" style="63" customWidth="1"/>
    <col min="10249" max="10249" width="19.28515625" style="63" customWidth="1"/>
    <col min="10250" max="10255" width="17.7109375" style="63" customWidth="1"/>
    <col min="10256" max="10256" width="19.42578125" style="63" customWidth="1"/>
    <col min="10257" max="10257" width="40.7109375" style="63" customWidth="1"/>
    <col min="10258" max="10258" width="18.7109375" style="63" customWidth="1"/>
    <col min="10259" max="10259" width="21.28515625" style="63" customWidth="1"/>
    <col min="10260" max="10260" width="15.7109375" style="63" bestFit="1" customWidth="1"/>
    <col min="10261" max="10261" width="15.5703125" style="63" customWidth="1"/>
    <col min="10262" max="10498" width="9.140625" style="63"/>
    <col min="10499" max="10499" width="19" style="63" customWidth="1"/>
    <col min="10500" max="10500" width="8.5703125" style="63" customWidth="1"/>
    <col min="10501" max="10504" width="17.7109375" style="63" customWidth="1"/>
    <col min="10505" max="10505" width="19.28515625" style="63" customWidth="1"/>
    <col min="10506" max="10511" width="17.7109375" style="63" customWidth="1"/>
    <col min="10512" max="10512" width="19.42578125" style="63" customWidth="1"/>
    <col min="10513" max="10513" width="40.7109375" style="63" customWidth="1"/>
    <col min="10514" max="10514" width="18.7109375" style="63" customWidth="1"/>
    <col min="10515" max="10515" width="21.28515625" style="63" customWidth="1"/>
    <col min="10516" max="10516" width="15.7109375" style="63" bestFit="1" customWidth="1"/>
    <col min="10517" max="10517" width="15.5703125" style="63" customWidth="1"/>
    <col min="10518" max="10754" width="9.140625" style="63"/>
    <col min="10755" max="10755" width="19" style="63" customWidth="1"/>
    <col min="10756" max="10756" width="8.5703125" style="63" customWidth="1"/>
    <col min="10757" max="10760" width="17.7109375" style="63" customWidth="1"/>
    <col min="10761" max="10761" width="19.28515625" style="63" customWidth="1"/>
    <col min="10762" max="10767" width="17.7109375" style="63" customWidth="1"/>
    <col min="10768" max="10768" width="19.42578125" style="63" customWidth="1"/>
    <col min="10769" max="10769" width="40.7109375" style="63" customWidth="1"/>
    <col min="10770" max="10770" width="18.7109375" style="63" customWidth="1"/>
    <col min="10771" max="10771" width="21.28515625" style="63" customWidth="1"/>
    <col min="10772" max="10772" width="15.7109375" style="63" bestFit="1" customWidth="1"/>
    <col min="10773" max="10773" width="15.5703125" style="63" customWidth="1"/>
    <col min="10774" max="11010" width="9.140625" style="63"/>
    <col min="11011" max="11011" width="19" style="63" customWidth="1"/>
    <col min="11012" max="11012" width="8.5703125" style="63" customWidth="1"/>
    <col min="11013" max="11016" width="17.7109375" style="63" customWidth="1"/>
    <col min="11017" max="11017" width="19.28515625" style="63" customWidth="1"/>
    <col min="11018" max="11023" width="17.7109375" style="63" customWidth="1"/>
    <col min="11024" max="11024" width="19.42578125" style="63" customWidth="1"/>
    <col min="11025" max="11025" width="40.7109375" style="63" customWidth="1"/>
    <col min="11026" max="11026" width="18.7109375" style="63" customWidth="1"/>
    <col min="11027" max="11027" width="21.28515625" style="63" customWidth="1"/>
    <col min="11028" max="11028" width="15.7109375" style="63" bestFit="1" customWidth="1"/>
    <col min="11029" max="11029" width="15.5703125" style="63" customWidth="1"/>
    <col min="11030" max="11266" width="9.140625" style="63"/>
    <col min="11267" max="11267" width="19" style="63" customWidth="1"/>
    <col min="11268" max="11268" width="8.5703125" style="63" customWidth="1"/>
    <col min="11269" max="11272" width="17.7109375" style="63" customWidth="1"/>
    <col min="11273" max="11273" width="19.28515625" style="63" customWidth="1"/>
    <col min="11274" max="11279" width="17.7109375" style="63" customWidth="1"/>
    <col min="11280" max="11280" width="19.42578125" style="63" customWidth="1"/>
    <col min="11281" max="11281" width="40.7109375" style="63" customWidth="1"/>
    <col min="11282" max="11282" width="18.7109375" style="63" customWidth="1"/>
    <col min="11283" max="11283" width="21.28515625" style="63" customWidth="1"/>
    <col min="11284" max="11284" width="15.7109375" style="63" bestFit="1" customWidth="1"/>
    <col min="11285" max="11285" width="15.5703125" style="63" customWidth="1"/>
    <col min="11286" max="11522" width="9.140625" style="63"/>
    <col min="11523" max="11523" width="19" style="63" customWidth="1"/>
    <col min="11524" max="11524" width="8.5703125" style="63" customWidth="1"/>
    <col min="11525" max="11528" width="17.7109375" style="63" customWidth="1"/>
    <col min="11529" max="11529" width="19.28515625" style="63" customWidth="1"/>
    <col min="11530" max="11535" width="17.7109375" style="63" customWidth="1"/>
    <col min="11536" max="11536" width="19.42578125" style="63" customWidth="1"/>
    <col min="11537" max="11537" width="40.7109375" style="63" customWidth="1"/>
    <col min="11538" max="11538" width="18.7109375" style="63" customWidth="1"/>
    <col min="11539" max="11539" width="21.28515625" style="63" customWidth="1"/>
    <col min="11540" max="11540" width="15.7109375" style="63" bestFit="1" customWidth="1"/>
    <col min="11541" max="11541" width="15.5703125" style="63" customWidth="1"/>
    <col min="11542" max="11778" width="9.140625" style="63"/>
    <col min="11779" max="11779" width="19" style="63" customWidth="1"/>
    <col min="11780" max="11780" width="8.5703125" style="63" customWidth="1"/>
    <col min="11781" max="11784" width="17.7109375" style="63" customWidth="1"/>
    <col min="11785" max="11785" width="19.28515625" style="63" customWidth="1"/>
    <col min="11786" max="11791" width="17.7109375" style="63" customWidth="1"/>
    <col min="11792" max="11792" width="19.42578125" style="63" customWidth="1"/>
    <col min="11793" max="11793" width="40.7109375" style="63" customWidth="1"/>
    <col min="11794" max="11794" width="18.7109375" style="63" customWidth="1"/>
    <col min="11795" max="11795" width="21.28515625" style="63" customWidth="1"/>
    <col min="11796" max="11796" width="15.7109375" style="63" bestFit="1" customWidth="1"/>
    <col min="11797" max="11797" width="15.5703125" style="63" customWidth="1"/>
    <col min="11798" max="12034" width="9.140625" style="63"/>
    <col min="12035" max="12035" width="19" style="63" customWidth="1"/>
    <col min="12036" max="12036" width="8.5703125" style="63" customWidth="1"/>
    <col min="12037" max="12040" width="17.7109375" style="63" customWidth="1"/>
    <col min="12041" max="12041" width="19.28515625" style="63" customWidth="1"/>
    <col min="12042" max="12047" width="17.7109375" style="63" customWidth="1"/>
    <col min="12048" max="12048" width="19.42578125" style="63" customWidth="1"/>
    <col min="12049" max="12049" width="40.7109375" style="63" customWidth="1"/>
    <col min="12050" max="12050" width="18.7109375" style="63" customWidth="1"/>
    <col min="12051" max="12051" width="21.28515625" style="63" customWidth="1"/>
    <col min="12052" max="12052" width="15.7109375" style="63" bestFit="1" customWidth="1"/>
    <col min="12053" max="12053" width="15.5703125" style="63" customWidth="1"/>
    <col min="12054" max="12290" width="9.140625" style="63"/>
    <col min="12291" max="12291" width="19" style="63" customWidth="1"/>
    <col min="12292" max="12292" width="8.5703125" style="63" customWidth="1"/>
    <col min="12293" max="12296" width="17.7109375" style="63" customWidth="1"/>
    <col min="12297" max="12297" width="19.28515625" style="63" customWidth="1"/>
    <col min="12298" max="12303" width="17.7109375" style="63" customWidth="1"/>
    <col min="12304" max="12304" width="19.42578125" style="63" customWidth="1"/>
    <col min="12305" max="12305" width="40.7109375" style="63" customWidth="1"/>
    <col min="12306" max="12306" width="18.7109375" style="63" customWidth="1"/>
    <col min="12307" max="12307" width="21.28515625" style="63" customWidth="1"/>
    <col min="12308" max="12308" width="15.7109375" style="63" bestFit="1" customWidth="1"/>
    <col min="12309" max="12309" width="15.5703125" style="63" customWidth="1"/>
    <col min="12310" max="12546" width="9.140625" style="63"/>
    <col min="12547" max="12547" width="19" style="63" customWidth="1"/>
    <col min="12548" max="12548" width="8.5703125" style="63" customWidth="1"/>
    <col min="12549" max="12552" width="17.7109375" style="63" customWidth="1"/>
    <col min="12553" max="12553" width="19.28515625" style="63" customWidth="1"/>
    <col min="12554" max="12559" width="17.7109375" style="63" customWidth="1"/>
    <col min="12560" max="12560" width="19.42578125" style="63" customWidth="1"/>
    <col min="12561" max="12561" width="40.7109375" style="63" customWidth="1"/>
    <col min="12562" max="12562" width="18.7109375" style="63" customWidth="1"/>
    <col min="12563" max="12563" width="21.28515625" style="63" customWidth="1"/>
    <col min="12564" max="12564" width="15.7109375" style="63" bestFit="1" customWidth="1"/>
    <col min="12565" max="12565" width="15.5703125" style="63" customWidth="1"/>
    <col min="12566" max="12802" width="9.140625" style="63"/>
    <col min="12803" max="12803" width="19" style="63" customWidth="1"/>
    <col min="12804" max="12804" width="8.5703125" style="63" customWidth="1"/>
    <col min="12805" max="12808" width="17.7109375" style="63" customWidth="1"/>
    <col min="12809" max="12809" width="19.28515625" style="63" customWidth="1"/>
    <col min="12810" max="12815" width="17.7109375" style="63" customWidth="1"/>
    <col min="12816" max="12816" width="19.42578125" style="63" customWidth="1"/>
    <col min="12817" max="12817" width="40.7109375" style="63" customWidth="1"/>
    <col min="12818" max="12818" width="18.7109375" style="63" customWidth="1"/>
    <col min="12819" max="12819" width="21.28515625" style="63" customWidth="1"/>
    <col min="12820" max="12820" width="15.7109375" style="63" bestFit="1" customWidth="1"/>
    <col min="12821" max="12821" width="15.5703125" style="63" customWidth="1"/>
    <col min="12822" max="13058" width="9.140625" style="63"/>
    <col min="13059" max="13059" width="19" style="63" customWidth="1"/>
    <col min="13060" max="13060" width="8.5703125" style="63" customWidth="1"/>
    <col min="13061" max="13064" width="17.7109375" style="63" customWidth="1"/>
    <col min="13065" max="13065" width="19.28515625" style="63" customWidth="1"/>
    <col min="13066" max="13071" width="17.7109375" style="63" customWidth="1"/>
    <col min="13072" max="13072" width="19.42578125" style="63" customWidth="1"/>
    <col min="13073" max="13073" width="40.7109375" style="63" customWidth="1"/>
    <col min="13074" max="13074" width="18.7109375" style="63" customWidth="1"/>
    <col min="13075" max="13075" width="21.28515625" style="63" customWidth="1"/>
    <col min="13076" max="13076" width="15.7109375" style="63" bestFit="1" customWidth="1"/>
    <col min="13077" max="13077" width="15.5703125" style="63" customWidth="1"/>
    <col min="13078" max="13314" width="9.140625" style="63"/>
    <col min="13315" max="13315" width="19" style="63" customWidth="1"/>
    <col min="13316" max="13316" width="8.5703125" style="63" customWidth="1"/>
    <col min="13317" max="13320" width="17.7109375" style="63" customWidth="1"/>
    <col min="13321" max="13321" width="19.28515625" style="63" customWidth="1"/>
    <col min="13322" max="13327" width="17.7109375" style="63" customWidth="1"/>
    <col min="13328" max="13328" width="19.42578125" style="63" customWidth="1"/>
    <col min="13329" max="13329" width="40.7109375" style="63" customWidth="1"/>
    <col min="13330" max="13330" width="18.7109375" style="63" customWidth="1"/>
    <col min="13331" max="13331" width="21.28515625" style="63" customWidth="1"/>
    <col min="13332" max="13332" width="15.7109375" style="63" bestFit="1" customWidth="1"/>
    <col min="13333" max="13333" width="15.5703125" style="63" customWidth="1"/>
    <col min="13334" max="13570" width="9.140625" style="63"/>
    <col min="13571" max="13571" width="19" style="63" customWidth="1"/>
    <col min="13572" max="13572" width="8.5703125" style="63" customWidth="1"/>
    <col min="13573" max="13576" width="17.7109375" style="63" customWidth="1"/>
    <col min="13577" max="13577" width="19.28515625" style="63" customWidth="1"/>
    <col min="13578" max="13583" width="17.7109375" style="63" customWidth="1"/>
    <col min="13584" max="13584" width="19.42578125" style="63" customWidth="1"/>
    <col min="13585" max="13585" width="40.7109375" style="63" customWidth="1"/>
    <col min="13586" max="13586" width="18.7109375" style="63" customWidth="1"/>
    <col min="13587" max="13587" width="21.28515625" style="63" customWidth="1"/>
    <col min="13588" max="13588" width="15.7109375" style="63" bestFit="1" customWidth="1"/>
    <col min="13589" max="13589" width="15.5703125" style="63" customWidth="1"/>
    <col min="13590" max="13826" width="9.140625" style="63"/>
    <col min="13827" max="13827" width="19" style="63" customWidth="1"/>
    <col min="13828" max="13828" width="8.5703125" style="63" customWidth="1"/>
    <col min="13829" max="13832" width="17.7109375" style="63" customWidth="1"/>
    <col min="13833" max="13833" width="19.28515625" style="63" customWidth="1"/>
    <col min="13834" max="13839" width="17.7109375" style="63" customWidth="1"/>
    <col min="13840" max="13840" width="19.42578125" style="63" customWidth="1"/>
    <col min="13841" max="13841" width="40.7109375" style="63" customWidth="1"/>
    <col min="13842" max="13842" width="18.7109375" style="63" customWidth="1"/>
    <col min="13843" max="13843" width="21.28515625" style="63" customWidth="1"/>
    <col min="13844" max="13844" width="15.7109375" style="63" bestFit="1" customWidth="1"/>
    <col min="13845" max="13845" width="15.5703125" style="63" customWidth="1"/>
    <col min="13846" max="14082" width="9.140625" style="63"/>
    <col min="14083" max="14083" width="19" style="63" customWidth="1"/>
    <col min="14084" max="14084" width="8.5703125" style="63" customWidth="1"/>
    <col min="14085" max="14088" width="17.7109375" style="63" customWidth="1"/>
    <col min="14089" max="14089" width="19.28515625" style="63" customWidth="1"/>
    <col min="14090" max="14095" width="17.7109375" style="63" customWidth="1"/>
    <col min="14096" max="14096" width="19.42578125" style="63" customWidth="1"/>
    <col min="14097" max="14097" width="40.7109375" style="63" customWidth="1"/>
    <col min="14098" max="14098" width="18.7109375" style="63" customWidth="1"/>
    <col min="14099" max="14099" width="21.28515625" style="63" customWidth="1"/>
    <col min="14100" max="14100" width="15.7109375" style="63" bestFit="1" customWidth="1"/>
    <col min="14101" max="14101" width="15.5703125" style="63" customWidth="1"/>
    <col min="14102" max="14338" width="9.140625" style="63"/>
    <col min="14339" max="14339" width="19" style="63" customWidth="1"/>
    <col min="14340" max="14340" width="8.5703125" style="63" customWidth="1"/>
    <col min="14341" max="14344" width="17.7109375" style="63" customWidth="1"/>
    <col min="14345" max="14345" width="19.28515625" style="63" customWidth="1"/>
    <col min="14346" max="14351" width="17.7109375" style="63" customWidth="1"/>
    <col min="14352" max="14352" width="19.42578125" style="63" customWidth="1"/>
    <col min="14353" max="14353" width="40.7109375" style="63" customWidth="1"/>
    <col min="14354" max="14354" width="18.7109375" style="63" customWidth="1"/>
    <col min="14355" max="14355" width="21.28515625" style="63" customWidth="1"/>
    <col min="14356" max="14356" width="15.7109375" style="63" bestFit="1" customWidth="1"/>
    <col min="14357" max="14357" width="15.5703125" style="63" customWidth="1"/>
    <col min="14358" max="14594" width="9.140625" style="63"/>
    <col min="14595" max="14595" width="19" style="63" customWidth="1"/>
    <col min="14596" max="14596" width="8.5703125" style="63" customWidth="1"/>
    <col min="14597" max="14600" width="17.7109375" style="63" customWidth="1"/>
    <col min="14601" max="14601" width="19.28515625" style="63" customWidth="1"/>
    <col min="14602" max="14607" width="17.7109375" style="63" customWidth="1"/>
    <col min="14608" max="14608" width="19.42578125" style="63" customWidth="1"/>
    <col min="14609" max="14609" width="40.7109375" style="63" customWidth="1"/>
    <col min="14610" max="14610" width="18.7109375" style="63" customWidth="1"/>
    <col min="14611" max="14611" width="21.28515625" style="63" customWidth="1"/>
    <col min="14612" max="14612" width="15.7109375" style="63" bestFit="1" customWidth="1"/>
    <col min="14613" max="14613" width="15.5703125" style="63" customWidth="1"/>
    <col min="14614" max="14850" width="9.140625" style="63"/>
    <col min="14851" max="14851" width="19" style="63" customWidth="1"/>
    <col min="14852" max="14852" width="8.5703125" style="63" customWidth="1"/>
    <col min="14853" max="14856" width="17.7109375" style="63" customWidth="1"/>
    <col min="14857" max="14857" width="19.28515625" style="63" customWidth="1"/>
    <col min="14858" max="14863" width="17.7109375" style="63" customWidth="1"/>
    <col min="14864" max="14864" width="19.42578125" style="63" customWidth="1"/>
    <col min="14865" max="14865" width="40.7109375" style="63" customWidth="1"/>
    <col min="14866" max="14866" width="18.7109375" style="63" customWidth="1"/>
    <col min="14867" max="14867" width="21.28515625" style="63" customWidth="1"/>
    <col min="14868" max="14868" width="15.7109375" style="63" bestFit="1" customWidth="1"/>
    <col min="14869" max="14869" width="15.5703125" style="63" customWidth="1"/>
    <col min="14870" max="15106" width="9.140625" style="63"/>
    <col min="15107" max="15107" width="19" style="63" customWidth="1"/>
    <col min="15108" max="15108" width="8.5703125" style="63" customWidth="1"/>
    <col min="15109" max="15112" width="17.7109375" style="63" customWidth="1"/>
    <col min="15113" max="15113" width="19.28515625" style="63" customWidth="1"/>
    <col min="15114" max="15119" width="17.7109375" style="63" customWidth="1"/>
    <col min="15120" max="15120" width="19.42578125" style="63" customWidth="1"/>
    <col min="15121" max="15121" width="40.7109375" style="63" customWidth="1"/>
    <col min="15122" max="15122" width="18.7109375" style="63" customWidth="1"/>
    <col min="15123" max="15123" width="21.28515625" style="63" customWidth="1"/>
    <col min="15124" max="15124" width="15.7109375" style="63" bestFit="1" customWidth="1"/>
    <col min="15125" max="15125" width="15.5703125" style="63" customWidth="1"/>
    <col min="15126" max="15362" width="9.140625" style="63"/>
    <col min="15363" max="15363" width="19" style="63" customWidth="1"/>
    <col min="15364" max="15364" width="8.5703125" style="63" customWidth="1"/>
    <col min="15365" max="15368" width="17.7109375" style="63" customWidth="1"/>
    <col min="15369" max="15369" width="19.28515625" style="63" customWidth="1"/>
    <col min="15370" max="15375" width="17.7109375" style="63" customWidth="1"/>
    <col min="15376" max="15376" width="19.42578125" style="63" customWidth="1"/>
    <col min="15377" max="15377" width="40.7109375" style="63" customWidth="1"/>
    <col min="15378" max="15378" width="18.7109375" style="63" customWidth="1"/>
    <col min="15379" max="15379" width="21.28515625" style="63" customWidth="1"/>
    <col min="15380" max="15380" width="15.7109375" style="63" bestFit="1" customWidth="1"/>
    <col min="15381" max="15381" width="15.5703125" style="63" customWidth="1"/>
    <col min="15382" max="15618" width="9.140625" style="63"/>
    <col min="15619" max="15619" width="19" style="63" customWidth="1"/>
    <col min="15620" max="15620" width="8.5703125" style="63" customWidth="1"/>
    <col min="15621" max="15624" width="17.7109375" style="63" customWidth="1"/>
    <col min="15625" max="15625" width="19.28515625" style="63" customWidth="1"/>
    <col min="15626" max="15631" width="17.7109375" style="63" customWidth="1"/>
    <col min="15632" max="15632" width="19.42578125" style="63" customWidth="1"/>
    <col min="15633" max="15633" width="40.7109375" style="63" customWidth="1"/>
    <col min="15634" max="15634" width="18.7109375" style="63" customWidth="1"/>
    <col min="15635" max="15635" width="21.28515625" style="63" customWidth="1"/>
    <col min="15636" max="15636" width="15.7109375" style="63" bestFit="1" customWidth="1"/>
    <col min="15637" max="15637" width="15.5703125" style="63" customWidth="1"/>
    <col min="15638" max="15874" width="9.140625" style="63"/>
    <col min="15875" max="15875" width="19" style="63" customWidth="1"/>
    <col min="15876" max="15876" width="8.5703125" style="63" customWidth="1"/>
    <col min="15877" max="15880" width="17.7109375" style="63" customWidth="1"/>
    <col min="15881" max="15881" width="19.28515625" style="63" customWidth="1"/>
    <col min="15882" max="15887" width="17.7109375" style="63" customWidth="1"/>
    <col min="15888" max="15888" width="19.42578125" style="63" customWidth="1"/>
    <col min="15889" max="15889" width="40.7109375" style="63" customWidth="1"/>
    <col min="15890" max="15890" width="18.7109375" style="63" customWidth="1"/>
    <col min="15891" max="15891" width="21.28515625" style="63" customWidth="1"/>
    <col min="15892" max="15892" width="15.7109375" style="63" bestFit="1" customWidth="1"/>
    <col min="15893" max="15893" width="15.5703125" style="63" customWidth="1"/>
    <col min="15894" max="16130" width="9.140625" style="63"/>
    <col min="16131" max="16131" width="19" style="63" customWidth="1"/>
    <col min="16132" max="16132" width="8.5703125" style="63" customWidth="1"/>
    <col min="16133" max="16136" width="17.7109375" style="63" customWidth="1"/>
    <col min="16137" max="16137" width="19.28515625" style="63" customWidth="1"/>
    <col min="16138" max="16143" width="17.7109375" style="63" customWidth="1"/>
    <col min="16144" max="16144" width="19.42578125" style="63" customWidth="1"/>
    <col min="16145" max="16145" width="40.7109375" style="63" customWidth="1"/>
    <col min="16146" max="16146" width="18.7109375" style="63" customWidth="1"/>
    <col min="16147" max="16147" width="21.28515625" style="63" customWidth="1"/>
    <col min="16148" max="16148" width="15.7109375" style="63" bestFit="1" customWidth="1"/>
    <col min="16149" max="16149" width="15.5703125" style="63" customWidth="1"/>
    <col min="16150" max="16384" width="9.140625" style="63"/>
  </cols>
  <sheetData>
    <row r="1" spans="1:21" ht="21.75" customHeight="1" x14ac:dyDescent="0.2">
      <c r="A1" s="148"/>
      <c r="B1" s="131"/>
      <c r="C1" s="148"/>
      <c r="D1" s="148"/>
      <c r="E1" s="148"/>
      <c r="F1" s="148"/>
      <c r="G1" s="148"/>
      <c r="H1" s="148"/>
      <c r="I1" s="148"/>
      <c r="J1" s="148"/>
      <c r="K1" s="148"/>
      <c r="L1" s="148"/>
      <c r="M1" s="148"/>
      <c r="N1" s="148"/>
      <c r="O1" s="148"/>
      <c r="P1" s="148"/>
      <c r="Q1" s="148"/>
      <c r="R1" s="148"/>
      <c r="S1" s="148"/>
    </row>
    <row r="2" spans="1:21" ht="41.25" customHeight="1" x14ac:dyDescent="0.25">
      <c r="A2" s="1242" t="s">
        <v>85</v>
      </c>
      <c r="B2" s="1242"/>
      <c r="C2" s="1242"/>
      <c r="D2" s="1242"/>
      <c r="E2" s="1242"/>
      <c r="F2" s="1242"/>
      <c r="G2" s="1242"/>
      <c r="H2" s="1242"/>
      <c r="I2" s="1242"/>
      <c r="J2" s="1242"/>
      <c r="K2" s="1242"/>
      <c r="L2" s="1242"/>
      <c r="M2" s="1242"/>
      <c r="N2" s="1242"/>
      <c r="O2" s="1242"/>
      <c r="P2" s="1242"/>
      <c r="Q2" s="1242"/>
      <c r="R2" s="1242"/>
      <c r="S2" s="1242"/>
      <c r="T2" s="161"/>
      <c r="U2" s="161"/>
    </row>
    <row r="3" spans="1:21" ht="15.75" x14ac:dyDescent="0.25">
      <c r="A3" s="162"/>
      <c r="B3" s="162"/>
      <c r="C3" s="162"/>
      <c r="D3" s="162"/>
      <c r="E3" s="162"/>
      <c r="F3" s="162"/>
      <c r="G3" s="162"/>
      <c r="H3" s="162"/>
      <c r="I3" s="162"/>
      <c r="J3" s="162"/>
      <c r="K3" s="162"/>
      <c r="L3" s="162"/>
      <c r="M3" s="162"/>
      <c r="N3" s="162"/>
      <c r="O3" s="162"/>
      <c r="P3" s="162"/>
      <c r="Q3" s="162"/>
      <c r="R3" s="162"/>
      <c r="S3" s="162"/>
      <c r="T3" s="163"/>
      <c r="U3" s="163"/>
    </row>
    <row r="4" spans="1:21" ht="24.95" customHeight="1" x14ac:dyDescent="0.2">
      <c r="A4" s="148"/>
      <c r="B4" s="131"/>
      <c r="C4" s="148"/>
      <c r="D4" s="148"/>
      <c r="E4" s="148"/>
      <c r="F4" s="148"/>
      <c r="G4" s="148"/>
      <c r="H4" s="148"/>
      <c r="I4" s="148"/>
      <c r="J4" s="148"/>
      <c r="K4" s="148"/>
      <c r="L4" s="148"/>
      <c r="M4" s="148"/>
      <c r="N4" s="164"/>
      <c r="O4" s="164"/>
      <c r="P4" s="164" t="s">
        <v>86</v>
      </c>
      <c r="Q4" s="164" t="s">
        <v>1003</v>
      </c>
      <c r="R4" s="1243"/>
      <c r="S4" s="1243"/>
    </row>
    <row r="5" spans="1:21" ht="24.95" customHeight="1" x14ac:dyDescent="0.2">
      <c r="A5" s="148"/>
      <c r="B5" s="131"/>
      <c r="C5" s="148"/>
      <c r="D5" s="148"/>
      <c r="E5" s="148"/>
      <c r="F5" s="148"/>
      <c r="G5" s="148"/>
      <c r="H5" s="148"/>
      <c r="I5" s="148"/>
      <c r="J5" s="148"/>
      <c r="K5" s="148"/>
      <c r="L5" s="148"/>
      <c r="M5" s="148"/>
      <c r="N5" s="164"/>
      <c r="O5" s="164"/>
      <c r="P5" s="164" t="s">
        <v>87</v>
      </c>
      <c r="Q5" s="164" t="s">
        <v>1004</v>
      </c>
      <c r="R5" s="1243"/>
      <c r="S5" s="1243"/>
    </row>
    <row r="6" spans="1:21" ht="5.25" customHeight="1" thickBot="1" x14ac:dyDescent="0.25">
      <c r="A6" s="156"/>
      <c r="B6" s="165"/>
      <c r="C6" s="156"/>
      <c r="D6" s="156"/>
      <c r="E6" s="156"/>
      <c r="F6" s="156"/>
      <c r="G6" s="156"/>
      <c r="H6" s="156"/>
      <c r="I6" s="156"/>
      <c r="J6" s="156"/>
      <c r="K6" s="156"/>
      <c r="L6" s="156"/>
      <c r="M6" s="156"/>
      <c r="N6" s="156"/>
      <c r="O6" s="156"/>
      <c r="P6" s="156"/>
      <c r="Q6" s="156"/>
      <c r="R6" s="156"/>
      <c r="S6" s="148"/>
    </row>
    <row r="7" spans="1:21" ht="3" customHeight="1" thickBot="1" x14ac:dyDescent="0.25">
      <c r="A7" s="166"/>
      <c r="B7" s="131"/>
      <c r="C7" s="148"/>
      <c r="D7" s="148"/>
      <c r="E7" s="148"/>
      <c r="F7" s="148"/>
      <c r="G7" s="148"/>
      <c r="H7" s="148"/>
      <c r="I7" s="148"/>
      <c r="J7" s="148"/>
      <c r="K7" s="148"/>
      <c r="L7" s="148"/>
      <c r="M7" s="148"/>
      <c r="N7" s="148"/>
      <c r="O7" s="148"/>
      <c r="P7" s="148"/>
      <c r="Q7" s="148"/>
      <c r="R7" s="148"/>
      <c r="S7" s="139"/>
    </row>
    <row r="8" spans="1:21" ht="24.95" customHeight="1" x14ac:dyDescent="0.2">
      <c r="A8" s="1244" t="s">
        <v>88</v>
      </c>
      <c r="B8" s="167" t="s">
        <v>89</v>
      </c>
      <c r="C8" s="167" t="s">
        <v>90</v>
      </c>
      <c r="D8" s="167" t="s">
        <v>91</v>
      </c>
      <c r="E8" s="167" t="s">
        <v>91</v>
      </c>
      <c r="F8" s="167" t="s">
        <v>91</v>
      </c>
      <c r="G8" s="167" t="s">
        <v>91</v>
      </c>
      <c r="H8" s="167" t="s">
        <v>91</v>
      </c>
      <c r="I8" s="167" t="s">
        <v>92</v>
      </c>
      <c r="J8" s="167" t="s">
        <v>93</v>
      </c>
      <c r="K8" s="167" t="s">
        <v>91</v>
      </c>
      <c r="L8" s="167" t="s">
        <v>91</v>
      </c>
      <c r="M8" s="1246" t="s">
        <v>94</v>
      </c>
      <c r="N8" s="167" t="s">
        <v>95</v>
      </c>
      <c r="O8" s="1246" t="s">
        <v>96</v>
      </c>
      <c r="P8" s="1246" t="s">
        <v>97</v>
      </c>
      <c r="Q8" s="1246"/>
      <c r="R8" s="1246"/>
      <c r="S8" s="1248" t="s">
        <v>98</v>
      </c>
    </row>
    <row r="9" spans="1:21" ht="24.95" customHeight="1" thickBot="1" x14ac:dyDescent="0.25">
      <c r="A9" s="1245"/>
      <c r="B9" s="168" t="s">
        <v>99</v>
      </c>
      <c r="C9" s="168" t="s">
        <v>100</v>
      </c>
      <c r="D9" s="1115" t="s">
        <v>101</v>
      </c>
      <c r="E9" s="168" t="s">
        <v>592</v>
      </c>
      <c r="F9" s="168" t="s">
        <v>102</v>
      </c>
      <c r="G9" s="168" t="s">
        <v>103</v>
      </c>
      <c r="H9" s="168" t="s">
        <v>104</v>
      </c>
      <c r="I9" s="168" t="s">
        <v>105</v>
      </c>
      <c r="J9" s="168" t="s">
        <v>106</v>
      </c>
      <c r="K9" s="168" t="s">
        <v>229</v>
      </c>
      <c r="L9" s="168" t="s">
        <v>107</v>
      </c>
      <c r="M9" s="1247"/>
      <c r="N9" s="168" t="s">
        <v>108</v>
      </c>
      <c r="O9" s="1247"/>
      <c r="P9" s="168" t="s">
        <v>109</v>
      </c>
      <c r="Q9" s="168" t="s">
        <v>110</v>
      </c>
      <c r="R9" s="168" t="s">
        <v>8</v>
      </c>
      <c r="S9" s="1249"/>
    </row>
    <row r="10" spans="1:21" s="174" customFormat="1" ht="30.75" customHeight="1" x14ac:dyDescent="0.35">
      <c r="A10" s="1250">
        <v>46204</v>
      </c>
      <c r="B10" s="169">
        <v>1</v>
      </c>
      <c r="C10" s="170"/>
      <c r="D10" s="170">
        <v>84000</v>
      </c>
      <c r="E10" s="170"/>
      <c r="F10" s="170"/>
      <c r="G10" s="170"/>
      <c r="H10" s="170"/>
      <c r="I10" s="170"/>
      <c r="J10" s="170"/>
      <c r="K10" s="170"/>
      <c r="L10" s="170"/>
      <c r="M10" s="170"/>
      <c r="N10" s="170"/>
      <c r="O10" s="170"/>
      <c r="P10" s="170"/>
      <c r="Q10" s="171" t="s">
        <v>226</v>
      </c>
      <c r="R10" s="172">
        <f t="shared" ref="R10:R36" si="0">SUM(C10:P10)</f>
        <v>84000</v>
      </c>
      <c r="S10" s="173"/>
    </row>
    <row r="11" spans="1:21" s="174" customFormat="1" ht="30.75" customHeight="1" x14ac:dyDescent="0.35">
      <c r="A11" s="1251"/>
      <c r="B11" s="169">
        <v>2</v>
      </c>
      <c r="C11" s="170"/>
      <c r="D11" s="170"/>
      <c r="E11" s="170"/>
      <c r="F11" s="170">
        <v>70000</v>
      </c>
      <c r="G11" s="170"/>
      <c r="H11" s="170"/>
      <c r="I11" s="170"/>
      <c r="J11" s="170"/>
      <c r="K11" s="170"/>
      <c r="L11" s="170"/>
      <c r="M11" s="170"/>
      <c r="N11" s="170"/>
      <c r="O11" s="170"/>
      <c r="P11" s="170"/>
      <c r="Q11" s="171" t="s">
        <v>1008</v>
      </c>
      <c r="R11" s="172">
        <f t="shared" si="0"/>
        <v>70000</v>
      </c>
      <c r="S11" s="173"/>
    </row>
    <row r="12" spans="1:21" s="174" customFormat="1" ht="30.75" customHeight="1" x14ac:dyDescent="0.35">
      <c r="A12" s="1251"/>
      <c r="B12" s="169">
        <v>3</v>
      </c>
      <c r="C12" s="170"/>
      <c r="D12" s="170"/>
      <c r="E12" s="170"/>
      <c r="F12" s="170"/>
      <c r="G12" s="170"/>
      <c r="H12" s="170"/>
      <c r="I12" s="170"/>
      <c r="J12" s="170">
        <v>79500</v>
      </c>
      <c r="K12" s="170"/>
      <c r="L12" s="170"/>
      <c r="M12" s="170"/>
      <c r="N12" s="170"/>
      <c r="O12" s="170"/>
      <c r="P12" s="170"/>
      <c r="Q12" s="171" t="s">
        <v>1009</v>
      </c>
      <c r="R12" s="172">
        <f t="shared" si="0"/>
        <v>79500</v>
      </c>
      <c r="S12" s="173"/>
    </row>
    <row r="13" spans="1:21" s="174" customFormat="1" ht="30.75" customHeight="1" x14ac:dyDescent="0.35">
      <c r="A13" s="1251"/>
      <c r="B13" s="169">
        <v>4</v>
      </c>
      <c r="C13" s="170"/>
      <c r="D13" s="170"/>
      <c r="E13" s="170"/>
      <c r="F13" s="170"/>
      <c r="G13" s="170"/>
      <c r="H13" s="170"/>
      <c r="I13" s="170"/>
      <c r="J13" s="170">
        <v>4000</v>
      </c>
      <c r="K13" s="170"/>
      <c r="L13" s="170"/>
      <c r="M13" s="170"/>
      <c r="N13" s="170"/>
      <c r="O13" s="170"/>
      <c r="P13" s="170"/>
      <c r="Q13" s="171" t="s">
        <v>59</v>
      </c>
      <c r="R13" s="172">
        <f t="shared" si="0"/>
        <v>4000</v>
      </c>
      <c r="S13" s="173"/>
    </row>
    <row r="14" spans="1:21" s="174" customFormat="1" ht="30.75" customHeight="1" x14ac:dyDescent="0.35">
      <c r="A14" s="1251"/>
      <c r="B14" s="169">
        <v>5</v>
      </c>
      <c r="C14" s="170"/>
      <c r="D14" s="170"/>
      <c r="E14" s="170">
        <v>4000</v>
      </c>
      <c r="F14" s="170"/>
      <c r="G14" s="170"/>
      <c r="H14" s="170"/>
      <c r="I14" s="170"/>
      <c r="J14" s="170">
        <v>12000</v>
      </c>
      <c r="K14" s="170">
        <v>10000</v>
      </c>
      <c r="L14" s="170"/>
      <c r="M14" s="170"/>
      <c r="N14" s="170"/>
      <c r="O14" s="170"/>
      <c r="P14" s="170"/>
      <c r="Q14" s="171" t="s">
        <v>584</v>
      </c>
      <c r="R14" s="172">
        <f t="shared" si="0"/>
        <v>26000</v>
      </c>
      <c r="S14" s="173"/>
    </row>
    <row r="15" spans="1:21" s="174" customFormat="1" ht="30.75" customHeight="1" x14ac:dyDescent="0.35">
      <c r="A15" s="1251"/>
      <c r="B15" s="169">
        <v>6</v>
      </c>
      <c r="C15" s="170"/>
      <c r="D15" s="170"/>
      <c r="E15" s="170"/>
      <c r="F15" s="170"/>
      <c r="G15" s="170"/>
      <c r="H15" s="170"/>
      <c r="I15" s="170"/>
      <c r="J15" s="170"/>
      <c r="K15" s="170"/>
      <c r="L15" s="170"/>
      <c r="M15" s="170"/>
      <c r="N15" s="170"/>
      <c r="O15" s="170"/>
      <c r="P15" s="170">
        <v>260000</v>
      </c>
      <c r="Q15" s="171" t="s">
        <v>187</v>
      </c>
      <c r="R15" s="172">
        <f t="shared" si="0"/>
        <v>260000</v>
      </c>
      <c r="S15" s="173"/>
    </row>
    <row r="16" spans="1:21" s="174" customFormat="1" ht="30.75" customHeight="1" x14ac:dyDescent="0.35">
      <c r="A16" s="1251"/>
      <c r="B16" s="169">
        <v>7</v>
      </c>
      <c r="C16" s="170"/>
      <c r="D16" s="170"/>
      <c r="E16" s="170">
        <v>9000</v>
      </c>
      <c r="F16" s="170"/>
      <c r="G16" s="170"/>
      <c r="H16" s="170"/>
      <c r="I16" s="170"/>
      <c r="J16" s="170"/>
      <c r="K16" s="170"/>
      <c r="L16" s="170"/>
      <c r="M16" s="170"/>
      <c r="N16" s="170"/>
      <c r="O16" s="170"/>
      <c r="P16" s="170"/>
      <c r="Q16" s="171" t="s">
        <v>245</v>
      </c>
      <c r="R16" s="172">
        <f t="shared" si="0"/>
        <v>9000</v>
      </c>
      <c r="S16" s="173"/>
    </row>
    <row r="17" spans="1:19" s="174" customFormat="1" ht="30.75" customHeight="1" x14ac:dyDescent="0.35">
      <c r="A17" s="1251"/>
      <c r="B17" s="169">
        <v>8</v>
      </c>
      <c r="C17" s="170"/>
      <c r="D17" s="170"/>
      <c r="E17" s="170"/>
      <c r="F17" s="170"/>
      <c r="G17" s="170"/>
      <c r="H17" s="170"/>
      <c r="I17" s="170"/>
      <c r="J17" s="170"/>
      <c r="K17" s="170"/>
      <c r="L17" s="170"/>
      <c r="M17" s="170"/>
      <c r="N17" s="170">
        <v>7000</v>
      </c>
      <c r="O17" s="170"/>
      <c r="P17" s="170"/>
      <c r="Q17" s="171" t="s">
        <v>1010</v>
      </c>
      <c r="R17" s="172">
        <f t="shared" si="0"/>
        <v>7000</v>
      </c>
      <c r="S17" s="173"/>
    </row>
    <row r="18" spans="1:19" s="174" customFormat="1" ht="30.75" customHeight="1" x14ac:dyDescent="0.35">
      <c r="A18" s="1251"/>
      <c r="B18" s="169">
        <v>9</v>
      </c>
      <c r="C18" s="175"/>
      <c r="D18" s="175"/>
      <c r="E18" s="175"/>
      <c r="F18" s="175"/>
      <c r="G18" s="175"/>
      <c r="H18" s="175"/>
      <c r="I18" s="175"/>
      <c r="J18" s="175"/>
      <c r="K18" s="175"/>
      <c r="L18" s="175"/>
      <c r="M18" s="175"/>
      <c r="N18" s="175"/>
      <c r="O18" s="175"/>
      <c r="P18" s="175">
        <v>260000</v>
      </c>
      <c r="Q18" s="176" t="s">
        <v>187</v>
      </c>
      <c r="R18" s="172">
        <f t="shared" si="0"/>
        <v>260000</v>
      </c>
      <c r="S18" s="177"/>
    </row>
    <row r="19" spans="1:19" s="174" customFormat="1" ht="30.75" customHeight="1" x14ac:dyDescent="0.35">
      <c r="A19" s="1251"/>
      <c r="B19" s="169">
        <v>10</v>
      </c>
      <c r="C19" s="175"/>
      <c r="D19" s="175"/>
      <c r="E19" s="175">
        <v>10000</v>
      </c>
      <c r="F19" s="175">
        <v>100000</v>
      </c>
      <c r="G19" s="175"/>
      <c r="H19" s="175">
        <v>20000</v>
      </c>
      <c r="I19" s="175"/>
      <c r="J19" s="175">
        <v>31000</v>
      </c>
      <c r="K19" s="175"/>
      <c r="L19" s="175"/>
      <c r="M19" s="175"/>
      <c r="N19" s="175"/>
      <c r="O19" s="175"/>
      <c r="P19" s="175"/>
      <c r="Q19" s="176" t="s">
        <v>1011</v>
      </c>
      <c r="R19" s="172">
        <f t="shared" si="0"/>
        <v>161000</v>
      </c>
      <c r="S19" s="177"/>
    </row>
    <row r="20" spans="1:19" s="174" customFormat="1" ht="30.75" customHeight="1" x14ac:dyDescent="0.35">
      <c r="A20" s="1251"/>
      <c r="B20" s="169">
        <v>11</v>
      </c>
      <c r="C20" s="175"/>
      <c r="D20" s="175"/>
      <c r="E20" s="175"/>
      <c r="F20" s="175"/>
      <c r="G20" s="175"/>
      <c r="H20" s="175"/>
      <c r="I20" s="175"/>
      <c r="J20" s="175"/>
      <c r="K20" s="175"/>
      <c r="L20" s="175"/>
      <c r="M20" s="175"/>
      <c r="N20" s="175"/>
      <c r="O20" s="175"/>
      <c r="P20" s="175">
        <v>203000</v>
      </c>
      <c r="Q20" s="176" t="s">
        <v>1012</v>
      </c>
      <c r="R20" s="172">
        <f t="shared" si="0"/>
        <v>203000</v>
      </c>
      <c r="S20" s="177"/>
    </row>
    <row r="21" spans="1:19" s="174" customFormat="1" ht="30.75" customHeight="1" x14ac:dyDescent="0.35">
      <c r="A21" s="1251"/>
      <c r="B21" s="169">
        <v>12</v>
      </c>
      <c r="C21" s="175"/>
      <c r="D21" s="175"/>
      <c r="E21" s="175"/>
      <c r="F21" s="175"/>
      <c r="G21" s="175"/>
      <c r="H21" s="175"/>
      <c r="I21" s="175"/>
      <c r="J21" s="175"/>
      <c r="K21" s="175"/>
      <c r="L21" s="175"/>
      <c r="M21" s="175"/>
      <c r="N21" s="175"/>
      <c r="O21" s="175"/>
      <c r="P21" s="175">
        <v>830500</v>
      </c>
      <c r="Q21" s="176" t="s">
        <v>1013</v>
      </c>
      <c r="R21" s="172">
        <f t="shared" si="0"/>
        <v>830500</v>
      </c>
      <c r="S21" s="177"/>
    </row>
    <row r="22" spans="1:19" s="174" customFormat="1" ht="30.75" hidden="1" customHeight="1" x14ac:dyDescent="0.35">
      <c r="A22" s="178"/>
      <c r="B22" s="169">
        <v>11</v>
      </c>
      <c r="C22" s="175"/>
      <c r="D22" s="175"/>
      <c r="E22" s="175"/>
      <c r="F22" s="175"/>
      <c r="G22" s="175"/>
      <c r="H22" s="175"/>
      <c r="I22" s="175"/>
      <c r="J22" s="175"/>
      <c r="K22" s="175"/>
      <c r="L22" s="175"/>
      <c r="M22" s="175"/>
      <c r="N22" s="175"/>
      <c r="O22" s="175"/>
      <c r="P22" s="175"/>
      <c r="Q22" s="176"/>
      <c r="R22" s="179">
        <f t="shared" si="0"/>
        <v>0</v>
      </c>
      <c r="S22" s="177"/>
    </row>
    <row r="23" spans="1:19" s="174" customFormat="1" ht="30.75" hidden="1" customHeight="1" x14ac:dyDescent="0.35">
      <c r="A23" s="178"/>
      <c r="B23" s="180">
        <v>12</v>
      </c>
      <c r="C23" s="175"/>
      <c r="D23" s="175"/>
      <c r="E23" s="175"/>
      <c r="F23" s="175"/>
      <c r="G23" s="175"/>
      <c r="H23" s="175"/>
      <c r="I23" s="175"/>
      <c r="J23" s="175"/>
      <c r="K23" s="175"/>
      <c r="L23" s="175"/>
      <c r="M23" s="175"/>
      <c r="N23" s="175"/>
      <c r="O23" s="175"/>
      <c r="P23" s="175"/>
      <c r="Q23" s="176"/>
      <c r="R23" s="179">
        <f t="shared" si="0"/>
        <v>0</v>
      </c>
      <c r="S23" s="177"/>
    </row>
    <row r="24" spans="1:19" s="174" customFormat="1" ht="30.75" hidden="1" customHeight="1" x14ac:dyDescent="0.35">
      <c r="A24" s="178"/>
      <c r="B24" s="169">
        <v>13</v>
      </c>
      <c r="C24" s="175"/>
      <c r="D24" s="175"/>
      <c r="E24" s="175"/>
      <c r="F24" s="175"/>
      <c r="G24" s="175"/>
      <c r="H24" s="175"/>
      <c r="I24" s="175"/>
      <c r="J24" s="175"/>
      <c r="K24" s="175"/>
      <c r="L24" s="175"/>
      <c r="M24" s="175"/>
      <c r="N24" s="175"/>
      <c r="O24" s="175"/>
      <c r="P24" s="175"/>
      <c r="Q24" s="176"/>
      <c r="R24" s="179">
        <f t="shared" si="0"/>
        <v>0</v>
      </c>
      <c r="S24" s="177"/>
    </row>
    <row r="25" spans="1:19" s="174" customFormat="1" ht="30.75" hidden="1" customHeight="1" x14ac:dyDescent="0.35">
      <c r="A25" s="178"/>
      <c r="B25" s="180">
        <v>14</v>
      </c>
      <c r="C25" s="175"/>
      <c r="D25" s="175"/>
      <c r="E25" s="175"/>
      <c r="F25" s="175"/>
      <c r="G25" s="175"/>
      <c r="H25" s="175"/>
      <c r="I25" s="175"/>
      <c r="J25" s="175"/>
      <c r="K25" s="175"/>
      <c r="L25" s="175"/>
      <c r="M25" s="175"/>
      <c r="N25" s="175"/>
      <c r="O25" s="175"/>
      <c r="P25" s="175"/>
      <c r="Q25" s="176"/>
      <c r="R25" s="179">
        <f t="shared" si="0"/>
        <v>0</v>
      </c>
      <c r="S25" s="177"/>
    </row>
    <row r="26" spans="1:19" s="174" customFormat="1" ht="30.75" hidden="1" customHeight="1" x14ac:dyDescent="0.35">
      <c r="A26" s="178"/>
      <c r="B26" s="169">
        <v>15</v>
      </c>
      <c r="C26" s="175"/>
      <c r="D26" s="175"/>
      <c r="E26" s="175"/>
      <c r="F26" s="175"/>
      <c r="G26" s="175"/>
      <c r="H26" s="175"/>
      <c r="I26" s="175"/>
      <c r="J26" s="175"/>
      <c r="K26" s="175"/>
      <c r="L26" s="175"/>
      <c r="M26" s="175"/>
      <c r="N26" s="175"/>
      <c r="O26" s="175"/>
      <c r="P26" s="175"/>
      <c r="Q26" s="176"/>
      <c r="R26" s="179">
        <f t="shared" si="0"/>
        <v>0</v>
      </c>
      <c r="S26" s="177"/>
    </row>
    <row r="27" spans="1:19" s="174" customFormat="1" ht="30.75" hidden="1" customHeight="1" x14ac:dyDescent="0.35">
      <c r="A27" s="178"/>
      <c r="B27" s="180">
        <v>16</v>
      </c>
      <c r="C27" s="175"/>
      <c r="D27" s="175"/>
      <c r="E27" s="175"/>
      <c r="F27" s="175"/>
      <c r="G27" s="175"/>
      <c r="H27" s="175"/>
      <c r="I27" s="175"/>
      <c r="J27" s="175"/>
      <c r="K27" s="175"/>
      <c r="L27" s="175"/>
      <c r="M27" s="175"/>
      <c r="N27" s="175"/>
      <c r="O27" s="175"/>
      <c r="P27" s="175"/>
      <c r="Q27" s="176"/>
      <c r="R27" s="179">
        <f t="shared" si="0"/>
        <v>0</v>
      </c>
      <c r="S27" s="177"/>
    </row>
    <row r="28" spans="1:19" s="174" customFormat="1" ht="30.75" hidden="1" customHeight="1" x14ac:dyDescent="0.35">
      <c r="A28" s="178"/>
      <c r="B28" s="169">
        <v>17</v>
      </c>
      <c r="C28" s="175"/>
      <c r="D28" s="175"/>
      <c r="E28" s="175"/>
      <c r="F28" s="175"/>
      <c r="G28" s="175"/>
      <c r="H28" s="175"/>
      <c r="I28" s="175"/>
      <c r="J28" s="175"/>
      <c r="K28" s="175"/>
      <c r="L28" s="175"/>
      <c r="M28" s="175"/>
      <c r="N28" s="175"/>
      <c r="O28" s="175"/>
      <c r="P28" s="175"/>
      <c r="Q28" s="176"/>
      <c r="R28" s="179">
        <f t="shared" si="0"/>
        <v>0</v>
      </c>
      <c r="S28" s="177"/>
    </row>
    <row r="29" spans="1:19" s="174" customFormat="1" ht="30.75" hidden="1" customHeight="1" x14ac:dyDescent="0.35">
      <c r="A29" s="178"/>
      <c r="B29" s="180">
        <v>18</v>
      </c>
      <c r="C29" s="175"/>
      <c r="D29" s="175"/>
      <c r="E29" s="175"/>
      <c r="F29" s="175"/>
      <c r="G29" s="175"/>
      <c r="H29" s="175"/>
      <c r="I29" s="175"/>
      <c r="J29" s="175"/>
      <c r="K29" s="175"/>
      <c r="L29" s="175"/>
      <c r="M29" s="175"/>
      <c r="N29" s="175"/>
      <c r="O29" s="175"/>
      <c r="P29" s="175"/>
      <c r="Q29" s="176"/>
      <c r="R29" s="179">
        <f t="shared" si="0"/>
        <v>0</v>
      </c>
      <c r="S29" s="177"/>
    </row>
    <row r="30" spans="1:19" s="174" customFormat="1" ht="30.75" hidden="1" customHeight="1" x14ac:dyDescent="0.35">
      <c r="A30" s="178"/>
      <c r="B30" s="169">
        <v>19</v>
      </c>
      <c r="C30" s="175"/>
      <c r="D30" s="175"/>
      <c r="E30" s="175"/>
      <c r="F30" s="175"/>
      <c r="G30" s="175"/>
      <c r="H30" s="175"/>
      <c r="I30" s="175"/>
      <c r="J30" s="175"/>
      <c r="K30" s="175"/>
      <c r="L30" s="175"/>
      <c r="M30" s="175"/>
      <c r="N30" s="175"/>
      <c r="O30" s="175"/>
      <c r="P30" s="175"/>
      <c r="Q30" s="176"/>
      <c r="R30" s="179">
        <f t="shared" si="0"/>
        <v>0</v>
      </c>
      <c r="S30" s="177"/>
    </row>
    <row r="31" spans="1:19" s="174" customFormat="1" ht="30.75" hidden="1" customHeight="1" x14ac:dyDescent="0.35">
      <c r="A31" s="178"/>
      <c r="B31" s="180">
        <v>20</v>
      </c>
      <c r="C31" s="175"/>
      <c r="D31" s="175"/>
      <c r="E31" s="175"/>
      <c r="F31" s="175"/>
      <c r="G31" s="175"/>
      <c r="H31" s="175"/>
      <c r="I31" s="175"/>
      <c r="J31" s="175"/>
      <c r="K31" s="175"/>
      <c r="L31" s="175"/>
      <c r="M31" s="175"/>
      <c r="N31" s="175"/>
      <c r="O31" s="175"/>
      <c r="P31" s="175"/>
      <c r="Q31" s="176"/>
      <c r="R31" s="179">
        <f t="shared" si="0"/>
        <v>0</v>
      </c>
      <c r="S31" s="177"/>
    </row>
    <row r="32" spans="1:19" s="174" customFormat="1" ht="30.75" hidden="1" customHeight="1" x14ac:dyDescent="0.35">
      <c r="A32" s="178"/>
      <c r="B32" s="169">
        <v>21</v>
      </c>
      <c r="C32" s="175"/>
      <c r="D32" s="175"/>
      <c r="E32" s="175"/>
      <c r="F32" s="175"/>
      <c r="G32" s="175"/>
      <c r="H32" s="175"/>
      <c r="I32" s="175"/>
      <c r="J32" s="175"/>
      <c r="K32" s="175"/>
      <c r="L32" s="175"/>
      <c r="M32" s="175"/>
      <c r="N32" s="175"/>
      <c r="O32" s="175"/>
      <c r="P32" s="175"/>
      <c r="Q32" s="176"/>
      <c r="R32" s="179">
        <f t="shared" si="0"/>
        <v>0</v>
      </c>
      <c r="S32" s="177"/>
    </row>
    <row r="33" spans="1:19" s="174" customFormat="1" ht="30.75" hidden="1" customHeight="1" x14ac:dyDescent="0.35">
      <c r="A33" s="178"/>
      <c r="B33" s="180">
        <v>22</v>
      </c>
      <c r="C33" s="175"/>
      <c r="D33" s="175"/>
      <c r="E33" s="175"/>
      <c r="F33" s="175"/>
      <c r="G33" s="175"/>
      <c r="H33" s="175"/>
      <c r="I33" s="175"/>
      <c r="J33" s="175"/>
      <c r="K33" s="175"/>
      <c r="L33" s="175"/>
      <c r="M33" s="175"/>
      <c r="N33" s="175"/>
      <c r="O33" s="175"/>
      <c r="P33" s="175"/>
      <c r="Q33" s="176"/>
      <c r="R33" s="179">
        <f t="shared" si="0"/>
        <v>0</v>
      </c>
      <c r="S33" s="177"/>
    </row>
    <row r="34" spans="1:19" s="174" customFormat="1" ht="30.75" hidden="1" customHeight="1" x14ac:dyDescent="0.35">
      <c r="A34" s="178"/>
      <c r="B34" s="169">
        <v>23</v>
      </c>
      <c r="C34" s="175"/>
      <c r="D34" s="175"/>
      <c r="E34" s="175"/>
      <c r="F34" s="175"/>
      <c r="G34" s="175"/>
      <c r="H34" s="175"/>
      <c r="I34" s="175"/>
      <c r="J34" s="175"/>
      <c r="K34" s="175"/>
      <c r="L34" s="175"/>
      <c r="M34" s="175"/>
      <c r="N34" s="175"/>
      <c r="O34" s="175"/>
      <c r="P34" s="175"/>
      <c r="Q34" s="176"/>
      <c r="R34" s="179">
        <f t="shared" si="0"/>
        <v>0</v>
      </c>
      <c r="S34" s="177"/>
    </row>
    <row r="35" spans="1:19" s="174" customFormat="1" ht="30.75" hidden="1" customHeight="1" x14ac:dyDescent="0.35">
      <c r="A35" s="178"/>
      <c r="B35" s="180">
        <v>24</v>
      </c>
      <c r="C35" s="175"/>
      <c r="D35" s="175"/>
      <c r="E35" s="175"/>
      <c r="F35" s="175"/>
      <c r="G35" s="175"/>
      <c r="H35" s="175"/>
      <c r="I35" s="175"/>
      <c r="J35" s="175"/>
      <c r="K35" s="175"/>
      <c r="L35" s="175"/>
      <c r="M35" s="175"/>
      <c r="N35" s="175"/>
      <c r="O35" s="175"/>
      <c r="P35" s="175"/>
      <c r="Q35" s="176"/>
      <c r="R35" s="179">
        <f t="shared" si="0"/>
        <v>0</v>
      </c>
      <c r="S35" s="177"/>
    </row>
    <row r="36" spans="1:19" s="174" customFormat="1" ht="30.75" hidden="1" customHeight="1" x14ac:dyDescent="0.35">
      <c r="A36" s="178"/>
      <c r="B36" s="169">
        <v>25</v>
      </c>
      <c r="C36" s="175"/>
      <c r="D36" s="175"/>
      <c r="E36" s="175"/>
      <c r="F36" s="175"/>
      <c r="G36" s="175"/>
      <c r="H36" s="175"/>
      <c r="I36" s="175"/>
      <c r="J36" s="175"/>
      <c r="K36" s="175"/>
      <c r="L36" s="175"/>
      <c r="M36" s="175"/>
      <c r="N36" s="175"/>
      <c r="O36" s="175"/>
      <c r="P36" s="175"/>
      <c r="Q36" s="176"/>
      <c r="R36" s="179">
        <f t="shared" si="0"/>
        <v>0</v>
      </c>
      <c r="S36" s="177"/>
    </row>
    <row r="37" spans="1:19" s="174" customFormat="1" ht="30.75" customHeight="1" x14ac:dyDescent="0.35">
      <c r="A37" s="181" t="s">
        <v>60</v>
      </c>
      <c r="B37" s="182"/>
      <c r="C37" s="183">
        <f t="shared" ref="C37:P37" si="1">SUM(C10:C36)</f>
        <v>0</v>
      </c>
      <c r="D37" s="183">
        <f t="shared" si="1"/>
        <v>84000</v>
      </c>
      <c r="E37" s="183">
        <f t="shared" si="1"/>
        <v>23000</v>
      </c>
      <c r="F37" s="183">
        <f t="shared" si="1"/>
        <v>170000</v>
      </c>
      <c r="G37" s="183">
        <f t="shared" si="1"/>
        <v>0</v>
      </c>
      <c r="H37" s="183">
        <f t="shared" si="1"/>
        <v>20000</v>
      </c>
      <c r="I37" s="183">
        <f t="shared" si="1"/>
        <v>0</v>
      </c>
      <c r="J37" s="183">
        <f t="shared" si="1"/>
        <v>126500</v>
      </c>
      <c r="K37" s="183">
        <f t="shared" si="1"/>
        <v>10000</v>
      </c>
      <c r="L37" s="183">
        <f t="shared" si="1"/>
        <v>0</v>
      </c>
      <c r="M37" s="183">
        <f t="shared" si="1"/>
        <v>0</v>
      </c>
      <c r="N37" s="183">
        <f t="shared" si="1"/>
        <v>7000</v>
      </c>
      <c r="O37" s="183">
        <f t="shared" si="1"/>
        <v>0</v>
      </c>
      <c r="P37" s="183">
        <f t="shared" si="1"/>
        <v>1553500</v>
      </c>
      <c r="Q37" s="184"/>
      <c r="R37" s="185">
        <f>SUM(R10:R36)</f>
        <v>1994000</v>
      </c>
      <c r="S37" s="186">
        <f>R37</f>
        <v>1994000</v>
      </c>
    </row>
    <row r="38" spans="1:19" s="174" customFormat="1" ht="30.75" customHeight="1" x14ac:dyDescent="0.35">
      <c r="A38" s="1252">
        <v>46205</v>
      </c>
      <c r="B38" s="180">
        <v>13</v>
      </c>
      <c r="C38" s="175"/>
      <c r="D38" s="175"/>
      <c r="E38" s="175">
        <v>15000</v>
      </c>
      <c r="F38" s="175"/>
      <c r="G38" s="175"/>
      <c r="H38" s="175"/>
      <c r="I38" s="175"/>
      <c r="J38" s="175">
        <v>16000</v>
      </c>
      <c r="K38" s="175">
        <v>10000</v>
      </c>
      <c r="L38" s="175"/>
      <c r="M38" s="175"/>
      <c r="N38" s="175"/>
      <c r="O38" s="175"/>
      <c r="P38" s="175"/>
      <c r="Q38" s="176" t="s">
        <v>1020</v>
      </c>
      <c r="R38" s="179">
        <f t="shared" ref="R38:R61" si="2">SUM(C38:P38)</f>
        <v>41000</v>
      </c>
      <c r="S38" s="177"/>
    </row>
    <row r="39" spans="1:19" s="174" customFormat="1" ht="30.75" customHeight="1" x14ac:dyDescent="0.35">
      <c r="A39" s="1253"/>
      <c r="B39" s="180">
        <v>14</v>
      </c>
      <c r="C39" s="175"/>
      <c r="D39" s="175"/>
      <c r="E39" s="175"/>
      <c r="F39" s="175"/>
      <c r="G39" s="175"/>
      <c r="H39" s="175"/>
      <c r="I39" s="175"/>
      <c r="J39" s="175">
        <v>45000</v>
      </c>
      <c r="K39" s="175"/>
      <c r="L39" s="175"/>
      <c r="M39" s="175"/>
      <c r="N39" s="175"/>
      <c r="O39" s="175"/>
      <c r="P39" s="175"/>
      <c r="Q39" s="176" t="s">
        <v>1021</v>
      </c>
      <c r="R39" s="179">
        <f t="shared" si="2"/>
        <v>45000</v>
      </c>
      <c r="S39" s="177"/>
    </row>
    <row r="40" spans="1:19" s="174" customFormat="1" ht="30.75" customHeight="1" x14ac:dyDescent="0.35">
      <c r="A40" s="1253"/>
      <c r="B40" s="180">
        <v>15</v>
      </c>
      <c r="C40" s="175"/>
      <c r="D40" s="175">
        <v>64000</v>
      </c>
      <c r="E40" s="175"/>
      <c r="F40" s="175"/>
      <c r="G40" s="175"/>
      <c r="H40" s="175"/>
      <c r="I40" s="175"/>
      <c r="J40" s="175"/>
      <c r="K40" s="175"/>
      <c r="L40" s="175"/>
      <c r="M40" s="175"/>
      <c r="N40" s="175"/>
      <c r="O40" s="175"/>
      <c r="P40" s="175"/>
      <c r="Q40" s="176" t="s">
        <v>1022</v>
      </c>
      <c r="R40" s="179">
        <f t="shared" si="2"/>
        <v>64000</v>
      </c>
      <c r="S40" s="177"/>
    </row>
    <row r="41" spans="1:19" s="174" customFormat="1" ht="30.75" customHeight="1" x14ac:dyDescent="0.35">
      <c r="A41" s="1253"/>
      <c r="B41" s="180">
        <v>16</v>
      </c>
      <c r="C41" s="175"/>
      <c r="D41" s="175"/>
      <c r="E41" s="175">
        <v>20000</v>
      </c>
      <c r="F41" s="175"/>
      <c r="G41" s="175"/>
      <c r="H41" s="175"/>
      <c r="I41" s="175"/>
      <c r="J41" s="175"/>
      <c r="K41" s="175"/>
      <c r="L41" s="175"/>
      <c r="M41" s="175"/>
      <c r="N41" s="175"/>
      <c r="O41" s="175"/>
      <c r="P41" s="175"/>
      <c r="Q41" s="176" t="s">
        <v>1024</v>
      </c>
      <c r="R41" s="179">
        <f t="shared" si="2"/>
        <v>20000</v>
      </c>
      <c r="S41" s="177"/>
    </row>
    <row r="42" spans="1:19" s="174" customFormat="1" ht="30.75" customHeight="1" x14ac:dyDescent="0.35">
      <c r="A42" s="1253"/>
      <c r="B42" s="180">
        <v>17</v>
      </c>
      <c r="C42" s="175"/>
      <c r="D42" s="175"/>
      <c r="E42" s="175"/>
      <c r="F42" s="175">
        <v>100000</v>
      </c>
      <c r="G42" s="175"/>
      <c r="H42" s="175"/>
      <c r="I42" s="175"/>
      <c r="J42" s="175"/>
      <c r="K42" s="175"/>
      <c r="L42" s="175"/>
      <c r="M42" s="175"/>
      <c r="N42" s="175"/>
      <c r="O42" s="175"/>
      <c r="P42" s="175"/>
      <c r="Q42" s="176" t="s">
        <v>1023</v>
      </c>
      <c r="R42" s="179">
        <f t="shared" si="2"/>
        <v>100000</v>
      </c>
      <c r="S42" s="177"/>
    </row>
    <row r="43" spans="1:19" s="174" customFormat="1" ht="30.75" customHeight="1" x14ac:dyDescent="0.35">
      <c r="A43" s="1253"/>
      <c r="B43" s="180">
        <v>18</v>
      </c>
      <c r="C43" s="175"/>
      <c r="D43" s="175"/>
      <c r="E43" s="175"/>
      <c r="F43" s="175"/>
      <c r="G43" s="175"/>
      <c r="H43" s="175">
        <v>30000</v>
      </c>
      <c r="I43" s="175"/>
      <c r="J43" s="175"/>
      <c r="K43" s="175"/>
      <c r="L43" s="175"/>
      <c r="M43" s="175"/>
      <c r="N43" s="175"/>
      <c r="O43" s="175"/>
      <c r="P43" s="175"/>
      <c r="Q43" s="176" t="s">
        <v>1025</v>
      </c>
      <c r="R43" s="179">
        <f t="shared" si="2"/>
        <v>30000</v>
      </c>
      <c r="S43" s="177"/>
    </row>
    <row r="44" spans="1:19" s="174" customFormat="1" ht="30.75" customHeight="1" x14ac:dyDescent="0.35">
      <c r="A44" s="1253"/>
      <c r="B44" s="180">
        <v>19</v>
      </c>
      <c r="C44" s="175"/>
      <c r="D44" s="175"/>
      <c r="E44" s="175"/>
      <c r="F44" s="175"/>
      <c r="G44" s="175"/>
      <c r="H44" s="175"/>
      <c r="I44" s="175"/>
      <c r="J44" s="175"/>
      <c r="K44" s="175"/>
      <c r="L44" s="175"/>
      <c r="M44" s="175"/>
      <c r="N44" s="175"/>
      <c r="O44" s="175"/>
      <c r="P44" s="175">
        <v>117000</v>
      </c>
      <c r="Q44" s="176" t="s">
        <v>1026</v>
      </c>
      <c r="R44" s="179">
        <f t="shared" si="2"/>
        <v>117000</v>
      </c>
      <c r="S44" s="177"/>
    </row>
    <row r="45" spans="1:19" s="174" customFormat="1" ht="30.75" customHeight="1" x14ac:dyDescent="0.35">
      <c r="A45" s="1253"/>
      <c r="B45" s="180">
        <v>20</v>
      </c>
      <c r="C45" s="175"/>
      <c r="D45" s="175"/>
      <c r="E45" s="175"/>
      <c r="F45" s="175"/>
      <c r="G45" s="175"/>
      <c r="H45" s="175"/>
      <c r="I45" s="175"/>
      <c r="J45" s="175">
        <v>21000</v>
      </c>
      <c r="K45" s="175">
        <v>5000</v>
      </c>
      <c r="L45" s="175"/>
      <c r="M45" s="175"/>
      <c r="N45" s="175"/>
      <c r="O45" s="175"/>
      <c r="P45" s="175"/>
      <c r="Q45" s="176" t="s">
        <v>584</v>
      </c>
      <c r="R45" s="179">
        <f t="shared" si="2"/>
        <v>26000</v>
      </c>
      <c r="S45" s="177"/>
    </row>
    <row r="46" spans="1:19" s="174" customFormat="1" ht="30.75" customHeight="1" x14ac:dyDescent="0.35">
      <c r="A46" s="1253"/>
      <c r="B46" s="180">
        <v>21</v>
      </c>
      <c r="C46" s="175"/>
      <c r="D46" s="175"/>
      <c r="E46" s="175"/>
      <c r="F46" s="175"/>
      <c r="G46" s="175"/>
      <c r="H46" s="175"/>
      <c r="I46" s="175"/>
      <c r="J46" s="175"/>
      <c r="K46" s="175"/>
      <c r="L46" s="175"/>
      <c r="M46" s="175">
        <v>500000</v>
      </c>
      <c r="N46" s="175"/>
      <c r="O46" s="175"/>
      <c r="P46" s="175"/>
      <c r="Q46" s="176" t="s">
        <v>1027</v>
      </c>
      <c r="R46" s="179">
        <f t="shared" si="2"/>
        <v>500000</v>
      </c>
      <c r="S46" s="177"/>
    </row>
    <row r="47" spans="1:19" s="174" customFormat="1" ht="30.75" customHeight="1" x14ac:dyDescent="0.35">
      <c r="A47" s="1253"/>
      <c r="B47" s="180">
        <v>22</v>
      </c>
      <c r="C47" s="175"/>
      <c r="D47" s="175"/>
      <c r="E47" s="175"/>
      <c r="F47" s="175"/>
      <c r="G47" s="175"/>
      <c r="H47" s="175"/>
      <c r="I47" s="175"/>
      <c r="J47" s="175"/>
      <c r="K47" s="175"/>
      <c r="L47" s="175"/>
      <c r="M47" s="175"/>
      <c r="N47" s="175"/>
      <c r="O47" s="175"/>
      <c r="P47" s="175">
        <v>1042500</v>
      </c>
      <c r="Q47" s="176" t="s">
        <v>1013</v>
      </c>
      <c r="R47" s="179">
        <f t="shared" si="2"/>
        <v>1042500</v>
      </c>
      <c r="S47" s="177"/>
    </row>
    <row r="48" spans="1:19" s="174" customFormat="1" ht="30.75" hidden="1" customHeight="1" x14ac:dyDescent="0.35">
      <c r="A48" s="178"/>
      <c r="B48" s="180">
        <v>15</v>
      </c>
      <c r="C48" s="175"/>
      <c r="D48" s="175"/>
      <c r="E48" s="175"/>
      <c r="F48" s="175"/>
      <c r="G48" s="175"/>
      <c r="H48" s="175"/>
      <c r="I48" s="175"/>
      <c r="J48" s="175"/>
      <c r="K48" s="175"/>
      <c r="L48" s="175"/>
      <c r="M48" s="175"/>
      <c r="N48" s="175"/>
      <c r="O48" s="175"/>
      <c r="P48" s="175"/>
      <c r="Q48" s="176"/>
      <c r="R48" s="179">
        <f t="shared" si="2"/>
        <v>0</v>
      </c>
      <c r="S48" s="177"/>
    </row>
    <row r="49" spans="1:19" s="174" customFormat="1" ht="30.75" hidden="1" customHeight="1" x14ac:dyDescent="0.35">
      <c r="A49" s="178"/>
      <c r="B49" s="180">
        <v>16</v>
      </c>
      <c r="C49" s="175"/>
      <c r="D49" s="175"/>
      <c r="E49" s="175"/>
      <c r="F49" s="175"/>
      <c r="G49" s="175"/>
      <c r="H49" s="175"/>
      <c r="I49" s="175"/>
      <c r="J49" s="175"/>
      <c r="K49" s="175"/>
      <c r="L49" s="175"/>
      <c r="M49" s="175"/>
      <c r="N49" s="175"/>
      <c r="O49" s="175"/>
      <c r="P49" s="175"/>
      <c r="Q49" s="176"/>
      <c r="R49" s="179">
        <f t="shared" si="2"/>
        <v>0</v>
      </c>
      <c r="S49" s="177"/>
    </row>
    <row r="50" spans="1:19" s="174" customFormat="1" ht="30.75" hidden="1" customHeight="1" x14ac:dyDescent="0.35">
      <c r="A50" s="178"/>
      <c r="B50" s="180">
        <v>17</v>
      </c>
      <c r="C50" s="175"/>
      <c r="D50" s="175"/>
      <c r="E50" s="175"/>
      <c r="F50" s="175"/>
      <c r="G50" s="175"/>
      <c r="H50" s="175"/>
      <c r="I50" s="175"/>
      <c r="J50" s="175"/>
      <c r="K50" s="175"/>
      <c r="L50" s="175"/>
      <c r="M50" s="175"/>
      <c r="N50" s="175"/>
      <c r="O50" s="175"/>
      <c r="P50" s="175"/>
      <c r="Q50" s="176"/>
      <c r="R50" s="179">
        <f t="shared" si="2"/>
        <v>0</v>
      </c>
      <c r="S50" s="177"/>
    </row>
    <row r="51" spans="1:19" s="174" customFormat="1" ht="30.75" hidden="1" customHeight="1" x14ac:dyDescent="0.35">
      <c r="A51" s="178"/>
      <c r="B51" s="180">
        <v>18</v>
      </c>
      <c r="C51" s="175"/>
      <c r="D51" s="175"/>
      <c r="E51" s="175"/>
      <c r="F51" s="175"/>
      <c r="G51" s="175"/>
      <c r="H51" s="175"/>
      <c r="I51" s="175"/>
      <c r="J51" s="175"/>
      <c r="K51" s="175"/>
      <c r="L51" s="175"/>
      <c r="M51" s="175"/>
      <c r="N51" s="175"/>
      <c r="O51" s="175"/>
      <c r="P51" s="175"/>
      <c r="Q51" s="176"/>
      <c r="R51" s="179">
        <f t="shared" si="2"/>
        <v>0</v>
      </c>
      <c r="S51" s="177"/>
    </row>
    <row r="52" spans="1:19" s="174" customFormat="1" ht="30.75" hidden="1" customHeight="1" x14ac:dyDescent="0.35">
      <c r="A52" s="178"/>
      <c r="B52" s="180">
        <v>19</v>
      </c>
      <c r="C52" s="175"/>
      <c r="D52" s="175"/>
      <c r="E52" s="175"/>
      <c r="F52" s="175"/>
      <c r="G52" s="175"/>
      <c r="H52" s="175"/>
      <c r="I52" s="175"/>
      <c r="J52" s="175"/>
      <c r="K52" s="175"/>
      <c r="L52" s="175"/>
      <c r="M52" s="175"/>
      <c r="N52" s="175"/>
      <c r="O52" s="175"/>
      <c r="P52" s="175"/>
      <c r="Q52" s="176"/>
      <c r="R52" s="179">
        <f t="shared" si="2"/>
        <v>0</v>
      </c>
      <c r="S52" s="177"/>
    </row>
    <row r="53" spans="1:19" s="174" customFormat="1" ht="30.75" hidden="1" customHeight="1" x14ac:dyDescent="0.35">
      <c r="A53" s="178"/>
      <c r="B53" s="180">
        <v>20</v>
      </c>
      <c r="C53" s="175"/>
      <c r="D53" s="175"/>
      <c r="E53" s="175"/>
      <c r="F53" s="175"/>
      <c r="G53" s="175"/>
      <c r="H53" s="175"/>
      <c r="I53" s="175"/>
      <c r="J53" s="175"/>
      <c r="K53" s="175"/>
      <c r="L53" s="175"/>
      <c r="M53" s="175"/>
      <c r="N53" s="175"/>
      <c r="O53" s="175"/>
      <c r="P53" s="175"/>
      <c r="Q53" s="176"/>
      <c r="R53" s="179">
        <f t="shared" si="2"/>
        <v>0</v>
      </c>
      <c r="S53" s="177"/>
    </row>
    <row r="54" spans="1:19" s="174" customFormat="1" ht="30.75" hidden="1" customHeight="1" x14ac:dyDescent="0.35">
      <c r="A54" s="178"/>
      <c r="B54" s="180">
        <v>21</v>
      </c>
      <c r="C54" s="175"/>
      <c r="D54" s="175"/>
      <c r="E54" s="175"/>
      <c r="F54" s="175"/>
      <c r="G54" s="175"/>
      <c r="H54" s="175"/>
      <c r="I54" s="175"/>
      <c r="J54" s="175"/>
      <c r="K54" s="175"/>
      <c r="L54" s="175"/>
      <c r="M54" s="175"/>
      <c r="N54" s="175"/>
      <c r="O54" s="175"/>
      <c r="P54" s="175"/>
      <c r="Q54" s="176"/>
      <c r="R54" s="179">
        <f t="shared" si="2"/>
        <v>0</v>
      </c>
      <c r="S54" s="177"/>
    </row>
    <row r="55" spans="1:19" s="174" customFormat="1" ht="30.75" hidden="1" customHeight="1" x14ac:dyDescent="0.35">
      <c r="A55" s="178"/>
      <c r="B55" s="180">
        <v>22</v>
      </c>
      <c r="C55" s="175"/>
      <c r="D55" s="175"/>
      <c r="E55" s="175"/>
      <c r="F55" s="175"/>
      <c r="G55" s="175"/>
      <c r="H55" s="175"/>
      <c r="I55" s="175"/>
      <c r="J55" s="175"/>
      <c r="K55" s="175"/>
      <c r="L55" s="175"/>
      <c r="M55" s="175"/>
      <c r="N55" s="175"/>
      <c r="O55" s="175"/>
      <c r="P55" s="175"/>
      <c r="Q55" s="176"/>
      <c r="R55" s="179">
        <f t="shared" si="2"/>
        <v>0</v>
      </c>
      <c r="S55" s="177"/>
    </row>
    <row r="56" spans="1:19" s="174" customFormat="1" ht="30.75" hidden="1" customHeight="1" x14ac:dyDescent="0.35">
      <c r="A56" s="178"/>
      <c r="B56" s="180">
        <v>23</v>
      </c>
      <c r="C56" s="175"/>
      <c r="D56" s="175"/>
      <c r="E56" s="175"/>
      <c r="F56" s="175"/>
      <c r="G56" s="175"/>
      <c r="H56" s="175"/>
      <c r="I56" s="175"/>
      <c r="J56" s="175"/>
      <c r="K56" s="175"/>
      <c r="L56" s="175"/>
      <c r="M56" s="175"/>
      <c r="N56" s="175"/>
      <c r="O56" s="175"/>
      <c r="P56" s="175"/>
      <c r="Q56" s="176"/>
      <c r="R56" s="179">
        <f t="shared" si="2"/>
        <v>0</v>
      </c>
      <c r="S56" s="177"/>
    </row>
    <row r="57" spans="1:19" s="174" customFormat="1" ht="30.75" hidden="1" customHeight="1" x14ac:dyDescent="0.35">
      <c r="A57" s="178"/>
      <c r="B57" s="180">
        <v>24</v>
      </c>
      <c r="C57" s="175"/>
      <c r="D57" s="175"/>
      <c r="E57" s="175"/>
      <c r="F57" s="175"/>
      <c r="G57" s="175"/>
      <c r="H57" s="175"/>
      <c r="I57" s="175"/>
      <c r="J57" s="175"/>
      <c r="K57" s="175"/>
      <c r="L57" s="175"/>
      <c r="M57" s="175"/>
      <c r="N57" s="175"/>
      <c r="O57" s="175"/>
      <c r="P57" s="175"/>
      <c r="Q57" s="176"/>
      <c r="R57" s="179">
        <f t="shared" si="2"/>
        <v>0</v>
      </c>
      <c r="S57" s="177"/>
    </row>
    <row r="58" spans="1:19" s="174" customFormat="1" ht="30.75" hidden="1" customHeight="1" x14ac:dyDescent="0.35">
      <c r="A58" s="178"/>
      <c r="B58" s="180">
        <v>25</v>
      </c>
      <c r="C58" s="175"/>
      <c r="D58" s="175"/>
      <c r="E58" s="175"/>
      <c r="F58" s="175"/>
      <c r="G58" s="175"/>
      <c r="H58" s="175"/>
      <c r="I58" s="175"/>
      <c r="J58" s="175"/>
      <c r="K58" s="175"/>
      <c r="L58" s="175"/>
      <c r="M58" s="175"/>
      <c r="N58" s="175"/>
      <c r="O58" s="175"/>
      <c r="P58" s="175"/>
      <c r="Q58" s="176"/>
      <c r="R58" s="179">
        <f t="shared" si="2"/>
        <v>0</v>
      </c>
      <c r="S58" s="177"/>
    </row>
    <row r="59" spans="1:19" s="174" customFormat="1" ht="30.75" hidden="1" customHeight="1" x14ac:dyDescent="0.35">
      <c r="A59" s="178"/>
      <c r="B59" s="180">
        <v>26</v>
      </c>
      <c r="C59" s="175"/>
      <c r="D59" s="175"/>
      <c r="E59" s="175"/>
      <c r="F59" s="175"/>
      <c r="G59" s="175"/>
      <c r="H59" s="175"/>
      <c r="I59" s="175"/>
      <c r="J59" s="175"/>
      <c r="K59" s="175"/>
      <c r="L59" s="175"/>
      <c r="M59" s="175"/>
      <c r="N59" s="175"/>
      <c r="O59" s="175"/>
      <c r="P59" s="175"/>
      <c r="Q59" s="176"/>
      <c r="R59" s="179">
        <f t="shared" si="2"/>
        <v>0</v>
      </c>
      <c r="S59" s="177"/>
    </row>
    <row r="60" spans="1:19" s="174" customFormat="1" ht="30.75" hidden="1" customHeight="1" x14ac:dyDescent="0.35">
      <c r="A60" s="178"/>
      <c r="B60" s="180">
        <v>27</v>
      </c>
      <c r="C60" s="175"/>
      <c r="D60" s="175"/>
      <c r="E60" s="175"/>
      <c r="F60" s="175"/>
      <c r="G60" s="175"/>
      <c r="H60" s="175"/>
      <c r="I60" s="175"/>
      <c r="J60" s="175"/>
      <c r="K60" s="175"/>
      <c r="L60" s="175"/>
      <c r="M60" s="175"/>
      <c r="N60" s="175"/>
      <c r="O60" s="175"/>
      <c r="P60" s="175"/>
      <c r="Q60" s="176"/>
      <c r="R60" s="179">
        <f t="shared" si="2"/>
        <v>0</v>
      </c>
      <c r="S60" s="177"/>
    </row>
    <row r="61" spans="1:19" s="174" customFormat="1" ht="30.75" hidden="1" customHeight="1" x14ac:dyDescent="0.35">
      <c r="A61" s="178"/>
      <c r="B61" s="180">
        <v>28</v>
      </c>
      <c r="C61" s="175"/>
      <c r="D61" s="175"/>
      <c r="E61" s="175"/>
      <c r="F61" s="175"/>
      <c r="G61" s="175"/>
      <c r="H61" s="175"/>
      <c r="I61" s="175"/>
      <c r="J61" s="175"/>
      <c r="K61" s="175"/>
      <c r="L61" s="175"/>
      <c r="M61" s="175"/>
      <c r="N61" s="175"/>
      <c r="O61" s="175"/>
      <c r="P61" s="175"/>
      <c r="Q61" s="176"/>
      <c r="R61" s="179">
        <f t="shared" si="2"/>
        <v>0</v>
      </c>
      <c r="S61" s="177"/>
    </row>
    <row r="62" spans="1:19" s="174" customFormat="1" ht="30.75" customHeight="1" x14ac:dyDescent="0.35">
      <c r="A62" s="181" t="s">
        <v>60</v>
      </c>
      <c r="B62" s="182"/>
      <c r="C62" s="183">
        <f t="shared" ref="C62:P62" si="3">SUM(C38:C61)</f>
        <v>0</v>
      </c>
      <c r="D62" s="183">
        <f t="shared" si="3"/>
        <v>64000</v>
      </c>
      <c r="E62" s="183">
        <f t="shared" si="3"/>
        <v>35000</v>
      </c>
      <c r="F62" s="183">
        <f t="shared" si="3"/>
        <v>100000</v>
      </c>
      <c r="G62" s="183">
        <f t="shared" si="3"/>
        <v>0</v>
      </c>
      <c r="H62" s="183">
        <f t="shared" si="3"/>
        <v>30000</v>
      </c>
      <c r="I62" s="183">
        <f t="shared" si="3"/>
        <v>0</v>
      </c>
      <c r="J62" s="183">
        <f t="shared" si="3"/>
        <v>82000</v>
      </c>
      <c r="K62" s="183">
        <f t="shared" si="3"/>
        <v>15000</v>
      </c>
      <c r="L62" s="183">
        <f t="shared" si="3"/>
        <v>0</v>
      </c>
      <c r="M62" s="183">
        <f t="shared" si="3"/>
        <v>500000</v>
      </c>
      <c r="N62" s="183">
        <f t="shared" si="3"/>
        <v>0</v>
      </c>
      <c r="O62" s="183">
        <f t="shared" si="3"/>
        <v>0</v>
      </c>
      <c r="P62" s="183">
        <f t="shared" si="3"/>
        <v>1159500</v>
      </c>
      <c r="Q62" s="184"/>
      <c r="R62" s="185">
        <f>SUM(R38:R61)</f>
        <v>1985500</v>
      </c>
      <c r="S62" s="186">
        <f>S37+R62</f>
        <v>3979500</v>
      </c>
    </row>
    <row r="63" spans="1:19" s="174" customFormat="1" ht="30.75" customHeight="1" x14ac:dyDescent="0.35">
      <c r="A63" s="1254">
        <v>46206</v>
      </c>
      <c r="B63" s="180">
        <v>23</v>
      </c>
      <c r="C63" s="175"/>
      <c r="D63" s="175"/>
      <c r="E63" s="175"/>
      <c r="F63" s="175"/>
      <c r="G63" s="175"/>
      <c r="H63" s="175"/>
      <c r="I63" s="175"/>
      <c r="J63" s="175"/>
      <c r="K63" s="175"/>
      <c r="L63" s="175"/>
      <c r="M63" s="175"/>
      <c r="N63" s="175"/>
      <c r="O63" s="175"/>
      <c r="P63" s="175">
        <v>2468000</v>
      </c>
      <c r="Q63" s="176" t="s">
        <v>1028</v>
      </c>
      <c r="R63" s="179">
        <f t="shared" ref="R63:R94" si="4">SUM(C63:P63)</f>
        <v>2468000</v>
      </c>
      <c r="S63" s="177"/>
    </row>
    <row r="64" spans="1:19" s="174" customFormat="1" ht="30.75" customHeight="1" x14ac:dyDescent="0.35">
      <c r="A64" s="1255"/>
      <c r="B64" s="180">
        <v>24</v>
      </c>
      <c r="C64" s="175"/>
      <c r="D64" s="175"/>
      <c r="E64" s="175"/>
      <c r="F64" s="175">
        <v>70000</v>
      </c>
      <c r="G64" s="175"/>
      <c r="H64" s="175"/>
      <c r="I64" s="175"/>
      <c r="J64" s="175"/>
      <c r="K64" s="175"/>
      <c r="L64" s="175"/>
      <c r="M64" s="175"/>
      <c r="N64" s="175"/>
      <c r="O64" s="175"/>
      <c r="P64" s="175"/>
      <c r="Q64" s="176" t="s">
        <v>1008</v>
      </c>
      <c r="R64" s="179">
        <f t="shared" si="4"/>
        <v>70000</v>
      </c>
      <c r="S64" s="177"/>
    </row>
    <row r="65" spans="1:19" s="174" customFormat="1" ht="30.75" customHeight="1" x14ac:dyDescent="0.35">
      <c r="A65" s="1255"/>
      <c r="B65" s="180">
        <v>25</v>
      </c>
      <c r="C65" s="175"/>
      <c r="D65" s="175"/>
      <c r="E65" s="175"/>
      <c r="F65" s="175"/>
      <c r="G65" s="175"/>
      <c r="H65" s="175">
        <v>19500</v>
      </c>
      <c r="I65" s="175"/>
      <c r="J65" s="175">
        <v>86100</v>
      </c>
      <c r="K65" s="175"/>
      <c r="L65" s="175"/>
      <c r="M65" s="175">
        <v>55400</v>
      </c>
      <c r="N65" s="175"/>
      <c r="O65" s="175"/>
      <c r="P65" s="175"/>
      <c r="Q65" s="176" t="s">
        <v>107</v>
      </c>
      <c r="R65" s="179">
        <f t="shared" si="4"/>
        <v>161000</v>
      </c>
      <c r="S65" s="177"/>
    </row>
    <row r="66" spans="1:19" s="174" customFormat="1" ht="30.75" customHeight="1" x14ac:dyDescent="0.35">
      <c r="A66" s="1255"/>
      <c r="B66" s="180">
        <v>26</v>
      </c>
      <c r="C66" s="175"/>
      <c r="D66" s="175"/>
      <c r="E66" s="175">
        <v>9000</v>
      </c>
      <c r="F66" s="175"/>
      <c r="G66" s="175"/>
      <c r="H66" s="175"/>
      <c r="I66" s="175"/>
      <c r="J66" s="175"/>
      <c r="K66" s="175"/>
      <c r="L66" s="175"/>
      <c r="M66" s="175"/>
      <c r="N66" s="175"/>
      <c r="O66" s="175"/>
      <c r="P66" s="175"/>
      <c r="Q66" s="176" t="s">
        <v>245</v>
      </c>
      <c r="R66" s="179">
        <f t="shared" si="4"/>
        <v>9000</v>
      </c>
      <c r="S66" s="177"/>
    </row>
    <row r="67" spans="1:19" s="174" customFormat="1" ht="30.75" customHeight="1" x14ac:dyDescent="0.35">
      <c r="A67" s="1255"/>
      <c r="B67" s="180">
        <v>27</v>
      </c>
      <c r="C67" s="175"/>
      <c r="D67" s="175"/>
      <c r="E67" s="175"/>
      <c r="F67" s="175"/>
      <c r="G67" s="175"/>
      <c r="H67" s="175"/>
      <c r="I67" s="175"/>
      <c r="J67" s="175"/>
      <c r="K67" s="175"/>
      <c r="L67" s="175"/>
      <c r="M67" s="175"/>
      <c r="N67" s="175">
        <v>52000</v>
      </c>
      <c r="O67" s="175"/>
      <c r="P67" s="175"/>
      <c r="Q67" s="176" t="s">
        <v>1029</v>
      </c>
      <c r="R67" s="179">
        <f t="shared" si="4"/>
        <v>52000</v>
      </c>
      <c r="S67" s="177"/>
    </row>
    <row r="68" spans="1:19" s="174" customFormat="1" ht="30.75" customHeight="1" x14ac:dyDescent="0.35">
      <c r="A68" s="1255"/>
      <c r="B68" s="180">
        <v>28</v>
      </c>
      <c r="C68" s="175"/>
      <c r="D68" s="175"/>
      <c r="E68" s="175">
        <v>6000</v>
      </c>
      <c r="F68" s="175"/>
      <c r="G68" s="175"/>
      <c r="H68" s="175"/>
      <c r="I68" s="175"/>
      <c r="J68" s="175">
        <v>51000</v>
      </c>
      <c r="K68" s="175">
        <v>16000</v>
      </c>
      <c r="L68" s="175"/>
      <c r="M68" s="175"/>
      <c r="N68" s="175"/>
      <c r="O68" s="175"/>
      <c r="P68" s="175"/>
      <c r="Q68" s="176" t="s">
        <v>584</v>
      </c>
      <c r="R68" s="179">
        <f t="shared" si="4"/>
        <v>73000</v>
      </c>
      <c r="S68" s="177"/>
    </row>
    <row r="69" spans="1:19" s="174" customFormat="1" ht="30.75" customHeight="1" x14ac:dyDescent="0.35">
      <c r="A69" s="1255"/>
      <c r="B69" s="180">
        <v>29</v>
      </c>
      <c r="C69" s="175"/>
      <c r="D69" s="175"/>
      <c r="E69" s="175"/>
      <c r="F69" s="175"/>
      <c r="G69" s="175"/>
      <c r="H69" s="175">
        <v>30000</v>
      </c>
      <c r="I69" s="175"/>
      <c r="J69" s="175"/>
      <c r="K69" s="175"/>
      <c r="L69" s="175"/>
      <c r="M69" s="175"/>
      <c r="N69" s="175"/>
      <c r="O69" s="175"/>
      <c r="P69" s="175"/>
      <c r="Q69" s="176" t="s">
        <v>1030</v>
      </c>
      <c r="R69" s="179">
        <f t="shared" si="4"/>
        <v>30000</v>
      </c>
      <c r="S69" s="177"/>
    </row>
    <row r="70" spans="1:19" s="174" customFormat="1" ht="30.75" customHeight="1" x14ac:dyDescent="0.35">
      <c r="A70" s="1255"/>
      <c r="B70" s="180">
        <v>30</v>
      </c>
      <c r="C70" s="175"/>
      <c r="D70" s="175"/>
      <c r="E70" s="175"/>
      <c r="F70" s="175"/>
      <c r="G70" s="175"/>
      <c r="H70" s="175">
        <v>50000</v>
      </c>
      <c r="I70" s="175"/>
      <c r="J70" s="175"/>
      <c r="K70" s="175"/>
      <c r="L70" s="175"/>
      <c r="M70" s="175"/>
      <c r="N70" s="175"/>
      <c r="O70" s="175"/>
      <c r="P70" s="175"/>
      <c r="Q70" s="176" t="s">
        <v>284</v>
      </c>
      <c r="R70" s="179">
        <f t="shared" si="4"/>
        <v>50000</v>
      </c>
      <c r="S70" s="177"/>
    </row>
    <row r="71" spans="1:19" s="174" customFormat="1" ht="30.75" customHeight="1" x14ac:dyDescent="0.35">
      <c r="A71" s="1255"/>
      <c r="B71" s="180">
        <v>31</v>
      </c>
      <c r="C71" s="175"/>
      <c r="D71" s="175"/>
      <c r="E71" s="175"/>
      <c r="F71" s="175"/>
      <c r="G71" s="175"/>
      <c r="H71" s="175"/>
      <c r="I71" s="175"/>
      <c r="J71" s="175"/>
      <c r="K71" s="175">
        <v>131000</v>
      </c>
      <c r="L71" s="175"/>
      <c r="M71" s="175"/>
      <c r="N71" s="175"/>
      <c r="O71" s="175"/>
      <c r="P71" s="175"/>
      <c r="Q71" s="176" t="s">
        <v>584</v>
      </c>
      <c r="R71" s="179">
        <f t="shared" si="4"/>
        <v>131000</v>
      </c>
      <c r="S71" s="177"/>
    </row>
    <row r="72" spans="1:19" s="174" customFormat="1" ht="30.75" customHeight="1" x14ac:dyDescent="0.35">
      <c r="A72" s="1255"/>
      <c r="B72" s="180">
        <v>32</v>
      </c>
      <c r="C72" s="175"/>
      <c r="D72" s="175"/>
      <c r="E72" s="175"/>
      <c r="F72" s="175"/>
      <c r="G72" s="175">
        <v>178438</v>
      </c>
      <c r="H72" s="175"/>
      <c r="I72" s="175"/>
      <c r="J72" s="175"/>
      <c r="K72" s="175"/>
      <c r="L72" s="175"/>
      <c r="M72" s="175"/>
      <c r="N72" s="175"/>
      <c r="O72" s="175"/>
      <c r="P72" s="175"/>
      <c r="Q72" s="176" t="s">
        <v>585</v>
      </c>
      <c r="R72" s="179">
        <f t="shared" si="4"/>
        <v>178438</v>
      </c>
      <c r="S72" s="177"/>
    </row>
    <row r="73" spans="1:19" s="174" customFormat="1" ht="30.75" customHeight="1" x14ac:dyDescent="0.35">
      <c r="A73" s="1255"/>
      <c r="B73" s="180">
        <v>33</v>
      </c>
      <c r="C73" s="175"/>
      <c r="D73" s="175"/>
      <c r="E73" s="175"/>
      <c r="F73" s="175"/>
      <c r="G73" s="175"/>
      <c r="H73" s="175"/>
      <c r="I73" s="175"/>
      <c r="J73" s="175"/>
      <c r="K73" s="175"/>
      <c r="L73" s="175"/>
      <c r="M73" s="175"/>
      <c r="N73" s="175"/>
      <c r="O73" s="175"/>
      <c r="P73" s="175">
        <v>787000</v>
      </c>
      <c r="Q73" s="176" t="s">
        <v>1013</v>
      </c>
      <c r="R73" s="179">
        <f t="shared" si="4"/>
        <v>787000</v>
      </c>
      <c r="S73" s="177"/>
    </row>
    <row r="74" spans="1:19" s="174" customFormat="1" ht="30.75" hidden="1" customHeight="1" x14ac:dyDescent="0.35">
      <c r="A74" s="569"/>
      <c r="B74" s="180"/>
      <c r="C74" s="175"/>
      <c r="D74" s="175"/>
      <c r="E74" s="175"/>
      <c r="F74" s="175"/>
      <c r="G74" s="175"/>
      <c r="H74" s="175"/>
      <c r="I74" s="175"/>
      <c r="J74" s="175"/>
      <c r="K74" s="175"/>
      <c r="L74" s="175"/>
      <c r="M74" s="175"/>
      <c r="N74" s="175"/>
      <c r="O74" s="175"/>
      <c r="P74" s="175"/>
      <c r="Q74" s="176"/>
      <c r="R74" s="179">
        <f t="shared" si="4"/>
        <v>0</v>
      </c>
      <c r="S74" s="177"/>
    </row>
    <row r="75" spans="1:19" s="174" customFormat="1" ht="30.75" hidden="1" customHeight="1" x14ac:dyDescent="0.35">
      <c r="A75" s="569"/>
      <c r="B75" s="180"/>
      <c r="C75" s="175"/>
      <c r="D75" s="175"/>
      <c r="E75" s="175"/>
      <c r="F75" s="175"/>
      <c r="G75" s="175"/>
      <c r="H75" s="175"/>
      <c r="I75" s="175"/>
      <c r="J75" s="175"/>
      <c r="K75" s="175"/>
      <c r="L75" s="175"/>
      <c r="M75" s="175"/>
      <c r="N75" s="175"/>
      <c r="O75" s="175"/>
      <c r="P75" s="175"/>
      <c r="Q75" s="176"/>
      <c r="R75" s="179">
        <f t="shared" si="4"/>
        <v>0</v>
      </c>
      <c r="S75" s="177"/>
    </row>
    <row r="76" spans="1:19" s="174" customFormat="1" ht="30.75" hidden="1" customHeight="1" x14ac:dyDescent="0.35">
      <c r="A76" s="569"/>
      <c r="B76" s="180"/>
      <c r="C76" s="175"/>
      <c r="D76" s="175"/>
      <c r="E76" s="175"/>
      <c r="F76" s="175"/>
      <c r="G76" s="175"/>
      <c r="H76" s="175"/>
      <c r="I76" s="175"/>
      <c r="J76" s="175"/>
      <c r="K76" s="175"/>
      <c r="L76" s="175"/>
      <c r="M76" s="175"/>
      <c r="N76" s="175"/>
      <c r="O76" s="175"/>
      <c r="P76" s="175"/>
      <c r="Q76" s="176"/>
      <c r="R76" s="179">
        <f t="shared" si="4"/>
        <v>0</v>
      </c>
      <c r="S76" s="177"/>
    </row>
    <row r="77" spans="1:19" s="174" customFormat="1" ht="30.75" hidden="1" customHeight="1" x14ac:dyDescent="0.35">
      <c r="A77" s="569"/>
      <c r="B77" s="180"/>
      <c r="C77" s="175"/>
      <c r="D77" s="175"/>
      <c r="E77" s="175"/>
      <c r="F77" s="175"/>
      <c r="G77" s="175"/>
      <c r="H77" s="175"/>
      <c r="I77" s="175"/>
      <c r="J77" s="175"/>
      <c r="K77" s="175"/>
      <c r="L77" s="175"/>
      <c r="M77" s="175"/>
      <c r="N77" s="175"/>
      <c r="O77" s="175"/>
      <c r="P77" s="175"/>
      <c r="Q77" s="176"/>
      <c r="R77" s="179">
        <f t="shared" si="4"/>
        <v>0</v>
      </c>
      <c r="S77" s="177"/>
    </row>
    <row r="78" spans="1:19" s="174" customFormat="1" ht="30.75" hidden="1" customHeight="1" x14ac:dyDescent="0.35">
      <c r="A78" s="569"/>
      <c r="B78" s="180"/>
      <c r="C78" s="175"/>
      <c r="D78" s="175"/>
      <c r="E78" s="175"/>
      <c r="F78" s="175"/>
      <c r="G78" s="175"/>
      <c r="H78" s="175"/>
      <c r="I78" s="175"/>
      <c r="J78" s="175"/>
      <c r="K78" s="175"/>
      <c r="L78" s="175"/>
      <c r="M78" s="175"/>
      <c r="N78" s="175"/>
      <c r="O78" s="175"/>
      <c r="P78" s="175"/>
      <c r="Q78" s="176"/>
      <c r="R78" s="179">
        <f t="shared" si="4"/>
        <v>0</v>
      </c>
      <c r="S78" s="177"/>
    </row>
    <row r="79" spans="1:19" s="174" customFormat="1" ht="30.75" hidden="1" customHeight="1" x14ac:dyDescent="0.35">
      <c r="A79" s="569"/>
      <c r="B79" s="180"/>
      <c r="C79" s="175"/>
      <c r="D79" s="175"/>
      <c r="E79" s="175"/>
      <c r="F79" s="175"/>
      <c r="G79" s="175"/>
      <c r="H79" s="175"/>
      <c r="I79" s="175"/>
      <c r="J79" s="175"/>
      <c r="K79" s="175"/>
      <c r="L79" s="175"/>
      <c r="M79" s="175"/>
      <c r="N79" s="175"/>
      <c r="O79" s="175"/>
      <c r="P79" s="175"/>
      <c r="Q79" s="176"/>
      <c r="R79" s="179">
        <f t="shared" si="4"/>
        <v>0</v>
      </c>
      <c r="S79" s="177"/>
    </row>
    <row r="80" spans="1:19" s="174" customFormat="1" ht="30.75" hidden="1" customHeight="1" x14ac:dyDescent="0.35">
      <c r="A80" s="187"/>
      <c r="B80" s="180"/>
      <c r="C80" s="175"/>
      <c r="D80" s="175"/>
      <c r="E80" s="175"/>
      <c r="F80" s="175"/>
      <c r="G80" s="175"/>
      <c r="H80" s="175"/>
      <c r="I80" s="175"/>
      <c r="J80" s="175"/>
      <c r="K80" s="175"/>
      <c r="L80" s="175"/>
      <c r="M80" s="175"/>
      <c r="N80" s="175"/>
      <c r="O80" s="175"/>
      <c r="P80" s="175"/>
      <c r="Q80" s="176"/>
      <c r="R80" s="179">
        <f t="shared" si="4"/>
        <v>0</v>
      </c>
      <c r="S80" s="177"/>
    </row>
    <row r="81" spans="1:19" s="174" customFormat="1" ht="30.75" hidden="1" customHeight="1" x14ac:dyDescent="0.35">
      <c r="A81" s="187"/>
      <c r="B81" s="180"/>
      <c r="C81" s="175"/>
      <c r="D81" s="175"/>
      <c r="E81" s="175"/>
      <c r="F81" s="175"/>
      <c r="G81" s="175"/>
      <c r="H81" s="175"/>
      <c r="I81" s="175"/>
      <c r="J81" s="175"/>
      <c r="K81" s="175"/>
      <c r="L81" s="175"/>
      <c r="M81" s="175"/>
      <c r="N81" s="175"/>
      <c r="O81" s="175"/>
      <c r="P81" s="175"/>
      <c r="Q81" s="176"/>
      <c r="R81" s="179">
        <f t="shared" si="4"/>
        <v>0</v>
      </c>
      <c r="S81" s="177"/>
    </row>
    <row r="82" spans="1:19" s="174" customFormat="1" ht="30.75" hidden="1" customHeight="1" x14ac:dyDescent="0.35">
      <c r="A82" s="187"/>
      <c r="B82" s="180"/>
      <c r="C82" s="175"/>
      <c r="D82" s="175"/>
      <c r="E82" s="175"/>
      <c r="F82" s="175"/>
      <c r="G82" s="175"/>
      <c r="H82" s="175"/>
      <c r="I82" s="175"/>
      <c r="J82" s="175"/>
      <c r="K82" s="175"/>
      <c r="L82" s="175"/>
      <c r="M82" s="175"/>
      <c r="N82" s="175"/>
      <c r="O82" s="175"/>
      <c r="P82" s="175"/>
      <c r="Q82" s="176"/>
      <c r="R82" s="179">
        <f t="shared" si="4"/>
        <v>0</v>
      </c>
      <c r="S82" s="177"/>
    </row>
    <row r="83" spans="1:19" s="174" customFormat="1" ht="30.75" hidden="1" customHeight="1" x14ac:dyDescent="0.35">
      <c r="A83" s="187"/>
      <c r="B83" s="180"/>
      <c r="C83" s="175"/>
      <c r="D83" s="175"/>
      <c r="E83" s="175"/>
      <c r="F83" s="175"/>
      <c r="G83" s="175"/>
      <c r="H83" s="175"/>
      <c r="I83" s="175"/>
      <c r="J83" s="175"/>
      <c r="K83" s="175"/>
      <c r="L83" s="175"/>
      <c r="M83" s="175"/>
      <c r="N83" s="175"/>
      <c r="O83" s="175"/>
      <c r="P83" s="175"/>
      <c r="Q83" s="176"/>
      <c r="R83" s="179">
        <f t="shared" si="4"/>
        <v>0</v>
      </c>
      <c r="S83" s="177"/>
    </row>
    <row r="84" spans="1:19" s="174" customFormat="1" ht="30.75" hidden="1" customHeight="1" x14ac:dyDescent="0.35">
      <c r="A84" s="187"/>
      <c r="B84" s="180"/>
      <c r="C84" s="175"/>
      <c r="D84" s="175"/>
      <c r="E84" s="175"/>
      <c r="F84" s="175"/>
      <c r="G84" s="175"/>
      <c r="H84" s="175"/>
      <c r="I84" s="175"/>
      <c r="J84" s="175"/>
      <c r="K84" s="175"/>
      <c r="L84" s="175"/>
      <c r="M84" s="175"/>
      <c r="N84" s="175"/>
      <c r="O84" s="175"/>
      <c r="P84" s="175"/>
      <c r="Q84" s="176"/>
      <c r="R84" s="179">
        <f t="shared" si="4"/>
        <v>0</v>
      </c>
      <c r="S84" s="177"/>
    </row>
    <row r="85" spans="1:19" s="174" customFormat="1" ht="30.75" hidden="1" customHeight="1" x14ac:dyDescent="0.35">
      <c r="A85" s="187"/>
      <c r="B85" s="180"/>
      <c r="C85" s="175"/>
      <c r="D85" s="175"/>
      <c r="E85" s="175"/>
      <c r="F85" s="175"/>
      <c r="G85" s="175"/>
      <c r="H85" s="175"/>
      <c r="I85" s="175"/>
      <c r="J85" s="175"/>
      <c r="K85" s="175"/>
      <c r="L85" s="175"/>
      <c r="M85" s="175"/>
      <c r="N85" s="175"/>
      <c r="O85" s="175"/>
      <c r="P85" s="175"/>
      <c r="Q85" s="176"/>
      <c r="R85" s="179">
        <f t="shared" si="4"/>
        <v>0</v>
      </c>
      <c r="S85" s="177"/>
    </row>
    <row r="86" spans="1:19" s="174" customFormat="1" ht="30.75" hidden="1" customHeight="1" x14ac:dyDescent="0.35">
      <c r="A86" s="187"/>
      <c r="B86" s="180"/>
      <c r="C86" s="175"/>
      <c r="D86" s="175"/>
      <c r="E86" s="175"/>
      <c r="F86" s="175"/>
      <c r="G86" s="175"/>
      <c r="H86" s="175"/>
      <c r="I86" s="175"/>
      <c r="J86" s="175"/>
      <c r="K86" s="175"/>
      <c r="L86" s="175"/>
      <c r="M86" s="175"/>
      <c r="N86" s="175"/>
      <c r="O86" s="175"/>
      <c r="P86" s="175"/>
      <c r="Q86" s="176"/>
      <c r="R86" s="179">
        <f t="shared" si="4"/>
        <v>0</v>
      </c>
      <c r="S86" s="177"/>
    </row>
    <row r="87" spans="1:19" s="174" customFormat="1" ht="30.75" hidden="1" customHeight="1" x14ac:dyDescent="0.35">
      <c r="A87" s="178"/>
      <c r="B87" s="180"/>
      <c r="C87" s="175"/>
      <c r="D87" s="175"/>
      <c r="E87" s="175"/>
      <c r="F87" s="175"/>
      <c r="G87" s="175"/>
      <c r="H87" s="175"/>
      <c r="I87" s="175"/>
      <c r="J87" s="175"/>
      <c r="K87" s="175"/>
      <c r="L87" s="175"/>
      <c r="M87" s="175"/>
      <c r="N87" s="175"/>
      <c r="O87" s="175"/>
      <c r="P87" s="175"/>
      <c r="Q87" s="176"/>
      <c r="R87" s="179">
        <f t="shared" si="4"/>
        <v>0</v>
      </c>
      <c r="S87" s="177"/>
    </row>
    <row r="88" spans="1:19" s="174" customFormat="1" ht="30.75" hidden="1" customHeight="1" x14ac:dyDescent="0.35">
      <c r="A88" s="178"/>
      <c r="B88" s="180"/>
      <c r="C88" s="175"/>
      <c r="D88" s="175"/>
      <c r="E88" s="175"/>
      <c r="F88" s="175"/>
      <c r="G88" s="175"/>
      <c r="H88" s="175"/>
      <c r="I88" s="175"/>
      <c r="J88" s="175"/>
      <c r="K88" s="175"/>
      <c r="L88" s="175"/>
      <c r="M88" s="175"/>
      <c r="N88" s="175"/>
      <c r="O88" s="175"/>
      <c r="P88" s="175"/>
      <c r="Q88" s="176"/>
      <c r="R88" s="179">
        <f t="shared" si="4"/>
        <v>0</v>
      </c>
      <c r="S88" s="177"/>
    </row>
    <row r="89" spans="1:19" s="174" customFormat="1" ht="30.75" hidden="1" customHeight="1" x14ac:dyDescent="0.35">
      <c r="A89" s="178"/>
      <c r="B89" s="180"/>
      <c r="C89" s="175"/>
      <c r="D89" s="175"/>
      <c r="E89" s="175"/>
      <c r="F89" s="175"/>
      <c r="G89" s="175"/>
      <c r="H89" s="175"/>
      <c r="I89" s="175"/>
      <c r="J89" s="175"/>
      <c r="K89" s="175"/>
      <c r="L89" s="175"/>
      <c r="M89" s="175"/>
      <c r="N89" s="175"/>
      <c r="O89" s="175"/>
      <c r="P89" s="175"/>
      <c r="Q89" s="176"/>
      <c r="R89" s="179">
        <f t="shared" si="4"/>
        <v>0</v>
      </c>
      <c r="S89" s="177"/>
    </row>
    <row r="90" spans="1:19" s="174" customFormat="1" ht="30.75" hidden="1" customHeight="1" x14ac:dyDescent="0.35">
      <c r="A90" s="178"/>
      <c r="B90" s="180"/>
      <c r="C90" s="175"/>
      <c r="D90" s="175"/>
      <c r="E90" s="175"/>
      <c r="F90" s="175"/>
      <c r="G90" s="175"/>
      <c r="H90" s="175"/>
      <c r="I90" s="175"/>
      <c r="J90" s="175"/>
      <c r="K90" s="175"/>
      <c r="L90" s="175"/>
      <c r="M90" s="175"/>
      <c r="N90" s="175"/>
      <c r="O90" s="175"/>
      <c r="P90" s="175"/>
      <c r="Q90" s="176"/>
      <c r="R90" s="179">
        <f t="shared" si="4"/>
        <v>0</v>
      </c>
      <c r="S90" s="177"/>
    </row>
    <row r="91" spans="1:19" s="174" customFormat="1" ht="30.75" hidden="1" customHeight="1" x14ac:dyDescent="0.35">
      <c r="A91" s="178"/>
      <c r="B91" s="180"/>
      <c r="C91" s="175"/>
      <c r="D91" s="175"/>
      <c r="E91" s="175"/>
      <c r="F91" s="175"/>
      <c r="G91" s="175"/>
      <c r="H91" s="175"/>
      <c r="I91" s="175"/>
      <c r="J91" s="175"/>
      <c r="K91" s="175"/>
      <c r="L91" s="175"/>
      <c r="M91" s="175"/>
      <c r="N91" s="175"/>
      <c r="O91" s="175"/>
      <c r="P91" s="175"/>
      <c r="Q91" s="176"/>
      <c r="R91" s="179">
        <f t="shared" si="4"/>
        <v>0</v>
      </c>
      <c r="S91" s="177"/>
    </row>
    <row r="92" spans="1:19" s="174" customFormat="1" ht="30.75" hidden="1" customHeight="1" x14ac:dyDescent="0.35">
      <c r="A92" s="178"/>
      <c r="B92" s="180"/>
      <c r="C92" s="175"/>
      <c r="D92" s="175"/>
      <c r="E92" s="175"/>
      <c r="F92" s="175"/>
      <c r="G92" s="175"/>
      <c r="H92" s="175"/>
      <c r="I92" s="175"/>
      <c r="J92" s="175"/>
      <c r="K92" s="175"/>
      <c r="L92" s="175"/>
      <c r="M92" s="175"/>
      <c r="N92" s="175"/>
      <c r="O92" s="175"/>
      <c r="P92" s="175"/>
      <c r="Q92" s="176"/>
      <c r="R92" s="179">
        <f t="shared" si="4"/>
        <v>0</v>
      </c>
      <c r="S92" s="177"/>
    </row>
    <row r="93" spans="1:19" s="174" customFormat="1" ht="30.75" hidden="1" customHeight="1" x14ac:dyDescent="0.35">
      <c r="A93" s="178"/>
      <c r="B93" s="180"/>
      <c r="C93" s="175"/>
      <c r="D93" s="175"/>
      <c r="E93" s="175"/>
      <c r="F93" s="175"/>
      <c r="G93" s="175"/>
      <c r="H93" s="175"/>
      <c r="I93" s="175"/>
      <c r="J93" s="175"/>
      <c r="K93" s="175"/>
      <c r="L93" s="175"/>
      <c r="M93" s="175"/>
      <c r="N93" s="175"/>
      <c r="O93" s="175"/>
      <c r="P93" s="175"/>
      <c r="Q93" s="176"/>
      <c r="R93" s="179">
        <f t="shared" si="4"/>
        <v>0</v>
      </c>
      <c r="S93" s="177"/>
    </row>
    <row r="94" spans="1:19" s="174" customFormat="1" ht="30.75" hidden="1" customHeight="1" x14ac:dyDescent="0.35">
      <c r="A94" s="178"/>
      <c r="B94" s="180"/>
      <c r="C94" s="175"/>
      <c r="D94" s="175"/>
      <c r="E94" s="175"/>
      <c r="F94" s="175"/>
      <c r="G94" s="175"/>
      <c r="H94" s="175"/>
      <c r="I94" s="175"/>
      <c r="J94" s="175"/>
      <c r="K94" s="175"/>
      <c r="L94" s="175"/>
      <c r="M94" s="175"/>
      <c r="N94" s="175"/>
      <c r="O94" s="175"/>
      <c r="P94" s="175"/>
      <c r="Q94" s="176"/>
      <c r="R94" s="179">
        <f t="shared" si="4"/>
        <v>0</v>
      </c>
      <c r="S94" s="177"/>
    </row>
    <row r="95" spans="1:19" s="174" customFormat="1" ht="30.75" customHeight="1" x14ac:dyDescent="0.35">
      <c r="A95" s="181" t="s">
        <v>60</v>
      </c>
      <c r="B95" s="182"/>
      <c r="C95" s="183">
        <f t="shared" ref="C95:P95" si="5">SUM(C63:C94)</f>
        <v>0</v>
      </c>
      <c r="D95" s="183">
        <f t="shared" si="5"/>
        <v>0</v>
      </c>
      <c r="E95" s="183">
        <f t="shared" si="5"/>
        <v>15000</v>
      </c>
      <c r="F95" s="183">
        <f t="shared" si="5"/>
        <v>70000</v>
      </c>
      <c r="G95" s="183">
        <f t="shared" si="5"/>
        <v>178438</v>
      </c>
      <c r="H95" s="183">
        <f t="shared" si="5"/>
        <v>99500</v>
      </c>
      <c r="I95" s="183">
        <f t="shared" si="5"/>
        <v>0</v>
      </c>
      <c r="J95" s="183">
        <f t="shared" si="5"/>
        <v>137100</v>
      </c>
      <c r="K95" s="183">
        <f t="shared" si="5"/>
        <v>147000</v>
      </c>
      <c r="L95" s="183">
        <f t="shared" si="5"/>
        <v>0</v>
      </c>
      <c r="M95" s="183">
        <f t="shared" si="5"/>
        <v>55400</v>
      </c>
      <c r="N95" s="183">
        <f t="shared" si="5"/>
        <v>52000</v>
      </c>
      <c r="O95" s="183">
        <f t="shared" si="5"/>
        <v>0</v>
      </c>
      <c r="P95" s="183">
        <f t="shared" si="5"/>
        <v>3255000</v>
      </c>
      <c r="Q95" s="184"/>
      <c r="R95" s="185">
        <f>SUM(R63:R94)</f>
        <v>4009438</v>
      </c>
      <c r="S95" s="186">
        <f>S62+R95</f>
        <v>7988938</v>
      </c>
    </row>
    <row r="96" spans="1:19" s="174" customFormat="1" ht="30.75" customHeight="1" x14ac:dyDescent="0.35">
      <c r="A96" s="1231">
        <v>46207</v>
      </c>
      <c r="B96" s="180">
        <v>34</v>
      </c>
      <c r="C96" s="175"/>
      <c r="D96" s="175"/>
      <c r="E96" s="175"/>
      <c r="F96" s="175"/>
      <c r="G96" s="175"/>
      <c r="H96" s="175"/>
      <c r="I96" s="175"/>
      <c r="J96" s="175"/>
      <c r="K96" s="175"/>
      <c r="L96" s="175"/>
      <c r="M96" s="175">
        <v>9000</v>
      </c>
      <c r="N96" s="175"/>
      <c r="O96" s="175"/>
      <c r="P96" s="175"/>
      <c r="Q96" s="176" t="s">
        <v>1058</v>
      </c>
      <c r="R96" s="179">
        <f t="shared" ref="R96:R121" si="6">SUM(C96:P96)</f>
        <v>9000</v>
      </c>
      <c r="S96" s="177"/>
    </row>
    <row r="97" spans="1:19" s="174" customFormat="1" ht="30.75" customHeight="1" x14ac:dyDescent="0.35">
      <c r="A97" s="1232"/>
      <c r="B97" s="180">
        <v>35</v>
      </c>
      <c r="C97" s="175"/>
      <c r="D97" s="175"/>
      <c r="E97" s="175"/>
      <c r="F97" s="175">
        <v>87500</v>
      </c>
      <c r="G97" s="175"/>
      <c r="H97" s="175"/>
      <c r="I97" s="175"/>
      <c r="J97" s="175"/>
      <c r="K97" s="175"/>
      <c r="L97" s="175"/>
      <c r="M97" s="175"/>
      <c r="N97" s="175"/>
      <c r="O97" s="175"/>
      <c r="P97" s="175"/>
      <c r="Q97" s="176" t="s">
        <v>1059</v>
      </c>
      <c r="R97" s="179">
        <f t="shared" si="6"/>
        <v>87500</v>
      </c>
      <c r="S97" s="177"/>
    </row>
    <row r="98" spans="1:19" s="174" customFormat="1" ht="30.75" customHeight="1" x14ac:dyDescent="0.35">
      <c r="A98" s="1232"/>
      <c r="B98" s="180">
        <v>36</v>
      </c>
      <c r="C98" s="175"/>
      <c r="D98" s="175"/>
      <c r="E98" s="175"/>
      <c r="F98" s="175">
        <v>262500</v>
      </c>
      <c r="G98" s="175"/>
      <c r="H98" s="175"/>
      <c r="I98" s="175"/>
      <c r="J98" s="175"/>
      <c r="K98" s="175"/>
      <c r="L98" s="175"/>
      <c r="M98" s="175"/>
      <c r="N98" s="175"/>
      <c r="O98" s="175"/>
      <c r="P98" s="175"/>
      <c r="Q98" s="176" t="s">
        <v>1060</v>
      </c>
      <c r="R98" s="179">
        <f t="shared" si="6"/>
        <v>262500</v>
      </c>
      <c r="S98" s="177"/>
    </row>
    <row r="99" spans="1:19" s="174" customFormat="1" ht="30.75" customHeight="1" x14ac:dyDescent="0.35">
      <c r="A99" s="1232"/>
      <c r="B99" s="180">
        <v>37</v>
      </c>
      <c r="C99" s="175"/>
      <c r="D99" s="175"/>
      <c r="E99" s="175"/>
      <c r="F99" s="175"/>
      <c r="G99" s="175"/>
      <c r="H99" s="175"/>
      <c r="I99" s="175"/>
      <c r="J99" s="175">
        <v>36000</v>
      </c>
      <c r="K99" s="175"/>
      <c r="L99" s="175"/>
      <c r="M99" s="175"/>
      <c r="N99" s="175"/>
      <c r="O99" s="175"/>
      <c r="P99" s="175"/>
      <c r="Q99" s="176" t="s">
        <v>1021</v>
      </c>
      <c r="R99" s="179">
        <f t="shared" si="6"/>
        <v>36000</v>
      </c>
      <c r="S99" s="177"/>
    </row>
    <row r="100" spans="1:19" s="174" customFormat="1" ht="30.75" customHeight="1" x14ac:dyDescent="0.35">
      <c r="A100" s="1232"/>
      <c r="B100" s="180">
        <v>38</v>
      </c>
      <c r="C100" s="175"/>
      <c r="D100" s="175"/>
      <c r="E100" s="175"/>
      <c r="F100" s="175"/>
      <c r="G100" s="175"/>
      <c r="H100" s="175"/>
      <c r="I100" s="175"/>
      <c r="J100" s="175">
        <v>174000</v>
      </c>
      <c r="K100" s="175"/>
      <c r="L100" s="175"/>
      <c r="M100" s="175"/>
      <c r="N100" s="175"/>
      <c r="O100" s="175"/>
      <c r="P100" s="175"/>
      <c r="Q100" s="176" t="s">
        <v>1061</v>
      </c>
      <c r="R100" s="179">
        <f t="shared" si="6"/>
        <v>174000</v>
      </c>
      <c r="S100" s="177"/>
    </row>
    <row r="101" spans="1:19" s="174" customFormat="1" ht="30.75" customHeight="1" x14ac:dyDescent="0.35">
      <c r="A101" s="1232"/>
      <c r="B101" s="180">
        <v>39</v>
      </c>
      <c r="C101" s="175"/>
      <c r="D101" s="175"/>
      <c r="E101" s="175"/>
      <c r="F101" s="175"/>
      <c r="G101" s="175"/>
      <c r="H101" s="175"/>
      <c r="I101" s="175"/>
      <c r="J101" s="175">
        <v>58000</v>
      </c>
      <c r="K101" s="175"/>
      <c r="L101" s="175"/>
      <c r="M101" s="175"/>
      <c r="N101" s="175"/>
      <c r="O101" s="175"/>
      <c r="P101" s="175"/>
      <c r="Q101" s="176" t="s">
        <v>1061</v>
      </c>
      <c r="R101" s="179">
        <f t="shared" si="6"/>
        <v>58000</v>
      </c>
      <c r="S101" s="177"/>
    </row>
    <row r="102" spans="1:19" s="174" customFormat="1" ht="30.75" customHeight="1" x14ac:dyDescent="0.35">
      <c r="A102" s="1232"/>
      <c r="B102" s="180">
        <v>40</v>
      </c>
      <c r="C102" s="175"/>
      <c r="D102" s="175"/>
      <c r="E102" s="175"/>
      <c r="F102" s="175"/>
      <c r="G102" s="175"/>
      <c r="H102" s="175"/>
      <c r="I102" s="175"/>
      <c r="J102" s="175"/>
      <c r="K102" s="175"/>
      <c r="L102" s="175"/>
      <c r="M102" s="175"/>
      <c r="N102" s="175"/>
      <c r="O102" s="175"/>
      <c r="P102" s="175">
        <v>25000</v>
      </c>
      <c r="Q102" s="176" t="s">
        <v>1063</v>
      </c>
      <c r="R102" s="179">
        <f t="shared" si="6"/>
        <v>25000</v>
      </c>
      <c r="S102" s="177"/>
    </row>
    <row r="103" spans="1:19" s="174" customFormat="1" ht="30.75" customHeight="1" x14ac:dyDescent="0.35">
      <c r="A103" s="1232"/>
      <c r="B103" s="180">
        <v>41</v>
      </c>
      <c r="C103" s="175"/>
      <c r="D103" s="175"/>
      <c r="E103" s="175"/>
      <c r="F103" s="175"/>
      <c r="G103" s="175"/>
      <c r="H103" s="175"/>
      <c r="I103" s="175"/>
      <c r="J103" s="175"/>
      <c r="K103" s="175"/>
      <c r="L103" s="175"/>
      <c r="M103" s="175"/>
      <c r="N103" s="175"/>
      <c r="O103" s="175"/>
      <c r="P103" s="175">
        <v>520000</v>
      </c>
      <c r="Q103" s="176" t="s">
        <v>187</v>
      </c>
      <c r="R103" s="179">
        <f t="shared" si="6"/>
        <v>520000</v>
      </c>
      <c r="S103" s="177"/>
    </row>
    <row r="104" spans="1:19" s="174" customFormat="1" ht="30.75" customHeight="1" x14ac:dyDescent="0.35">
      <c r="A104" s="1232"/>
      <c r="B104" s="180">
        <v>42</v>
      </c>
      <c r="C104" s="175"/>
      <c r="D104" s="175"/>
      <c r="E104" s="175"/>
      <c r="F104" s="175"/>
      <c r="G104" s="175"/>
      <c r="H104" s="175">
        <v>15000</v>
      </c>
      <c r="I104" s="175"/>
      <c r="J104" s="175">
        <v>32000</v>
      </c>
      <c r="K104" s="175"/>
      <c r="L104" s="175"/>
      <c r="M104" s="175"/>
      <c r="N104" s="175"/>
      <c r="O104" s="175"/>
      <c r="P104" s="175"/>
      <c r="Q104" s="176" t="s">
        <v>1062</v>
      </c>
      <c r="R104" s="179">
        <f t="shared" si="6"/>
        <v>47000</v>
      </c>
      <c r="S104" s="177"/>
    </row>
    <row r="105" spans="1:19" s="174" customFormat="1" ht="30.75" customHeight="1" x14ac:dyDescent="0.35">
      <c r="A105" s="1232"/>
      <c r="B105" s="180">
        <v>43</v>
      </c>
      <c r="C105" s="175"/>
      <c r="D105" s="175"/>
      <c r="E105" s="175"/>
      <c r="F105" s="175"/>
      <c r="G105" s="175"/>
      <c r="H105" s="175"/>
      <c r="I105" s="175"/>
      <c r="J105" s="175"/>
      <c r="K105" s="175"/>
      <c r="L105" s="175"/>
      <c r="M105" s="175"/>
      <c r="N105" s="175"/>
      <c r="O105" s="175"/>
      <c r="P105" s="175">
        <v>663000</v>
      </c>
      <c r="Q105" s="176" t="s">
        <v>971</v>
      </c>
      <c r="R105" s="179">
        <f t="shared" si="6"/>
        <v>663000</v>
      </c>
      <c r="S105" s="177"/>
    </row>
    <row r="106" spans="1:19" s="174" customFormat="1" ht="30.75" customHeight="1" x14ac:dyDescent="0.35">
      <c r="A106" s="1232"/>
      <c r="B106" s="180">
        <v>44</v>
      </c>
      <c r="C106" s="175"/>
      <c r="D106" s="175"/>
      <c r="E106" s="175"/>
      <c r="F106" s="175"/>
      <c r="G106" s="175"/>
      <c r="H106" s="175"/>
      <c r="I106" s="175"/>
      <c r="J106" s="175"/>
      <c r="K106" s="175"/>
      <c r="L106" s="175"/>
      <c r="M106" s="175"/>
      <c r="N106" s="175"/>
      <c r="O106" s="175"/>
      <c r="P106" s="175">
        <v>607000</v>
      </c>
      <c r="Q106" s="176" t="s">
        <v>1013</v>
      </c>
      <c r="R106" s="179">
        <f t="shared" si="6"/>
        <v>607000</v>
      </c>
      <c r="S106" s="177"/>
    </row>
    <row r="107" spans="1:19" s="174" customFormat="1" ht="30.75" hidden="1" customHeight="1" x14ac:dyDescent="0.35">
      <c r="A107" s="178"/>
      <c r="B107" s="180">
        <v>18</v>
      </c>
      <c r="C107" s="175"/>
      <c r="D107" s="175"/>
      <c r="E107" s="175"/>
      <c r="F107" s="175"/>
      <c r="G107" s="175"/>
      <c r="H107" s="175"/>
      <c r="I107" s="175"/>
      <c r="J107" s="175"/>
      <c r="K107" s="175"/>
      <c r="L107" s="175"/>
      <c r="M107" s="175"/>
      <c r="N107" s="175"/>
      <c r="O107" s="175"/>
      <c r="P107" s="175"/>
      <c r="Q107" s="176"/>
      <c r="R107" s="179">
        <f t="shared" si="6"/>
        <v>0</v>
      </c>
      <c r="S107" s="177"/>
    </row>
    <row r="108" spans="1:19" s="174" customFormat="1" ht="30.75" hidden="1" customHeight="1" x14ac:dyDescent="0.35">
      <c r="A108" s="178"/>
      <c r="B108" s="180">
        <v>19</v>
      </c>
      <c r="C108" s="175"/>
      <c r="D108" s="175"/>
      <c r="E108" s="175"/>
      <c r="F108" s="175"/>
      <c r="G108" s="175"/>
      <c r="H108" s="175"/>
      <c r="I108" s="175"/>
      <c r="J108" s="175"/>
      <c r="K108" s="175"/>
      <c r="L108" s="175"/>
      <c r="M108" s="175"/>
      <c r="N108" s="175"/>
      <c r="O108" s="175"/>
      <c r="P108" s="175"/>
      <c r="Q108" s="176"/>
      <c r="R108" s="179">
        <f t="shared" si="6"/>
        <v>0</v>
      </c>
      <c r="S108" s="177"/>
    </row>
    <row r="109" spans="1:19" s="174" customFormat="1" ht="30.75" hidden="1" customHeight="1" x14ac:dyDescent="0.35">
      <c r="A109" s="178"/>
      <c r="B109" s="180">
        <v>20</v>
      </c>
      <c r="C109" s="175"/>
      <c r="D109" s="175"/>
      <c r="E109" s="175"/>
      <c r="F109" s="175"/>
      <c r="G109" s="175"/>
      <c r="H109" s="175"/>
      <c r="I109" s="175"/>
      <c r="J109" s="175"/>
      <c r="K109" s="175"/>
      <c r="L109" s="175"/>
      <c r="M109" s="175"/>
      <c r="N109" s="175"/>
      <c r="O109" s="175"/>
      <c r="P109" s="175"/>
      <c r="Q109" s="176"/>
      <c r="R109" s="179">
        <f t="shared" si="6"/>
        <v>0</v>
      </c>
      <c r="S109" s="177"/>
    </row>
    <row r="110" spans="1:19" s="174" customFormat="1" ht="30.75" hidden="1" customHeight="1" x14ac:dyDescent="0.35">
      <c r="A110" s="178"/>
      <c r="B110" s="180">
        <v>21</v>
      </c>
      <c r="C110" s="175"/>
      <c r="D110" s="175"/>
      <c r="E110" s="175"/>
      <c r="F110" s="175"/>
      <c r="G110" s="175"/>
      <c r="H110" s="175"/>
      <c r="I110" s="175"/>
      <c r="J110" s="175"/>
      <c r="K110" s="175"/>
      <c r="L110" s="175"/>
      <c r="M110" s="175"/>
      <c r="N110" s="175"/>
      <c r="O110" s="175"/>
      <c r="P110" s="175"/>
      <c r="Q110" s="176"/>
      <c r="R110" s="179">
        <f t="shared" si="6"/>
        <v>0</v>
      </c>
      <c r="S110" s="177"/>
    </row>
    <row r="111" spans="1:19" s="174" customFormat="1" ht="30.75" hidden="1" customHeight="1" x14ac:dyDescent="0.35">
      <c r="A111" s="178"/>
      <c r="B111" s="180">
        <v>22</v>
      </c>
      <c r="C111" s="175"/>
      <c r="D111" s="175"/>
      <c r="E111" s="175"/>
      <c r="F111" s="175"/>
      <c r="G111" s="175"/>
      <c r="H111" s="175"/>
      <c r="I111" s="175"/>
      <c r="J111" s="175"/>
      <c r="K111" s="175"/>
      <c r="L111" s="175"/>
      <c r="M111" s="175"/>
      <c r="N111" s="175"/>
      <c r="O111" s="175"/>
      <c r="P111" s="175"/>
      <c r="Q111" s="176"/>
      <c r="R111" s="179">
        <f t="shared" si="6"/>
        <v>0</v>
      </c>
      <c r="S111" s="177"/>
    </row>
    <row r="112" spans="1:19" s="174" customFormat="1" ht="30.75" hidden="1" customHeight="1" x14ac:dyDescent="0.35">
      <c r="A112" s="178"/>
      <c r="B112" s="180">
        <v>23</v>
      </c>
      <c r="C112" s="175"/>
      <c r="D112" s="175"/>
      <c r="E112" s="175"/>
      <c r="F112" s="175"/>
      <c r="G112" s="175"/>
      <c r="H112" s="175"/>
      <c r="I112" s="175"/>
      <c r="J112" s="175"/>
      <c r="K112" s="175"/>
      <c r="L112" s="175"/>
      <c r="M112" s="175"/>
      <c r="N112" s="175"/>
      <c r="O112" s="175"/>
      <c r="P112" s="175"/>
      <c r="Q112" s="176"/>
      <c r="R112" s="179">
        <f t="shared" si="6"/>
        <v>0</v>
      </c>
      <c r="S112" s="177"/>
    </row>
    <row r="113" spans="1:19" s="174" customFormat="1" ht="30.75" hidden="1" customHeight="1" x14ac:dyDescent="0.35">
      <c r="A113" s="178"/>
      <c r="B113" s="180">
        <v>24</v>
      </c>
      <c r="C113" s="175"/>
      <c r="D113" s="175"/>
      <c r="E113" s="175"/>
      <c r="F113" s="175"/>
      <c r="G113" s="175"/>
      <c r="H113" s="175"/>
      <c r="I113" s="175"/>
      <c r="J113" s="175"/>
      <c r="K113" s="175"/>
      <c r="L113" s="175"/>
      <c r="M113" s="175"/>
      <c r="N113" s="175"/>
      <c r="O113" s="175"/>
      <c r="P113" s="175"/>
      <c r="Q113" s="176"/>
      <c r="R113" s="179">
        <f t="shared" si="6"/>
        <v>0</v>
      </c>
      <c r="S113" s="177"/>
    </row>
    <row r="114" spans="1:19" s="174" customFormat="1" ht="30.75" hidden="1" customHeight="1" x14ac:dyDescent="0.35">
      <c r="A114" s="178"/>
      <c r="B114" s="180">
        <v>25</v>
      </c>
      <c r="C114" s="175"/>
      <c r="D114" s="175"/>
      <c r="E114" s="175"/>
      <c r="F114" s="175"/>
      <c r="G114" s="175"/>
      <c r="H114" s="175"/>
      <c r="I114" s="175"/>
      <c r="J114" s="175"/>
      <c r="K114" s="175"/>
      <c r="L114" s="175"/>
      <c r="M114" s="175"/>
      <c r="N114" s="175"/>
      <c r="O114" s="175"/>
      <c r="P114" s="175"/>
      <c r="Q114" s="176"/>
      <c r="R114" s="179">
        <f t="shared" si="6"/>
        <v>0</v>
      </c>
      <c r="S114" s="177"/>
    </row>
    <row r="115" spans="1:19" s="174" customFormat="1" ht="30.75" hidden="1" customHeight="1" x14ac:dyDescent="0.35">
      <c r="A115" s="178"/>
      <c r="B115" s="180">
        <v>26</v>
      </c>
      <c r="C115" s="175"/>
      <c r="D115" s="175"/>
      <c r="E115" s="175"/>
      <c r="F115" s="175"/>
      <c r="G115" s="175"/>
      <c r="H115" s="175"/>
      <c r="I115" s="175"/>
      <c r="J115" s="175"/>
      <c r="K115" s="175"/>
      <c r="L115" s="175"/>
      <c r="M115" s="175"/>
      <c r="N115" s="175"/>
      <c r="O115" s="175"/>
      <c r="P115" s="175"/>
      <c r="Q115" s="176"/>
      <c r="R115" s="179">
        <f t="shared" si="6"/>
        <v>0</v>
      </c>
      <c r="S115" s="177"/>
    </row>
    <row r="116" spans="1:19" s="174" customFormat="1" ht="30.75" hidden="1" customHeight="1" x14ac:dyDescent="0.35">
      <c r="A116" s="178"/>
      <c r="B116" s="180">
        <v>27</v>
      </c>
      <c r="C116" s="175"/>
      <c r="D116" s="175"/>
      <c r="E116" s="175"/>
      <c r="F116" s="175"/>
      <c r="G116" s="175"/>
      <c r="H116" s="175"/>
      <c r="I116" s="175"/>
      <c r="J116" s="175"/>
      <c r="K116" s="175"/>
      <c r="L116" s="175"/>
      <c r="M116" s="175"/>
      <c r="N116" s="175"/>
      <c r="O116" s="175"/>
      <c r="P116" s="175"/>
      <c r="Q116" s="176"/>
      <c r="R116" s="179">
        <f t="shared" si="6"/>
        <v>0</v>
      </c>
      <c r="S116" s="177"/>
    </row>
    <row r="117" spans="1:19" s="174" customFormat="1" ht="30.75" hidden="1" customHeight="1" x14ac:dyDescent="0.35">
      <c r="A117" s="178"/>
      <c r="B117" s="180">
        <v>28</v>
      </c>
      <c r="C117" s="175"/>
      <c r="D117" s="175"/>
      <c r="E117" s="175"/>
      <c r="F117" s="175"/>
      <c r="G117" s="175"/>
      <c r="H117" s="175"/>
      <c r="I117" s="175"/>
      <c r="J117" s="175"/>
      <c r="K117" s="175"/>
      <c r="L117" s="175"/>
      <c r="M117" s="175"/>
      <c r="N117" s="175"/>
      <c r="O117" s="175"/>
      <c r="P117" s="175"/>
      <c r="Q117" s="176"/>
      <c r="R117" s="179">
        <f t="shared" si="6"/>
        <v>0</v>
      </c>
      <c r="S117" s="177"/>
    </row>
    <row r="118" spans="1:19" s="174" customFormat="1" ht="30.75" hidden="1" customHeight="1" x14ac:dyDescent="0.35">
      <c r="A118" s="178"/>
      <c r="B118" s="180">
        <v>29</v>
      </c>
      <c r="C118" s="175"/>
      <c r="D118" s="175"/>
      <c r="E118" s="175"/>
      <c r="F118" s="175"/>
      <c r="G118" s="175"/>
      <c r="H118" s="175"/>
      <c r="I118" s="175"/>
      <c r="J118" s="175"/>
      <c r="K118" s="175"/>
      <c r="L118" s="175"/>
      <c r="M118" s="175"/>
      <c r="N118" s="175"/>
      <c r="O118" s="175"/>
      <c r="P118" s="175"/>
      <c r="Q118" s="176"/>
      <c r="R118" s="179">
        <f t="shared" si="6"/>
        <v>0</v>
      </c>
      <c r="S118" s="177"/>
    </row>
    <row r="119" spans="1:19" s="174" customFormat="1" ht="30.75" hidden="1" customHeight="1" x14ac:dyDescent="0.35">
      <c r="A119" s="178"/>
      <c r="B119" s="180">
        <v>30</v>
      </c>
      <c r="C119" s="175"/>
      <c r="D119" s="175"/>
      <c r="E119" s="175"/>
      <c r="F119" s="175"/>
      <c r="G119" s="175"/>
      <c r="H119" s="175"/>
      <c r="I119" s="175"/>
      <c r="J119" s="175"/>
      <c r="K119" s="175"/>
      <c r="L119" s="175"/>
      <c r="M119" s="175"/>
      <c r="N119" s="175"/>
      <c r="O119" s="175"/>
      <c r="P119" s="175"/>
      <c r="Q119" s="176"/>
      <c r="R119" s="179">
        <f t="shared" si="6"/>
        <v>0</v>
      </c>
      <c r="S119" s="177"/>
    </row>
    <row r="120" spans="1:19" s="174" customFormat="1" ht="30.75" hidden="1" customHeight="1" x14ac:dyDescent="0.35">
      <c r="A120" s="178"/>
      <c r="B120" s="180">
        <v>31</v>
      </c>
      <c r="C120" s="175"/>
      <c r="D120" s="175"/>
      <c r="E120" s="175"/>
      <c r="F120" s="175"/>
      <c r="G120" s="175"/>
      <c r="H120" s="175"/>
      <c r="I120" s="175"/>
      <c r="J120" s="175"/>
      <c r="K120" s="175"/>
      <c r="L120" s="175"/>
      <c r="M120" s="175"/>
      <c r="N120" s="175"/>
      <c r="O120" s="175"/>
      <c r="P120" s="175"/>
      <c r="Q120" s="176"/>
      <c r="R120" s="179">
        <f t="shared" si="6"/>
        <v>0</v>
      </c>
      <c r="S120" s="177"/>
    </row>
    <row r="121" spans="1:19" s="174" customFormat="1" ht="30.75" hidden="1" customHeight="1" x14ac:dyDescent="0.35">
      <c r="A121" s="178"/>
      <c r="B121" s="180">
        <v>32</v>
      </c>
      <c r="C121" s="175"/>
      <c r="D121" s="175"/>
      <c r="E121" s="175"/>
      <c r="F121" s="175"/>
      <c r="G121" s="175"/>
      <c r="H121" s="175"/>
      <c r="I121" s="175"/>
      <c r="J121" s="175"/>
      <c r="K121" s="175"/>
      <c r="L121" s="175"/>
      <c r="M121" s="175"/>
      <c r="N121" s="175"/>
      <c r="O121" s="175"/>
      <c r="P121" s="175"/>
      <c r="Q121" s="176"/>
      <c r="R121" s="179">
        <f t="shared" si="6"/>
        <v>0</v>
      </c>
      <c r="S121" s="177"/>
    </row>
    <row r="122" spans="1:19" s="174" customFormat="1" ht="30.75" customHeight="1" x14ac:dyDescent="0.35">
      <c r="A122" s="181" t="s">
        <v>60</v>
      </c>
      <c r="B122" s="188"/>
      <c r="C122" s="183">
        <f t="shared" ref="C122:P122" si="7">SUM(C96:C121)</f>
        <v>0</v>
      </c>
      <c r="D122" s="183">
        <f t="shared" si="7"/>
        <v>0</v>
      </c>
      <c r="E122" s="183">
        <f t="shared" si="7"/>
        <v>0</v>
      </c>
      <c r="F122" s="183">
        <f t="shared" si="7"/>
        <v>350000</v>
      </c>
      <c r="G122" s="183">
        <f t="shared" si="7"/>
        <v>0</v>
      </c>
      <c r="H122" s="183">
        <f t="shared" si="7"/>
        <v>15000</v>
      </c>
      <c r="I122" s="183">
        <f t="shared" si="7"/>
        <v>0</v>
      </c>
      <c r="J122" s="183">
        <f t="shared" si="7"/>
        <v>300000</v>
      </c>
      <c r="K122" s="183">
        <f t="shared" si="7"/>
        <v>0</v>
      </c>
      <c r="L122" s="183">
        <f t="shared" si="7"/>
        <v>0</v>
      </c>
      <c r="M122" s="183">
        <f t="shared" si="7"/>
        <v>9000</v>
      </c>
      <c r="N122" s="183">
        <f t="shared" si="7"/>
        <v>0</v>
      </c>
      <c r="O122" s="183">
        <f t="shared" si="7"/>
        <v>0</v>
      </c>
      <c r="P122" s="183">
        <f t="shared" si="7"/>
        <v>1815000</v>
      </c>
      <c r="Q122" s="184"/>
      <c r="R122" s="185">
        <f>SUM(R96:R121)</f>
        <v>2489000</v>
      </c>
      <c r="S122" s="186">
        <f>S95+R122</f>
        <v>10477938</v>
      </c>
    </row>
    <row r="123" spans="1:19" s="174" customFormat="1" ht="30.75" customHeight="1" x14ac:dyDescent="0.35">
      <c r="A123" s="1231">
        <v>46208</v>
      </c>
      <c r="B123" s="180">
        <v>45</v>
      </c>
      <c r="C123" s="175"/>
      <c r="D123" s="175"/>
      <c r="E123" s="175"/>
      <c r="F123" s="175"/>
      <c r="G123" s="175"/>
      <c r="H123" s="175"/>
      <c r="I123" s="175"/>
      <c r="J123" s="175"/>
      <c r="K123" s="175"/>
      <c r="L123" s="175"/>
      <c r="M123" s="175"/>
      <c r="N123" s="175"/>
      <c r="O123" s="175"/>
      <c r="P123" s="175">
        <v>3386425</v>
      </c>
      <c r="Q123" s="176" t="s">
        <v>1064</v>
      </c>
      <c r="R123" s="179">
        <f t="shared" ref="R123:R146" si="8">SUM(C123:P123)</f>
        <v>3386425</v>
      </c>
      <c r="S123" s="177"/>
    </row>
    <row r="124" spans="1:19" s="174" customFormat="1" ht="30.75" customHeight="1" x14ac:dyDescent="0.35">
      <c r="A124" s="1232"/>
      <c r="B124" s="180">
        <v>46</v>
      </c>
      <c r="C124" s="175"/>
      <c r="D124" s="175"/>
      <c r="E124" s="175"/>
      <c r="F124" s="175"/>
      <c r="G124" s="175"/>
      <c r="H124" s="175"/>
      <c r="I124" s="175"/>
      <c r="J124" s="175"/>
      <c r="K124" s="175"/>
      <c r="L124" s="175"/>
      <c r="M124" s="175"/>
      <c r="N124" s="175"/>
      <c r="O124" s="175"/>
      <c r="P124" s="175">
        <v>1000000</v>
      </c>
      <c r="Q124" s="176" t="s">
        <v>1065</v>
      </c>
      <c r="R124" s="179">
        <f t="shared" si="8"/>
        <v>1000000</v>
      </c>
      <c r="S124" s="177"/>
    </row>
    <row r="125" spans="1:19" s="174" customFormat="1" ht="30.75" customHeight="1" x14ac:dyDescent="0.35">
      <c r="A125" s="1232"/>
      <c r="B125" s="180">
        <v>47</v>
      </c>
      <c r="C125" s="175"/>
      <c r="D125" s="175"/>
      <c r="E125" s="175"/>
      <c r="F125" s="175">
        <v>70000</v>
      </c>
      <c r="G125" s="175"/>
      <c r="H125" s="175"/>
      <c r="I125" s="175"/>
      <c r="J125" s="175"/>
      <c r="K125" s="175"/>
      <c r="L125" s="175"/>
      <c r="M125" s="175"/>
      <c r="N125" s="175"/>
      <c r="O125" s="175"/>
      <c r="P125" s="175"/>
      <c r="Q125" s="176" t="s">
        <v>1008</v>
      </c>
      <c r="R125" s="179">
        <f t="shared" si="8"/>
        <v>70000</v>
      </c>
      <c r="S125" s="177"/>
    </row>
    <row r="126" spans="1:19" s="174" customFormat="1" ht="30.75" customHeight="1" x14ac:dyDescent="0.35">
      <c r="A126" s="1232"/>
      <c r="B126" s="180">
        <v>48</v>
      </c>
      <c r="C126" s="175"/>
      <c r="D126" s="175"/>
      <c r="E126" s="175"/>
      <c r="F126" s="175"/>
      <c r="G126" s="175"/>
      <c r="H126" s="175"/>
      <c r="I126" s="175"/>
      <c r="J126" s="175"/>
      <c r="K126" s="175"/>
      <c r="L126" s="175"/>
      <c r="M126" s="175"/>
      <c r="N126" s="175"/>
      <c r="O126" s="175"/>
      <c r="P126" s="175">
        <v>205000</v>
      </c>
      <c r="Q126" s="176" t="s">
        <v>1012</v>
      </c>
      <c r="R126" s="179">
        <f t="shared" si="8"/>
        <v>205000</v>
      </c>
      <c r="S126" s="177"/>
    </row>
    <row r="127" spans="1:19" s="174" customFormat="1" ht="30.75" customHeight="1" x14ac:dyDescent="0.35">
      <c r="A127" s="1232"/>
      <c r="B127" s="180">
        <v>49</v>
      </c>
      <c r="C127" s="175"/>
      <c r="D127" s="175"/>
      <c r="E127" s="175"/>
      <c r="F127" s="175"/>
      <c r="G127" s="175"/>
      <c r="H127" s="175"/>
      <c r="I127" s="175"/>
      <c r="J127" s="175">
        <v>250000</v>
      </c>
      <c r="K127" s="175"/>
      <c r="L127" s="175"/>
      <c r="M127" s="175"/>
      <c r="N127" s="175"/>
      <c r="O127" s="175"/>
      <c r="P127" s="175"/>
      <c r="Q127" s="176" t="s">
        <v>1066</v>
      </c>
      <c r="R127" s="179">
        <f t="shared" si="8"/>
        <v>250000</v>
      </c>
      <c r="S127" s="177"/>
    </row>
    <row r="128" spans="1:19" s="174" customFormat="1" ht="30.75" customHeight="1" x14ac:dyDescent="0.35">
      <c r="A128" s="1232"/>
      <c r="B128" s="180">
        <v>50</v>
      </c>
      <c r="C128" s="175"/>
      <c r="D128" s="175">
        <v>36000</v>
      </c>
      <c r="E128" s="175"/>
      <c r="F128" s="175"/>
      <c r="G128" s="175"/>
      <c r="H128" s="175"/>
      <c r="I128" s="175"/>
      <c r="J128" s="175"/>
      <c r="K128" s="175"/>
      <c r="L128" s="175"/>
      <c r="M128" s="175"/>
      <c r="N128" s="175"/>
      <c r="O128" s="175"/>
      <c r="P128" s="175"/>
      <c r="Q128" s="176" t="s">
        <v>227</v>
      </c>
      <c r="R128" s="179">
        <f t="shared" si="8"/>
        <v>36000</v>
      </c>
      <c r="S128" s="177"/>
    </row>
    <row r="129" spans="1:19" s="174" customFormat="1" ht="30.75" customHeight="1" x14ac:dyDescent="0.35">
      <c r="A129" s="1232"/>
      <c r="B129" s="180">
        <v>51</v>
      </c>
      <c r="C129" s="175"/>
      <c r="D129" s="175"/>
      <c r="E129" s="175"/>
      <c r="F129" s="175"/>
      <c r="G129" s="175"/>
      <c r="H129" s="175"/>
      <c r="I129" s="175"/>
      <c r="J129" s="175">
        <v>70000</v>
      </c>
      <c r="K129" s="175"/>
      <c r="L129" s="175"/>
      <c r="M129" s="175"/>
      <c r="N129" s="175"/>
      <c r="O129" s="175"/>
      <c r="P129" s="175"/>
      <c r="Q129" s="176" t="s">
        <v>1021</v>
      </c>
      <c r="R129" s="179">
        <f t="shared" si="8"/>
        <v>70000</v>
      </c>
      <c r="S129" s="177"/>
    </row>
    <row r="130" spans="1:19" s="174" customFormat="1" ht="30.75" customHeight="1" x14ac:dyDescent="0.35">
      <c r="A130" s="1232"/>
      <c r="B130" s="180">
        <v>52</v>
      </c>
      <c r="C130" s="175"/>
      <c r="D130" s="175"/>
      <c r="E130" s="175"/>
      <c r="F130" s="175"/>
      <c r="G130" s="175"/>
      <c r="H130" s="175"/>
      <c r="I130" s="175"/>
      <c r="J130" s="175"/>
      <c r="K130" s="175"/>
      <c r="L130" s="175"/>
      <c r="M130" s="175">
        <v>26000</v>
      </c>
      <c r="N130" s="175"/>
      <c r="O130" s="175"/>
      <c r="P130" s="175"/>
      <c r="Q130" s="176" t="s">
        <v>1067</v>
      </c>
      <c r="R130" s="179">
        <f t="shared" si="8"/>
        <v>26000</v>
      </c>
      <c r="S130" s="177"/>
    </row>
    <row r="131" spans="1:19" s="174" customFormat="1" ht="30.75" customHeight="1" x14ac:dyDescent="0.35">
      <c r="A131" s="1232"/>
      <c r="B131" s="180">
        <v>53</v>
      </c>
      <c r="C131" s="175"/>
      <c r="D131" s="175"/>
      <c r="E131" s="175"/>
      <c r="F131" s="175"/>
      <c r="G131" s="175"/>
      <c r="H131" s="175"/>
      <c r="I131" s="175"/>
      <c r="J131" s="175"/>
      <c r="K131" s="175"/>
      <c r="L131" s="175"/>
      <c r="M131" s="175"/>
      <c r="N131" s="175"/>
      <c r="O131" s="175"/>
      <c r="P131" s="175">
        <v>1541500</v>
      </c>
      <c r="Q131" s="176" t="s">
        <v>1013</v>
      </c>
      <c r="R131" s="179">
        <f t="shared" si="8"/>
        <v>1541500</v>
      </c>
      <c r="S131" s="177"/>
    </row>
    <row r="132" spans="1:19" s="174" customFormat="1" ht="30.75" hidden="1" customHeight="1" x14ac:dyDescent="0.35">
      <c r="A132" s="178"/>
      <c r="B132" s="180">
        <v>11</v>
      </c>
      <c r="C132" s="175"/>
      <c r="D132" s="175"/>
      <c r="E132" s="175"/>
      <c r="F132" s="175"/>
      <c r="G132" s="175"/>
      <c r="H132" s="175"/>
      <c r="I132" s="175"/>
      <c r="J132" s="175"/>
      <c r="K132" s="175"/>
      <c r="L132" s="175"/>
      <c r="M132" s="175"/>
      <c r="N132" s="175"/>
      <c r="O132" s="175"/>
      <c r="P132" s="175"/>
      <c r="Q132" s="176"/>
      <c r="R132" s="179">
        <f t="shared" si="8"/>
        <v>0</v>
      </c>
      <c r="S132" s="177"/>
    </row>
    <row r="133" spans="1:19" s="174" customFormat="1" ht="30.75" hidden="1" customHeight="1" x14ac:dyDescent="0.35">
      <c r="A133" s="178"/>
      <c r="B133" s="180">
        <v>12</v>
      </c>
      <c r="C133" s="175"/>
      <c r="D133" s="175"/>
      <c r="E133" s="175"/>
      <c r="F133" s="175"/>
      <c r="G133" s="175"/>
      <c r="H133" s="175"/>
      <c r="I133" s="175"/>
      <c r="J133" s="175"/>
      <c r="K133" s="175"/>
      <c r="L133" s="175"/>
      <c r="M133" s="175"/>
      <c r="N133" s="175"/>
      <c r="O133" s="175"/>
      <c r="P133" s="175"/>
      <c r="Q133" s="176"/>
      <c r="R133" s="179">
        <f t="shared" si="8"/>
        <v>0</v>
      </c>
      <c r="S133" s="177"/>
    </row>
    <row r="134" spans="1:19" s="174" customFormat="1" ht="30.75" hidden="1" customHeight="1" x14ac:dyDescent="0.35">
      <c r="A134" s="178"/>
      <c r="B134" s="180">
        <v>13</v>
      </c>
      <c r="C134" s="175"/>
      <c r="D134" s="175"/>
      <c r="E134" s="175"/>
      <c r="F134" s="175"/>
      <c r="G134" s="175"/>
      <c r="H134" s="175"/>
      <c r="I134" s="175"/>
      <c r="J134" s="175"/>
      <c r="K134" s="175"/>
      <c r="L134" s="175"/>
      <c r="M134" s="175"/>
      <c r="N134" s="175"/>
      <c r="O134" s="175"/>
      <c r="P134" s="175"/>
      <c r="Q134" s="176"/>
      <c r="R134" s="179">
        <f t="shared" si="8"/>
        <v>0</v>
      </c>
      <c r="S134" s="177"/>
    </row>
    <row r="135" spans="1:19" s="174" customFormat="1" ht="30.75" hidden="1" customHeight="1" x14ac:dyDescent="0.35">
      <c r="A135" s="178"/>
      <c r="B135" s="180">
        <v>14</v>
      </c>
      <c r="C135" s="175"/>
      <c r="D135" s="175"/>
      <c r="E135" s="175"/>
      <c r="F135" s="175"/>
      <c r="G135" s="175"/>
      <c r="H135" s="175"/>
      <c r="I135" s="175"/>
      <c r="J135" s="175"/>
      <c r="K135" s="175"/>
      <c r="L135" s="175"/>
      <c r="M135" s="175"/>
      <c r="N135" s="175"/>
      <c r="O135" s="175"/>
      <c r="P135" s="175"/>
      <c r="Q135" s="176"/>
      <c r="R135" s="179">
        <f t="shared" si="8"/>
        <v>0</v>
      </c>
      <c r="S135" s="177"/>
    </row>
    <row r="136" spans="1:19" s="174" customFormat="1" ht="30.75" hidden="1" customHeight="1" x14ac:dyDescent="0.35">
      <c r="A136" s="178"/>
      <c r="B136" s="180">
        <v>15</v>
      </c>
      <c r="C136" s="175"/>
      <c r="D136" s="175"/>
      <c r="E136" s="175"/>
      <c r="F136" s="175"/>
      <c r="G136" s="175"/>
      <c r="H136" s="175"/>
      <c r="I136" s="175"/>
      <c r="J136" s="175"/>
      <c r="K136" s="175"/>
      <c r="L136" s="175"/>
      <c r="M136" s="175"/>
      <c r="N136" s="175"/>
      <c r="O136" s="175"/>
      <c r="P136" s="175"/>
      <c r="Q136" s="176"/>
      <c r="R136" s="179">
        <f t="shared" si="8"/>
        <v>0</v>
      </c>
      <c r="S136" s="177"/>
    </row>
    <row r="137" spans="1:19" s="174" customFormat="1" ht="30.75" hidden="1" customHeight="1" x14ac:dyDescent="0.35">
      <c r="A137" s="178"/>
      <c r="B137" s="180">
        <v>16</v>
      </c>
      <c r="C137" s="175"/>
      <c r="D137" s="175"/>
      <c r="E137" s="175"/>
      <c r="F137" s="175"/>
      <c r="G137" s="175"/>
      <c r="H137" s="175"/>
      <c r="I137" s="175"/>
      <c r="J137" s="175"/>
      <c r="K137" s="175"/>
      <c r="L137" s="175"/>
      <c r="M137" s="175"/>
      <c r="N137" s="175"/>
      <c r="O137" s="175"/>
      <c r="P137" s="175"/>
      <c r="Q137" s="176"/>
      <c r="R137" s="179">
        <f t="shared" si="8"/>
        <v>0</v>
      </c>
      <c r="S137" s="177"/>
    </row>
    <row r="138" spans="1:19" s="174" customFormat="1" ht="30.75" hidden="1" customHeight="1" x14ac:dyDescent="0.35">
      <c r="A138" s="178"/>
      <c r="B138" s="180">
        <v>17</v>
      </c>
      <c r="C138" s="175"/>
      <c r="D138" s="175"/>
      <c r="E138" s="175"/>
      <c r="F138" s="175"/>
      <c r="G138" s="175"/>
      <c r="H138" s="175"/>
      <c r="I138" s="175"/>
      <c r="J138" s="175"/>
      <c r="K138" s="175"/>
      <c r="L138" s="175"/>
      <c r="M138" s="175"/>
      <c r="N138" s="175"/>
      <c r="O138" s="175"/>
      <c r="P138" s="175"/>
      <c r="Q138" s="176"/>
      <c r="R138" s="179">
        <f t="shared" si="8"/>
        <v>0</v>
      </c>
      <c r="S138" s="177"/>
    </row>
    <row r="139" spans="1:19" s="174" customFormat="1" ht="30.75" hidden="1" customHeight="1" x14ac:dyDescent="0.35">
      <c r="A139" s="178"/>
      <c r="B139" s="180">
        <v>18</v>
      </c>
      <c r="C139" s="175"/>
      <c r="D139" s="175"/>
      <c r="E139" s="175"/>
      <c r="F139" s="175"/>
      <c r="G139" s="175"/>
      <c r="H139" s="175"/>
      <c r="I139" s="175"/>
      <c r="J139" s="175"/>
      <c r="K139" s="175"/>
      <c r="L139" s="175"/>
      <c r="M139" s="175"/>
      <c r="N139" s="175"/>
      <c r="O139" s="175"/>
      <c r="P139" s="175"/>
      <c r="Q139" s="176"/>
      <c r="R139" s="179">
        <f t="shared" si="8"/>
        <v>0</v>
      </c>
      <c r="S139" s="177"/>
    </row>
    <row r="140" spans="1:19" s="174" customFormat="1" ht="30.75" hidden="1" customHeight="1" x14ac:dyDescent="0.35">
      <c r="A140" s="178"/>
      <c r="B140" s="180">
        <v>19</v>
      </c>
      <c r="C140" s="175"/>
      <c r="D140" s="175"/>
      <c r="E140" s="175"/>
      <c r="F140" s="175"/>
      <c r="G140" s="175"/>
      <c r="H140" s="175"/>
      <c r="I140" s="175"/>
      <c r="J140" s="175"/>
      <c r="K140" s="175"/>
      <c r="L140" s="175"/>
      <c r="M140" s="175"/>
      <c r="N140" s="175"/>
      <c r="O140" s="175"/>
      <c r="P140" s="175"/>
      <c r="Q140" s="176"/>
      <c r="R140" s="179">
        <f t="shared" si="8"/>
        <v>0</v>
      </c>
      <c r="S140" s="177"/>
    </row>
    <row r="141" spans="1:19" s="174" customFormat="1" ht="30.75" hidden="1" customHeight="1" x14ac:dyDescent="0.35">
      <c r="A141" s="178"/>
      <c r="B141" s="180">
        <v>20</v>
      </c>
      <c r="C141" s="175"/>
      <c r="D141" s="175"/>
      <c r="E141" s="175"/>
      <c r="F141" s="175"/>
      <c r="G141" s="175"/>
      <c r="H141" s="175"/>
      <c r="I141" s="175"/>
      <c r="J141" s="175"/>
      <c r="K141" s="175"/>
      <c r="L141" s="175"/>
      <c r="M141" s="175"/>
      <c r="N141" s="175"/>
      <c r="O141" s="175"/>
      <c r="P141" s="175"/>
      <c r="Q141" s="176"/>
      <c r="R141" s="179">
        <f t="shared" si="8"/>
        <v>0</v>
      </c>
      <c r="S141" s="177"/>
    </row>
    <row r="142" spans="1:19" s="174" customFormat="1" ht="30.75" hidden="1" customHeight="1" x14ac:dyDescent="0.35">
      <c r="A142" s="178"/>
      <c r="B142" s="180">
        <v>21</v>
      </c>
      <c r="C142" s="175"/>
      <c r="D142" s="175"/>
      <c r="E142" s="175"/>
      <c r="F142" s="175"/>
      <c r="G142" s="175"/>
      <c r="H142" s="175"/>
      <c r="I142" s="175"/>
      <c r="J142" s="175"/>
      <c r="K142" s="175"/>
      <c r="L142" s="175"/>
      <c r="M142" s="175"/>
      <c r="N142" s="175"/>
      <c r="O142" s="175"/>
      <c r="P142" s="175"/>
      <c r="Q142" s="176"/>
      <c r="R142" s="179">
        <f t="shared" si="8"/>
        <v>0</v>
      </c>
      <c r="S142" s="177"/>
    </row>
    <row r="143" spans="1:19" s="174" customFormat="1" ht="30.75" hidden="1" customHeight="1" x14ac:dyDescent="0.35">
      <c r="A143" s="178"/>
      <c r="B143" s="180">
        <v>22</v>
      </c>
      <c r="C143" s="175"/>
      <c r="D143" s="175"/>
      <c r="E143" s="175"/>
      <c r="F143" s="175"/>
      <c r="G143" s="175"/>
      <c r="H143" s="175"/>
      <c r="I143" s="175"/>
      <c r="J143" s="175"/>
      <c r="K143" s="175"/>
      <c r="L143" s="175"/>
      <c r="M143" s="175"/>
      <c r="N143" s="175"/>
      <c r="O143" s="175"/>
      <c r="P143" s="175"/>
      <c r="Q143" s="176"/>
      <c r="R143" s="179">
        <f t="shared" si="8"/>
        <v>0</v>
      </c>
      <c r="S143" s="177"/>
    </row>
    <row r="144" spans="1:19" s="174" customFormat="1" ht="30.75" hidden="1" customHeight="1" x14ac:dyDescent="0.35">
      <c r="A144" s="178"/>
      <c r="B144" s="180">
        <v>23</v>
      </c>
      <c r="C144" s="175"/>
      <c r="D144" s="175"/>
      <c r="E144" s="175"/>
      <c r="F144" s="175"/>
      <c r="G144" s="175"/>
      <c r="H144" s="175"/>
      <c r="I144" s="175"/>
      <c r="J144" s="175"/>
      <c r="K144" s="175"/>
      <c r="L144" s="175"/>
      <c r="M144" s="175"/>
      <c r="N144" s="175"/>
      <c r="O144" s="175"/>
      <c r="P144" s="175"/>
      <c r="Q144" s="176"/>
      <c r="R144" s="179">
        <f t="shared" si="8"/>
        <v>0</v>
      </c>
      <c r="S144" s="177"/>
    </row>
    <row r="145" spans="1:19" s="174" customFormat="1" ht="30.75" hidden="1" customHeight="1" x14ac:dyDescent="0.35">
      <c r="A145" s="178"/>
      <c r="B145" s="180">
        <v>24</v>
      </c>
      <c r="C145" s="175"/>
      <c r="D145" s="175"/>
      <c r="E145" s="175"/>
      <c r="F145" s="175"/>
      <c r="G145" s="175"/>
      <c r="H145" s="175"/>
      <c r="I145" s="175"/>
      <c r="J145" s="175"/>
      <c r="K145" s="175"/>
      <c r="L145" s="175"/>
      <c r="M145" s="175"/>
      <c r="N145" s="175"/>
      <c r="O145" s="175"/>
      <c r="P145" s="175"/>
      <c r="Q145" s="176"/>
      <c r="R145" s="179">
        <f t="shared" si="8"/>
        <v>0</v>
      </c>
      <c r="S145" s="177"/>
    </row>
    <row r="146" spans="1:19" s="174" customFormat="1" ht="30.75" hidden="1" customHeight="1" x14ac:dyDescent="0.35">
      <c r="A146" s="178"/>
      <c r="B146" s="180">
        <v>25</v>
      </c>
      <c r="C146" s="175"/>
      <c r="D146" s="175"/>
      <c r="E146" s="175"/>
      <c r="F146" s="175"/>
      <c r="G146" s="175"/>
      <c r="H146" s="175"/>
      <c r="I146" s="175"/>
      <c r="J146" s="175"/>
      <c r="K146" s="175"/>
      <c r="L146" s="175"/>
      <c r="M146" s="175"/>
      <c r="N146" s="175"/>
      <c r="O146" s="175"/>
      <c r="P146" s="175"/>
      <c r="Q146" s="176"/>
      <c r="R146" s="179">
        <f t="shared" si="8"/>
        <v>0</v>
      </c>
      <c r="S146" s="177"/>
    </row>
    <row r="147" spans="1:19" s="174" customFormat="1" ht="30.75" customHeight="1" x14ac:dyDescent="0.35">
      <c r="A147" s="181" t="s">
        <v>60</v>
      </c>
      <c r="B147" s="182"/>
      <c r="C147" s="183">
        <f t="shared" ref="C147:P147" si="9">SUM(C123:C146)</f>
        <v>0</v>
      </c>
      <c r="D147" s="183">
        <f t="shared" si="9"/>
        <v>36000</v>
      </c>
      <c r="E147" s="183">
        <f t="shared" si="9"/>
        <v>0</v>
      </c>
      <c r="F147" s="183">
        <f t="shared" si="9"/>
        <v>70000</v>
      </c>
      <c r="G147" s="183">
        <f t="shared" si="9"/>
        <v>0</v>
      </c>
      <c r="H147" s="183">
        <f t="shared" si="9"/>
        <v>0</v>
      </c>
      <c r="I147" s="183">
        <f t="shared" si="9"/>
        <v>0</v>
      </c>
      <c r="J147" s="183">
        <f t="shared" si="9"/>
        <v>320000</v>
      </c>
      <c r="K147" s="183">
        <f t="shared" si="9"/>
        <v>0</v>
      </c>
      <c r="L147" s="183">
        <f t="shared" si="9"/>
        <v>0</v>
      </c>
      <c r="M147" s="183">
        <f t="shared" si="9"/>
        <v>26000</v>
      </c>
      <c r="N147" s="183">
        <f t="shared" si="9"/>
        <v>0</v>
      </c>
      <c r="O147" s="183">
        <f t="shared" si="9"/>
        <v>0</v>
      </c>
      <c r="P147" s="183">
        <f t="shared" si="9"/>
        <v>6132925</v>
      </c>
      <c r="Q147" s="184"/>
      <c r="R147" s="185">
        <f>SUM(R123:R146)</f>
        <v>6584925</v>
      </c>
      <c r="S147" s="186">
        <f>S122+R147</f>
        <v>17062863</v>
      </c>
    </row>
    <row r="148" spans="1:19" s="174" customFormat="1" ht="30.75" customHeight="1" x14ac:dyDescent="0.35">
      <c r="A148" s="1229">
        <v>46209</v>
      </c>
      <c r="B148" s="180">
        <v>54</v>
      </c>
      <c r="C148" s="175"/>
      <c r="D148" s="175"/>
      <c r="E148" s="175"/>
      <c r="F148" s="175"/>
      <c r="G148" s="175"/>
      <c r="H148" s="175"/>
      <c r="I148" s="175"/>
      <c r="J148" s="175"/>
      <c r="K148" s="175"/>
      <c r="L148" s="175"/>
      <c r="M148" s="175"/>
      <c r="N148" s="175"/>
      <c r="O148" s="175"/>
      <c r="P148" s="175">
        <v>1500000</v>
      </c>
      <c r="Q148" s="176" t="s">
        <v>953</v>
      </c>
      <c r="R148" s="179">
        <f t="shared" ref="R148:R171" si="10">SUM(C148:P148)</f>
        <v>1500000</v>
      </c>
      <c r="S148" s="177"/>
    </row>
    <row r="149" spans="1:19" s="174" customFormat="1" ht="30.75" customHeight="1" x14ac:dyDescent="0.35">
      <c r="A149" s="1230"/>
      <c r="B149" s="180">
        <v>55</v>
      </c>
      <c r="C149" s="175"/>
      <c r="D149" s="175"/>
      <c r="E149" s="175"/>
      <c r="F149" s="175"/>
      <c r="G149" s="175"/>
      <c r="H149" s="175"/>
      <c r="I149" s="175"/>
      <c r="J149" s="175"/>
      <c r="K149" s="175"/>
      <c r="L149" s="175"/>
      <c r="M149" s="175"/>
      <c r="N149" s="175"/>
      <c r="O149" s="175"/>
      <c r="P149" s="175">
        <v>800000</v>
      </c>
      <c r="Q149" s="176" t="s">
        <v>1068</v>
      </c>
      <c r="R149" s="179">
        <f t="shared" si="10"/>
        <v>800000</v>
      </c>
      <c r="S149" s="177"/>
    </row>
    <row r="150" spans="1:19" s="174" customFormat="1" ht="30.75" customHeight="1" x14ac:dyDescent="0.35">
      <c r="A150" s="1230"/>
      <c r="B150" s="180">
        <v>56</v>
      </c>
      <c r="C150" s="175"/>
      <c r="D150" s="175"/>
      <c r="E150" s="175"/>
      <c r="F150" s="175">
        <v>45000</v>
      </c>
      <c r="G150" s="175"/>
      <c r="H150" s="175"/>
      <c r="I150" s="175"/>
      <c r="J150" s="175"/>
      <c r="K150" s="175"/>
      <c r="L150" s="175"/>
      <c r="M150" s="175"/>
      <c r="N150" s="175"/>
      <c r="O150" s="175"/>
      <c r="P150" s="175"/>
      <c r="Q150" s="176" t="s">
        <v>1008</v>
      </c>
      <c r="R150" s="179">
        <f t="shared" si="10"/>
        <v>45000</v>
      </c>
      <c r="S150" s="177"/>
    </row>
    <row r="151" spans="1:19" s="174" customFormat="1" ht="30.75" customHeight="1" x14ac:dyDescent="0.35">
      <c r="A151" s="1230"/>
      <c r="B151" s="180">
        <v>57</v>
      </c>
      <c r="C151" s="175"/>
      <c r="D151" s="175"/>
      <c r="E151" s="175"/>
      <c r="F151" s="175"/>
      <c r="G151" s="175"/>
      <c r="H151" s="175">
        <v>60000</v>
      </c>
      <c r="I151" s="175"/>
      <c r="J151" s="175">
        <v>31000</v>
      </c>
      <c r="K151" s="175"/>
      <c r="L151" s="175"/>
      <c r="M151" s="175"/>
      <c r="N151" s="175"/>
      <c r="O151" s="175"/>
      <c r="P151" s="175"/>
      <c r="Q151" s="176" t="s">
        <v>1069</v>
      </c>
      <c r="R151" s="179">
        <f t="shared" si="10"/>
        <v>91000</v>
      </c>
      <c r="S151" s="177"/>
    </row>
    <row r="152" spans="1:19" s="174" customFormat="1" ht="30.75" customHeight="1" x14ac:dyDescent="0.35">
      <c r="A152" s="1230"/>
      <c r="B152" s="180">
        <v>58</v>
      </c>
      <c r="C152" s="175"/>
      <c r="D152" s="175"/>
      <c r="E152" s="175"/>
      <c r="F152" s="175"/>
      <c r="G152" s="175"/>
      <c r="H152" s="175"/>
      <c r="I152" s="175"/>
      <c r="J152" s="175">
        <v>14000</v>
      </c>
      <c r="K152" s="175">
        <v>17000</v>
      </c>
      <c r="L152" s="175"/>
      <c r="M152" s="175"/>
      <c r="N152" s="175"/>
      <c r="O152" s="175"/>
      <c r="P152" s="175"/>
      <c r="Q152" s="176" t="s">
        <v>584</v>
      </c>
      <c r="R152" s="179">
        <f t="shared" si="10"/>
        <v>31000</v>
      </c>
      <c r="S152" s="177"/>
    </row>
    <row r="153" spans="1:19" s="174" customFormat="1" ht="30.75" customHeight="1" x14ac:dyDescent="0.35">
      <c r="A153" s="1230"/>
      <c r="B153" s="180">
        <v>59</v>
      </c>
      <c r="C153" s="175"/>
      <c r="D153" s="175"/>
      <c r="E153" s="175"/>
      <c r="F153" s="175"/>
      <c r="G153" s="175"/>
      <c r="H153" s="175"/>
      <c r="I153" s="175"/>
      <c r="J153" s="175">
        <v>14000</v>
      </c>
      <c r="K153" s="175"/>
      <c r="L153" s="175"/>
      <c r="M153" s="175"/>
      <c r="N153" s="175"/>
      <c r="O153" s="175"/>
      <c r="P153" s="175"/>
      <c r="Q153" s="176" t="s">
        <v>321</v>
      </c>
      <c r="R153" s="179">
        <f t="shared" si="10"/>
        <v>14000</v>
      </c>
      <c r="S153" s="177"/>
    </row>
    <row r="154" spans="1:19" s="174" customFormat="1" ht="30.75" customHeight="1" x14ac:dyDescent="0.35">
      <c r="A154" s="1230"/>
      <c r="B154" s="180">
        <v>60</v>
      </c>
      <c r="C154" s="175"/>
      <c r="D154" s="175"/>
      <c r="E154" s="175"/>
      <c r="F154" s="175"/>
      <c r="G154" s="175"/>
      <c r="H154" s="175">
        <v>96000</v>
      </c>
      <c r="I154" s="175"/>
      <c r="J154" s="175"/>
      <c r="K154" s="175"/>
      <c r="L154" s="175"/>
      <c r="M154" s="175"/>
      <c r="N154" s="175"/>
      <c r="O154" s="175"/>
      <c r="P154" s="175"/>
      <c r="Q154" s="176" t="s">
        <v>1070</v>
      </c>
      <c r="R154" s="179">
        <f t="shared" si="10"/>
        <v>96000</v>
      </c>
      <c r="S154" s="177"/>
    </row>
    <row r="155" spans="1:19" s="174" customFormat="1" ht="30.75" customHeight="1" x14ac:dyDescent="0.35">
      <c r="A155" s="1230"/>
      <c r="B155" s="180">
        <v>61</v>
      </c>
      <c r="C155" s="175"/>
      <c r="D155" s="175"/>
      <c r="E155" s="175"/>
      <c r="F155" s="175"/>
      <c r="G155" s="175"/>
      <c r="H155" s="175">
        <v>67000</v>
      </c>
      <c r="I155" s="175"/>
      <c r="J155" s="175"/>
      <c r="K155" s="175"/>
      <c r="L155" s="175"/>
      <c r="M155" s="175"/>
      <c r="N155" s="175"/>
      <c r="O155" s="175"/>
      <c r="P155" s="175"/>
      <c r="Q155" s="176" t="s">
        <v>1071</v>
      </c>
      <c r="R155" s="179">
        <f t="shared" si="10"/>
        <v>67000</v>
      </c>
      <c r="S155" s="177"/>
    </row>
    <row r="156" spans="1:19" s="174" customFormat="1" ht="30.75" customHeight="1" x14ac:dyDescent="0.35">
      <c r="A156" s="1230"/>
      <c r="B156" s="180">
        <v>62</v>
      </c>
      <c r="C156" s="175"/>
      <c r="D156" s="175"/>
      <c r="E156" s="175"/>
      <c r="F156" s="175"/>
      <c r="G156" s="175"/>
      <c r="H156" s="175"/>
      <c r="I156" s="175"/>
      <c r="J156" s="175"/>
      <c r="K156" s="175"/>
      <c r="L156" s="175"/>
      <c r="M156" s="175"/>
      <c r="N156" s="175"/>
      <c r="O156" s="175"/>
      <c r="P156" s="175">
        <v>626500</v>
      </c>
      <c r="Q156" s="176" t="s">
        <v>1013</v>
      </c>
      <c r="R156" s="179">
        <f t="shared" si="10"/>
        <v>626500</v>
      </c>
      <c r="S156" s="177"/>
    </row>
    <row r="157" spans="1:19" s="174" customFormat="1" ht="30.75" hidden="1" customHeight="1" x14ac:dyDescent="0.35">
      <c r="A157" s="178"/>
      <c r="B157" s="180">
        <v>24</v>
      </c>
      <c r="C157" s="175"/>
      <c r="D157" s="175"/>
      <c r="E157" s="175"/>
      <c r="F157" s="175"/>
      <c r="G157" s="175"/>
      <c r="H157" s="175"/>
      <c r="I157" s="175"/>
      <c r="J157" s="175"/>
      <c r="K157" s="175"/>
      <c r="L157" s="175"/>
      <c r="M157" s="175"/>
      <c r="N157" s="175"/>
      <c r="O157" s="175"/>
      <c r="P157" s="175"/>
      <c r="Q157" s="176"/>
      <c r="R157" s="179">
        <f t="shared" si="10"/>
        <v>0</v>
      </c>
      <c r="S157" s="177"/>
    </row>
    <row r="158" spans="1:19" s="174" customFormat="1" ht="30.75" hidden="1" customHeight="1" x14ac:dyDescent="0.35">
      <c r="A158" s="178"/>
      <c r="B158" s="180">
        <v>24</v>
      </c>
      <c r="C158" s="175"/>
      <c r="D158" s="175"/>
      <c r="E158" s="175"/>
      <c r="F158" s="175"/>
      <c r="G158" s="175"/>
      <c r="H158" s="175"/>
      <c r="I158" s="175"/>
      <c r="J158" s="175"/>
      <c r="K158" s="175"/>
      <c r="L158" s="175"/>
      <c r="M158" s="175"/>
      <c r="N158" s="175"/>
      <c r="O158" s="175"/>
      <c r="P158" s="175"/>
      <c r="Q158" s="176"/>
      <c r="R158" s="179">
        <f t="shared" si="10"/>
        <v>0</v>
      </c>
      <c r="S158" s="177"/>
    </row>
    <row r="159" spans="1:19" s="174" customFormat="1" ht="30.75" hidden="1" customHeight="1" x14ac:dyDescent="0.35">
      <c r="A159" s="178"/>
      <c r="B159" s="180">
        <v>24</v>
      </c>
      <c r="C159" s="175"/>
      <c r="D159" s="175"/>
      <c r="E159" s="175"/>
      <c r="F159" s="175"/>
      <c r="G159" s="175"/>
      <c r="H159" s="175"/>
      <c r="I159" s="175"/>
      <c r="J159" s="175"/>
      <c r="K159" s="175"/>
      <c r="L159" s="175"/>
      <c r="M159" s="175"/>
      <c r="N159" s="175"/>
      <c r="O159" s="175"/>
      <c r="P159" s="175"/>
      <c r="Q159" s="176"/>
      <c r="R159" s="179">
        <f t="shared" si="10"/>
        <v>0</v>
      </c>
      <c r="S159" s="177"/>
    </row>
    <row r="160" spans="1:19" s="174" customFormat="1" ht="30.75" hidden="1" customHeight="1" x14ac:dyDescent="0.35">
      <c r="A160" s="178"/>
      <c r="B160" s="180">
        <v>24</v>
      </c>
      <c r="C160" s="175"/>
      <c r="D160" s="175"/>
      <c r="E160" s="175"/>
      <c r="F160" s="175"/>
      <c r="G160" s="175"/>
      <c r="H160" s="175"/>
      <c r="I160" s="175"/>
      <c r="J160" s="175"/>
      <c r="K160" s="175"/>
      <c r="L160" s="175"/>
      <c r="M160" s="175"/>
      <c r="N160" s="175"/>
      <c r="O160" s="175"/>
      <c r="P160" s="175"/>
      <c r="Q160" s="176"/>
      <c r="R160" s="179">
        <f t="shared" si="10"/>
        <v>0</v>
      </c>
      <c r="S160" s="177"/>
    </row>
    <row r="161" spans="1:19" s="174" customFormat="1" ht="30.75" hidden="1" customHeight="1" x14ac:dyDescent="0.35">
      <c r="A161" s="178"/>
      <c r="B161" s="180">
        <v>24</v>
      </c>
      <c r="C161" s="175"/>
      <c r="D161" s="175"/>
      <c r="E161" s="175"/>
      <c r="F161" s="175"/>
      <c r="G161" s="175"/>
      <c r="H161" s="175"/>
      <c r="I161" s="175"/>
      <c r="J161" s="175"/>
      <c r="K161" s="175"/>
      <c r="L161" s="175"/>
      <c r="M161" s="175"/>
      <c r="N161" s="175"/>
      <c r="O161" s="175"/>
      <c r="P161" s="175"/>
      <c r="Q161" s="176"/>
      <c r="R161" s="179">
        <f t="shared" si="10"/>
        <v>0</v>
      </c>
      <c r="S161" s="177"/>
    </row>
    <row r="162" spans="1:19" s="174" customFormat="1" ht="30.75" hidden="1" customHeight="1" x14ac:dyDescent="0.35">
      <c r="A162" s="178"/>
      <c r="B162" s="180">
        <v>24</v>
      </c>
      <c r="C162" s="175"/>
      <c r="D162" s="175"/>
      <c r="E162" s="175"/>
      <c r="F162" s="175"/>
      <c r="G162" s="175"/>
      <c r="H162" s="175"/>
      <c r="I162" s="175"/>
      <c r="J162" s="175"/>
      <c r="K162" s="175"/>
      <c r="L162" s="175"/>
      <c r="M162" s="175"/>
      <c r="N162" s="175"/>
      <c r="O162" s="175"/>
      <c r="P162" s="175"/>
      <c r="Q162" s="176"/>
      <c r="R162" s="179">
        <f t="shared" si="10"/>
        <v>0</v>
      </c>
      <c r="S162" s="177"/>
    </row>
    <row r="163" spans="1:19" s="174" customFormat="1" ht="30.75" hidden="1" customHeight="1" x14ac:dyDescent="0.35">
      <c r="A163" s="178"/>
      <c r="B163" s="180">
        <v>24</v>
      </c>
      <c r="C163" s="175"/>
      <c r="D163" s="175"/>
      <c r="E163" s="175"/>
      <c r="F163" s="175"/>
      <c r="G163" s="175"/>
      <c r="H163" s="175"/>
      <c r="I163" s="175"/>
      <c r="J163" s="175"/>
      <c r="K163" s="175"/>
      <c r="L163" s="175"/>
      <c r="M163" s="175"/>
      <c r="N163" s="175"/>
      <c r="O163" s="175"/>
      <c r="P163" s="175"/>
      <c r="Q163" s="176"/>
      <c r="R163" s="179">
        <f t="shared" si="10"/>
        <v>0</v>
      </c>
      <c r="S163" s="177"/>
    </row>
    <row r="164" spans="1:19" s="174" customFormat="1" ht="30.75" hidden="1" customHeight="1" x14ac:dyDescent="0.35">
      <c r="A164" s="178"/>
      <c r="B164" s="180">
        <v>24</v>
      </c>
      <c r="C164" s="175"/>
      <c r="D164" s="175"/>
      <c r="E164" s="175"/>
      <c r="F164" s="175"/>
      <c r="G164" s="175"/>
      <c r="H164" s="175"/>
      <c r="I164" s="175"/>
      <c r="J164" s="175"/>
      <c r="K164" s="175"/>
      <c r="L164" s="175"/>
      <c r="M164" s="175"/>
      <c r="N164" s="175"/>
      <c r="O164" s="175"/>
      <c r="P164" s="175"/>
      <c r="Q164" s="176"/>
      <c r="R164" s="179">
        <f t="shared" si="10"/>
        <v>0</v>
      </c>
      <c r="S164" s="177"/>
    </row>
    <row r="165" spans="1:19" s="174" customFormat="1" ht="30.75" hidden="1" customHeight="1" x14ac:dyDescent="0.35">
      <c r="A165" s="178"/>
      <c r="B165" s="180">
        <v>24</v>
      </c>
      <c r="C165" s="175"/>
      <c r="D165" s="175"/>
      <c r="E165" s="175"/>
      <c r="F165" s="175"/>
      <c r="G165" s="175"/>
      <c r="H165" s="175"/>
      <c r="I165" s="175"/>
      <c r="J165" s="175"/>
      <c r="K165" s="175"/>
      <c r="L165" s="175"/>
      <c r="M165" s="175"/>
      <c r="N165" s="175"/>
      <c r="O165" s="175"/>
      <c r="P165" s="175"/>
      <c r="Q165" s="176"/>
      <c r="R165" s="179">
        <f t="shared" si="10"/>
        <v>0</v>
      </c>
      <c r="S165" s="177"/>
    </row>
    <row r="166" spans="1:19" s="174" customFormat="1" ht="30.75" hidden="1" customHeight="1" x14ac:dyDescent="0.35">
      <c r="A166" s="178"/>
      <c r="B166" s="180">
        <v>24</v>
      </c>
      <c r="C166" s="175"/>
      <c r="D166" s="175"/>
      <c r="E166" s="175"/>
      <c r="F166" s="175"/>
      <c r="G166" s="175"/>
      <c r="H166" s="175"/>
      <c r="I166" s="175"/>
      <c r="J166" s="175"/>
      <c r="K166" s="175"/>
      <c r="L166" s="175"/>
      <c r="M166" s="175"/>
      <c r="N166" s="175"/>
      <c r="O166" s="175"/>
      <c r="P166" s="175"/>
      <c r="Q166" s="176"/>
      <c r="R166" s="179">
        <f t="shared" si="10"/>
        <v>0</v>
      </c>
      <c r="S166" s="177"/>
    </row>
    <row r="167" spans="1:19" s="174" customFormat="1" ht="30.75" hidden="1" customHeight="1" x14ac:dyDescent="0.35">
      <c r="A167" s="178"/>
      <c r="B167" s="180">
        <v>24</v>
      </c>
      <c r="C167" s="175"/>
      <c r="D167" s="175"/>
      <c r="E167" s="175"/>
      <c r="F167" s="175"/>
      <c r="G167" s="175"/>
      <c r="H167" s="175"/>
      <c r="I167" s="175"/>
      <c r="J167" s="175"/>
      <c r="K167" s="175"/>
      <c r="L167" s="175"/>
      <c r="M167" s="175"/>
      <c r="N167" s="175"/>
      <c r="O167" s="175"/>
      <c r="P167" s="175"/>
      <c r="Q167" s="176"/>
      <c r="R167" s="179">
        <f t="shared" si="10"/>
        <v>0</v>
      </c>
      <c r="S167" s="177"/>
    </row>
    <row r="168" spans="1:19" s="174" customFormat="1" ht="30.75" hidden="1" customHeight="1" x14ac:dyDescent="0.35">
      <c r="A168" s="178"/>
      <c r="B168" s="180">
        <v>24</v>
      </c>
      <c r="C168" s="175"/>
      <c r="D168" s="175"/>
      <c r="E168" s="175"/>
      <c r="F168" s="175"/>
      <c r="G168" s="175"/>
      <c r="H168" s="175"/>
      <c r="I168" s="175"/>
      <c r="J168" s="175"/>
      <c r="K168" s="175"/>
      <c r="L168" s="175"/>
      <c r="M168" s="175"/>
      <c r="N168" s="175"/>
      <c r="O168" s="175"/>
      <c r="P168" s="175"/>
      <c r="Q168" s="176"/>
      <c r="R168" s="179">
        <f t="shared" si="10"/>
        <v>0</v>
      </c>
      <c r="S168" s="177"/>
    </row>
    <row r="169" spans="1:19" s="174" customFormat="1" ht="30.75" hidden="1" customHeight="1" x14ac:dyDescent="0.35">
      <c r="A169" s="178"/>
      <c r="B169" s="180">
        <v>24</v>
      </c>
      <c r="C169" s="175"/>
      <c r="D169" s="175"/>
      <c r="E169" s="175"/>
      <c r="F169" s="175"/>
      <c r="G169" s="175"/>
      <c r="H169" s="175"/>
      <c r="I169" s="175"/>
      <c r="J169" s="175"/>
      <c r="K169" s="175"/>
      <c r="L169" s="175"/>
      <c r="M169" s="175"/>
      <c r="N169" s="175"/>
      <c r="O169" s="175"/>
      <c r="P169" s="175"/>
      <c r="Q169" s="176"/>
      <c r="R169" s="179">
        <f t="shared" si="10"/>
        <v>0</v>
      </c>
      <c r="S169" s="177"/>
    </row>
    <row r="170" spans="1:19" s="174" customFormat="1" ht="30.75" hidden="1" customHeight="1" x14ac:dyDescent="0.35">
      <c r="A170" s="178"/>
      <c r="B170" s="180">
        <v>24</v>
      </c>
      <c r="C170" s="175"/>
      <c r="D170" s="175"/>
      <c r="E170" s="175"/>
      <c r="F170" s="175"/>
      <c r="G170" s="175"/>
      <c r="H170" s="175"/>
      <c r="I170" s="175"/>
      <c r="J170" s="175"/>
      <c r="K170" s="175"/>
      <c r="L170" s="175"/>
      <c r="M170" s="175"/>
      <c r="N170" s="175"/>
      <c r="O170" s="175"/>
      <c r="P170" s="175"/>
      <c r="Q170" s="176"/>
      <c r="R170" s="179">
        <f t="shared" si="10"/>
        <v>0</v>
      </c>
      <c r="S170" s="177"/>
    </row>
    <row r="171" spans="1:19" s="174" customFormat="1" ht="30.75" hidden="1" customHeight="1" x14ac:dyDescent="0.35">
      <c r="A171" s="178"/>
      <c r="B171" s="180">
        <v>24</v>
      </c>
      <c r="C171" s="175"/>
      <c r="D171" s="175"/>
      <c r="E171" s="175"/>
      <c r="F171" s="175"/>
      <c r="G171" s="175"/>
      <c r="H171" s="175"/>
      <c r="I171" s="175"/>
      <c r="J171" s="175"/>
      <c r="K171" s="175"/>
      <c r="L171" s="175"/>
      <c r="M171" s="175"/>
      <c r="N171" s="175"/>
      <c r="O171" s="175"/>
      <c r="P171" s="175"/>
      <c r="Q171" s="176"/>
      <c r="R171" s="179">
        <f t="shared" si="10"/>
        <v>0</v>
      </c>
      <c r="S171" s="177"/>
    </row>
    <row r="172" spans="1:19" s="174" customFormat="1" ht="30.75" customHeight="1" x14ac:dyDescent="0.35">
      <c r="A172" s="181" t="s">
        <v>60</v>
      </c>
      <c r="B172" s="182"/>
      <c r="C172" s="183">
        <f t="shared" ref="C172:P172" si="11">SUM(C148:C171)</f>
        <v>0</v>
      </c>
      <c r="D172" s="183">
        <f t="shared" si="11"/>
        <v>0</v>
      </c>
      <c r="E172" s="183">
        <f t="shared" si="11"/>
        <v>0</v>
      </c>
      <c r="F172" s="183">
        <f t="shared" si="11"/>
        <v>45000</v>
      </c>
      <c r="G172" s="183">
        <f t="shared" si="11"/>
        <v>0</v>
      </c>
      <c r="H172" s="183">
        <f t="shared" si="11"/>
        <v>223000</v>
      </c>
      <c r="I172" s="183">
        <f t="shared" si="11"/>
        <v>0</v>
      </c>
      <c r="J172" s="183">
        <f t="shared" si="11"/>
        <v>59000</v>
      </c>
      <c r="K172" s="183">
        <f t="shared" si="11"/>
        <v>17000</v>
      </c>
      <c r="L172" s="183">
        <f t="shared" si="11"/>
        <v>0</v>
      </c>
      <c r="M172" s="183">
        <f t="shared" si="11"/>
        <v>0</v>
      </c>
      <c r="N172" s="183">
        <f t="shared" si="11"/>
        <v>0</v>
      </c>
      <c r="O172" s="183">
        <f t="shared" si="11"/>
        <v>0</v>
      </c>
      <c r="P172" s="183">
        <f t="shared" si="11"/>
        <v>2926500</v>
      </c>
      <c r="Q172" s="184"/>
      <c r="R172" s="185">
        <f>SUM(R148:R171)</f>
        <v>3270500</v>
      </c>
      <c r="S172" s="186">
        <f>S147+R172</f>
        <v>20333363</v>
      </c>
    </row>
    <row r="173" spans="1:19" s="174" customFormat="1" ht="30.75" customHeight="1" x14ac:dyDescent="0.35">
      <c r="A173" s="1231">
        <v>46210</v>
      </c>
      <c r="B173" s="180">
        <v>63</v>
      </c>
      <c r="C173" s="175"/>
      <c r="D173" s="175"/>
      <c r="E173" s="175"/>
      <c r="F173" s="175"/>
      <c r="G173" s="175"/>
      <c r="H173" s="175"/>
      <c r="I173" s="175"/>
      <c r="J173" s="175"/>
      <c r="K173" s="175"/>
      <c r="L173" s="175"/>
      <c r="M173" s="175"/>
      <c r="N173" s="175"/>
      <c r="O173" s="175"/>
      <c r="P173" s="175">
        <v>1500000</v>
      </c>
      <c r="Q173" s="176" t="s">
        <v>953</v>
      </c>
      <c r="R173" s="179">
        <f t="shared" ref="R173:R198" si="12">SUM(C173:P173)</f>
        <v>1500000</v>
      </c>
      <c r="S173" s="177"/>
    </row>
    <row r="174" spans="1:19" s="174" customFormat="1" ht="30.75" customHeight="1" x14ac:dyDescent="0.35">
      <c r="A174" s="1232"/>
      <c r="B174" s="180">
        <v>64</v>
      </c>
      <c r="C174" s="175"/>
      <c r="D174" s="175"/>
      <c r="E174" s="175"/>
      <c r="F174" s="175"/>
      <c r="G174" s="175"/>
      <c r="H174" s="175"/>
      <c r="I174" s="175"/>
      <c r="J174" s="175">
        <v>16000</v>
      </c>
      <c r="K174" s="175"/>
      <c r="L174" s="175"/>
      <c r="M174" s="175"/>
      <c r="N174" s="175"/>
      <c r="O174" s="175"/>
      <c r="P174" s="175"/>
      <c r="Q174" s="176" t="s">
        <v>1021</v>
      </c>
      <c r="R174" s="179">
        <f t="shared" si="12"/>
        <v>16000</v>
      </c>
      <c r="S174" s="177"/>
    </row>
    <row r="175" spans="1:19" s="174" customFormat="1" ht="30.75" customHeight="1" x14ac:dyDescent="0.35">
      <c r="A175" s="1232"/>
      <c r="B175" s="180">
        <v>65</v>
      </c>
      <c r="C175" s="175"/>
      <c r="D175" s="175"/>
      <c r="E175" s="175"/>
      <c r="F175" s="175">
        <v>175000</v>
      </c>
      <c r="G175" s="175"/>
      <c r="H175" s="175"/>
      <c r="I175" s="175"/>
      <c r="J175" s="175"/>
      <c r="K175" s="175"/>
      <c r="L175" s="175"/>
      <c r="M175" s="175"/>
      <c r="N175" s="175"/>
      <c r="O175" s="175"/>
      <c r="P175" s="175"/>
      <c r="Q175" s="176" t="s">
        <v>1060</v>
      </c>
      <c r="R175" s="179">
        <f t="shared" si="12"/>
        <v>175000</v>
      </c>
      <c r="S175" s="177"/>
    </row>
    <row r="176" spans="1:19" s="174" customFormat="1" ht="30.75" customHeight="1" x14ac:dyDescent="0.35">
      <c r="A176" s="1232"/>
      <c r="B176" s="180">
        <v>66</v>
      </c>
      <c r="C176" s="175"/>
      <c r="D176" s="175"/>
      <c r="E176" s="175"/>
      <c r="F176" s="175">
        <v>87500</v>
      </c>
      <c r="G176" s="175"/>
      <c r="H176" s="175"/>
      <c r="I176" s="175"/>
      <c r="J176" s="175"/>
      <c r="K176" s="175"/>
      <c r="L176" s="175"/>
      <c r="M176" s="175"/>
      <c r="N176" s="175"/>
      <c r="O176" s="175"/>
      <c r="P176" s="175"/>
      <c r="Q176" s="176" t="s">
        <v>1059</v>
      </c>
      <c r="R176" s="179">
        <f t="shared" si="12"/>
        <v>87500</v>
      </c>
      <c r="S176" s="177"/>
    </row>
    <row r="177" spans="1:19" s="174" customFormat="1" ht="30.75" customHeight="1" x14ac:dyDescent="0.35">
      <c r="A177" s="1232"/>
      <c r="B177" s="180">
        <v>67</v>
      </c>
      <c r="C177" s="175"/>
      <c r="D177" s="175"/>
      <c r="E177" s="175"/>
      <c r="F177" s="175"/>
      <c r="G177" s="175"/>
      <c r="H177" s="175"/>
      <c r="I177" s="175"/>
      <c r="J177" s="175"/>
      <c r="K177" s="175">
        <v>14000</v>
      </c>
      <c r="L177" s="175"/>
      <c r="M177" s="175"/>
      <c r="N177" s="175"/>
      <c r="O177" s="175"/>
      <c r="P177" s="175"/>
      <c r="Q177" s="176" t="s">
        <v>1072</v>
      </c>
      <c r="R177" s="179">
        <f t="shared" si="12"/>
        <v>14000</v>
      </c>
      <c r="S177" s="177"/>
    </row>
    <row r="178" spans="1:19" s="174" customFormat="1" ht="30.75" customHeight="1" x14ac:dyDescent="0.35">
      <c r="A178" s="1232"/>
      <c r="B178" s="180">
        <v>68</v>
      </c>
      <c r="C178" s="175"/>
      <c r="D178" s="175"/>
      <c r="E178" s="175">
        <v>13900</v>
      </c>
      <c r="F178" s="175"/>
      <c r="G178" s="175"/>
      <c r="H178" s="175"/>
      <c r="I178" s="175"/>
      <c r="J178" s="175"/>
      <c r="K178" s="175"/>
      <c r="L178" s="175">
        <v>122100</v>
      </c>
      <c r="M178" s="175"/>
      <c r="N178" s="175"/>
      <c r="O178" s="175"/>
      <c r="P178" s="175"/>
      <c r="Q178" s="176" t="s">
        <v>107</v>
      </c>
      <c r="R178" s="179">
        <f t="shared" si="12"/>
        <v>136000</v>
      </c>
      <c r="S178" s="177"/>
    </row>
    <row r="179" spans="1:19" s="174" customFormat="1" ht="30.75" customHeight="1" x14ac:dyDescent="0.35">
      <c r="A179" s="1232"/>
      <c r="B179" s="180">
        <v>69</v>
      </c>
      <c r="C179" s="175"/>
      <c r="D179" s="175"/>
      <c r="E179" s="175"/>
      <c r="F179" s="175"/>
      <c r="G179" s="175">
        <v>24000</v>
      </c>
      <c r="H179" s="175"/>
      <c r="I179" s="175"/>
      <c r="J179" s="175"/>
      <c r="K179" s="175"/>
      <c r="L179" s="175"/>
      <c r="M179" s="175"/>
      <c r="N179" s="175"/>
      <c r="O179" s="175"/>
      <c r="P179" s="175"/>
      <c r="Q179" s="176" t="s">
        <v>1073</v>
      </c>
      <c r="R179" s="179">
        <f t="shared" si="12"/>
        <v>24000</v>
      </c>
      <c r="S179" s="177"/>
    </row>
    <row r="180" spans="1:19" s="174" customFormat="1" ht="30.75" customHeight="1" x14ac:dyDescent="0.35">
      <c r="A180" s="1232"/>
      <c r="B180" s="180">
        <v>70</v>
      </c>
      <c r="C180" s="175"/>
      <c r="D180" s="175"/>
      <c r="E180" s="175">
        <v>9000</v>
      </c>
      <c r="F180" s="175"/>
      <c r="G180" s="175"/>
      <c r="H180" s="175"/>
      <c r="I180" s="175"/>
      <c r="J180" s="175"/>
      <c r="K180" s="175"/>
      <c r="L180" s="175"/>
      <c r="M180" s="175"/>
      <c r="N180" s="175"/>
      <c r="O180" s="175"/>
      <c r="P180" s="175"/>
      <c r="Q180" s="176" t="s">
        <v>245</v>
      </c>
      <c r="R180" s="179">
        <f t="shared" si="12"/>
        <v>9000</v>
      </c>
      <c r="S180" s="177"/>
    </row>
    <row r="181" spans="1:19" s="174" customFormat="1" ht="30.75" customHeight="1" x14ac:dyDescent="0.35">
      <c r="A181" s="1232"/>
      <c r="B181" s="180">
        <v>71</v>
      </c>
      <c r="C181" s="175"/>
      <c r="D181" s="175"/>
      <c r="E181" s="175">
        <v>4000</v>
      </c>
      <c r="F181" s="175"/>
      <c r="G181" s="175"/>
      <c r="H181" s="175"/>
      <c r="I181" s="175"/>
      <c r="J181" s="175">
        <v>10000</v>
      </c>
      <c r="K181" s="175">
        <v>2000</v>
      </c>
      <c r="L181" s="175"/>
      <c r="M181" s="175"/>
      <c r="N181" s="175"/>
      <c r="O181" s="175"/>
      <c r="P181" s="175"/>
      <c r="Q181" s="176" t="s">
        <v>584</v>
      </c>
      <c r="R181" s="179">
        <f t="shared" si="12"/>
        <v>16000</v>
      </c>
      <c r="S181" s="177"/>
    </row>
    <row r="182" spans="1:19" s="174" customFormat="1" ht="30.75" customHeight="1" x14ac:dyDescent="0.35">
      <c r="A182" s="1232"/>
      <c r="B182" s="180">
        <v>72</v>
      </c>
      <c r="C182" s="175"/>
      <c r="D182" s="175"/>
      <c r="E182" s="175"/>
      <c r="F182" s="175"/>
      <c r="G182" s="175"/>
      <c r="H182" s="175"/>
      <c r="I182" s="175"/>
      <c r="J182" s="175"/>
      <c r="K182" s="175"/>
      <c r="L182" s="175"/>
      <c r="M182" s="175"/>
      <c r="N182" s="175"/>
      <c r="O182" s="175"/>
      <c r="P182" s="175">
        <v>1295702</v>
      </c>
      <c r="Q182" s="176" t="s">
        <v>1074</v>
      </c>
      <c r="R182" s="179">
        <f t="shared" si="12"/>
        <v>1295702</v>
      </c>
      <c r="S182" s="177"/>
    </row>
    <row r="183" spans="1:19" s="174" customFormat="1" ht="30.75" customHeight="1" x14ac:dyDescent="0.35">
      <c r="A183" s="1233"/>
      <c r="B183" s="180">
        <v>73</v>
      </c>
      <c r="C183" s="175"/>
      <c r="D183" s="175"/>
      <c r="E183" s="175"/>
      <c r="F183" s="175"/>
      <c r="G183" s="175"/>
      <c r="H183" s="175"/>
      <c r="I183" s="175"/>
      <c r="J183" s="175"/>
      <c r="K183" s="175"/>
      <c r="L183" s="175"/>
      <c r="M183" s="175"/>
      <c r="N183" s="175"/>
      <c r="O183" s="175"/>
      <c r="P183" s="175">
        <v>436000</v>
      </c>
      <c r="Q183" s="176" t="s">
        <v>1013</v>
      </c>
      <c r="R183" s="179">
        <f t="shared" si="12"/>
        <v>436000</v>
      </c>
      <c r="S183" s="177"/>
    </row>
    <row r="184" spans="1:19" s="174" customFormat="1" ht="30.75" hidden="1" customHeight="1" x14ac:dyDescent="0.35">
      <c r="A184" s="178"/>
      <c r="B184" s="180">
        <v>38</v>
      </c>
      <c r="C184" s="175"/>
      <c r="D184" s="175"/>
      <c r="E184" s="175"/>
      <c r="F184" s="175"/>
      <c r="G184" s="175"/>
      <c r="H184" s="175"/>
      <c r="I184" s="175"/>
      <c r="J184" s="175"/>
      <c r="K184" s="175"/>
      <c r="L184" s="175"/>
      <c r="M184" s="175"/>
      <c r="N184" s="175"/>
      <c r="O184" s="175"/>
      <c r="P184" s="175"/>
      <c r="Q184" s="176"/>
      <c r="R184" s="179">
        <f t="shared" si="12"/>
        <v>0</v>
      </c>
      <c r="S184" s="177"/>
    </row>
    <row r="185" spans="1:19" s="174" customFormat="1" ht="30.75" hidden="1" customHeight="1" x14ac:dyDescent="0.35">
      <c r="A185" s="178"/>
      <c r="B185" s="180">
        <v>39</v>
      </c>
      <c r="C185" s="175"/>
      <c r="D185" s="175"/>
      <c r="E185" s="175"/>
      <c r="F185" s="175"/>
      <c r="G185" s="175"/>
      <c r="H185" s="175"/>
      <c r="I185" s="175"/>
      <c r="J185" s="175"/>
      <c r="K185" s="175"/>
      <c r="L185" s="175"/>
      <c r="M185" s="175"/>
      <c r="N185" s="175"/>
      <c r="O185" s="175"/>
      <c r="P185" s="175"/>
      <c r="Q185" s="176"/>
      <c r="R185" s="179">
        <f t="shared" si="12"/>
        <v>0</v>
      </c>
      <c r="S185" s="177"/>
    </row>
    <row r="186" spans="1:19" s="174" customFormat="1" ht="30.75" hidden="1" customHeight="1" x14ac:dyDescent="0.35">
      <c r="A186" s="178"/>
      <c r="B186" s="180">
        <v>40</v>
      </c>
      <c r="C186" s="175"/>
      <c r="D186" s="175"/>
      <c r="E186" s="175"/>
      <c r="F186" s="175"/>
      <c r="G186" s="175"/>
      <c r="H186" s="175"/>
      <c r="I186" s="175"/>
      <c r="J186" s="175"/>
      <c r="K186" s="175"/>
      <c r="L186" s="175"/>
      <c r="M186" s="175"/>
      <c r="N186" s="175"/>
      <c r="O186" s="175"/>
      <c r="P186" s="175"/>
      <c r="Q186" s="176"/>
      <c r="R186" s="179">
        <f t="shared" si="12"/>
        <v>0</v>
      </c>
      <c r="S186" s="177"/>
    </row>
    <row r="187" spans="1:19" s="174" customFormat="1" ht="30.75" hidden="1" customHeight="1" x14ac:dyDescent="0.35">
      <c r="A187" s="178"/>
      <c r="B187" s="180">
        <v>41</v>
      </c>
      <c r="C187" s="175"/>
      <c r="D187" s="175"/>
      <c r="E187" s="175"/>
      <c r="F187" s="175"/>
      <c r="G187" s="175"/>
      <c r="H187" s="175"/>
      <c r="I187" s="175"/>
      <c r="J187" s="175"/>
      <c r="K187" s="175"/>
      <c r="L187" s="175"/>
      <c r="M187" s="175"/>
      <c r="N187" s="175"/>
      <c r="O187" s="175"/>
      <c r="P187" s="175"/>
      <c r="Q187" s="176"/>
      <c r="R187" s="179">
        <f t="shared" si="12"/>
        <v>0</v>
      </c>
      <c r="S187" s="177"/>
    </row>
    <row r="188" spans="1:19" s="174" customFormat="1" ht="30.75" hidden="1" customHeight="1" x14ac:dyDescent="0.35">
      <c r="A188" s="178"/>
      <c r="B188" s="180">
        <v>42</v>
      </c>
      <c r="C188" s="175"/>
      <c r="D188" s="175"/>
      <c r="E188" s="175"/>
      <c r="F188" s="175"/>
      <c r="G188" s="175"/>
      <c r="H188" s="175"/>
      <c r="I188" s="175"/>
      <c r="J188" s="175"/>
      <c r="K188" s="175"/>
      <c r="L188" s="175"/>
      <c r="M188" s="175"/>
      <c r="N188" s="175"/>
      <c r="O188" s="175"/>
      <c r="P188" s="175"/>
      <c r="Q188" s="176"/>
      <c r="R188" s="179">
        <f t="shared" si="12"/>
        <v>0</v>
      </c>
      <c r="S188" s="177"/>
    </row>
    <row r="189" spans="1:19" s="174" customFormat="1" ht="30.75" hidden="1" customHeight="1" x14ac:dyDescent="0.35">
      <c r="A189" s="178"/>
      <c r="B189" s="180">
        <v>43</v>
      </c>
      <c r="C189" s="175"/>
      <c r="D189" s="175"/>
      <c r="E189" s="175"/>
      <c r="F189" s="175"/>
      <c r="G189" s="175"/>
      <c r="H189" s="175"/>
      <c r="I189" s="175"/>
      <c r="J189" s="175"/>
      <c r="K189" s="175"/>
      <c r="L189" s="175"/>
      <c r="M189" s="175"/>
      <c r="N189" s="175"/>
      <c r="O189" s="175"/>
      <c r="P189" s="175"/>
      <c r="Q189" s="176"/>
      <c r="R189" s="179">
        <f t="shared" si="12"/>
        <v>0</v>
      </c>
      <c r="S189" s="177"/>
    </row>
    <row r="190" spans="1:19" s="174" customFormat="1" ht="30.75" hidden="1" customHeight="1" x14ac:dyDescent="0.35">
      <c r="A190" s="178"/>
      <c r="B190" s="180">
        <v>44</v>
      </c>
      <c r="C190" s="175"/>
      <c r="D190" s="175"/>
      <c r="E190" s="175"/>
      <c r="F190" s="175"/>
      <c r="G190" s="175"/>
      <c r="H190" s="175"/>
      <c r="I190" s="175"/>
      <c r="J190" s="175"/>
      <c r="K190" s="175"/>
      <c r="L190" s="175"/>
      <c r="M190" s="175"/>
      <c r="N190" s="175"/>
      <c r="O190" s="175"/>
      <c r="P190" s="175"/>
      <c r="Q190" s="176"/>
      <c r="R190" s="179">
        <f t="shared" si="12"/>
        <v>0</v>
      </c>
      <c r="S190" s="177"/>
    </row>
    <row r="191" spans="1:19" s="174" customFormat="1" ht="30.75" hidden="1" customHeight="1" x14ac:dyDescent="0.35">
      <c r="A191" s="178"/>
      <c r="B191" s="180">
        <v>45</v>
      </c>
      <c r="C191" s="175"/>
      <c r="D191" s="175"/>
      <c r="E191" s="175"/>
      <c r="F191" s="175"/>
      <c r="G191" s="175"/>
      <c r="H191" s="175"/>
      <c r="I191" s="175"/>
      <c r="J191" s="175"/>
      <c r="K191" s="175"/>
      <c r="L191" s="175"/>
      <c r="M191" s="175"/>
      <c r="N191" s="175"/>
      <c r="O191" s="175"/>
      <c r="P191" s="175"/>
      <c r="Q191" s="176"/>
      <c r="R191" s="179">
        <f t="shared" si="12"/>
        <v>0</v>
      </c>
      <c r="S191" s="177"/>
    </row>
    <row r="192" spans="1:19" s="174" customFormat="1" ht="30.75" hidden="1" customHeight="1" x14ac:dyDescent="0.35">
      <c r="A192" s="178"/>
      <c r="B192" s="180">
        <v>46</v>
      </c>
      <c r="C192" s="175"/>
      <c r="D192" s="175"/>
      <c r="E192" s="175"/>
      <c r="F192" s="175"/>
      <c r="G192" s="175"/>
      <c r="H192" s="175"/>
      <c r="I192" s="175"/>
      <c r="J192" s="175"/>
      <c r="K192" s="175"/>
      <c r="L192" s="175"/>
      <c r="M192" s="175"/>
      <c r="N192" s="175"/>
      <c r="O192" s="175"/>
      <c r="P192" s="175"/>
      <c r="Q192" s="176"/>
      <c r="R192" s="179">
        <f t="shared" si="12"/>
        <v>0</v>
      </c>
      <c r="S192" s="177"/>
    </row>
    <row r="193" spans="1:19" s="174" customFormat="1" ht="30.75" hidden="1" customHeight="1" x14ac:dyDescent="0.35">
      <c r="A193" s="178"/>
      <c r="B193" s="180">
        <v>47</v>
      </c>
      <c r="C193" s="175"/>
      <c r="D193" s="175"/>
      <c r="E193" s="175"/>
      <c r="F193" s="175"/>
      <c r="G193" s="175"/>
      <c r="H193" s="175"/>
      <c r="I193" s="175"/>
      <c r="J193" s="175"/>
      <c r="K193" s="175"/>
      <c r="L193" s="175"/>
      <c r="M193" s="175"/>
      <c r="N193" s="175"/>
      <c r="O193" s="175"/>
      <c r="P193" s="175"/>
      <c r="Q193" s="176"/>
      <c r="R193" s="179">
        <f t="shared" si="12"/>
        <v>0</v>
      </c>
      <c r="S193" s="177"/>
    </row>
    <row r="194" spans="1:19" s="174" customFormat="1" ht="30.75" hidden="1" customHeight="1" x14ac:dyDescent="0.35">
      <c r="A194" s="178"/>
      <c r="B194" s="180">
        <v>48</v>
      </c>
      <c r="C194" s="175"/>
      <c r="D194" s="175"/>
      <c r="E194" s="175"/>
      <c r="F194" s="175"/>
      <c r="G194" s="175"/>
      <c r="H194" s="175"/>
      <c r="I194" s="175"/>
      <c r="J194" s="175"/>
      <c r="K194" s="175"/>
      <c r="L194" s="175"/>
      <c r="M194" s="175"/>
      <c r="N194" s="175"/>
      <c r="O194" s="175"/>
      <c r="P194" s="175"/>
      <c r="Q194" s="176"/>
      <c r="R194" s="179">
        <f t="shared" si="12"/>
        <v>0</v>
      </c>
      <c r="S194" s="177"/>
    </row>
    <row r="195" spans="1:19" s="174" customFormat="1" ht="30.75" hidden="1" customHeight="1" x14ac:dyDescent="0.35">
      <c r="A195" s="178"/>
      <c r="B195" s="180">
        <v>49</v>
      </c>
      <c r="C195" s="175"/>
      <c r="D195" s="175"/>
      <c r="E195" s="175"/>
      <c r="F195" s="175"/>
      <c r="G195" s="175"/>
      <c r="H195" s="175"/>
      <c r="I195" s="175"/>
      <c r="J195" s="175"/>
      <c r="K195" s="175"/>
      <c r="L195" s="175"/>
      <c r="M195" s="175"/>
      <c r="N195" s="175"/>
      <c r="O195" s="175"/>
      <c r="P195" s="175"/>
      <c r="Q195" s="176"/>
      <c r="R195" s="179">
        <f t="shared" si="12"/>
        <v>0</v>
      </c>
      <c r="S195" s="177"/>
    </row>
    <row r="196" spans="1:19" s="174" customFormat="1" ht="30.75" hidden="1" customHeight="1" x14ac:dyDescent="0.35">
      <c r="A196" s="178"/>
      <c r="B196" s="180">
        <v>50</v>
      </c>
      <c r="C196" s="175"/>
      <c r="D196" s="175"/>
      <c r="E196" s="175"/>
      <c r="F196" s="175"/>
      <c r="G196" s="175"/>
      <c r="H196" s="175"/>
      <c r="I196" s="175"/>
      <c r="J196" s="175"/>
      <c r="K196" s="175"/>
      <c r="L196" s="175"/>
      <c r="M196" s="175"/>
      <c r="N196" s="175"/>
      <c r="O196" s="175"/>
      <c r="P196" s="175"/>
      <c r="Q196" s="176"/>
      <c r="R196" s="179">
        <f t="shared" si="12"/>
        <v>0</v>
      </c>
      <c r="S196" s="177"/>
    </row>
    <row r="197" spans="1:19" s="174" customFormat="1" ht="30.75" hidden="1" customHeight="1" x14ac:dyDescent="0.35">
      <c r="A197" s="178"/>
      <c r="B197" s="180">
        <v>51</v>
      </c>
      <c r="C197" s="175"/>
      <c r="D197" s="175"/>
      <c r="E197" s="175"/>
      <c r="F197" s="175"/>
      <c r="G197" s="175"/>
      <c r="H197" s="175"/>
      <c r="I197" s="175"/>
      <c r="J197" s="175"/>
      <c r="K197" s="175"/>
      <c r="L197" s="175"/>
      <c r="M197" s="175"/>
      <c r="N197" s="175"/>
      <c r="O197" s="175"/>
      <c r="P197" s="175"/>
      <c r="Q197" s="176"/>
      <c r="R197" s="179">
        <f t="shared" si="12"/>
        <v>0</v>
      </c>
      <c r="S197" s="177"/>
    </row>
    <row r="198" spans="1:19" s="174" customFormat="1" ht="30.75" hidden="1" customHeight="1" x14ac:dyDescent="0.35">
      <c r="A198" s="178"/>
      <c r="B198" s="180">
        <v>52</v>
      </c>
      <c r="C198" s="175"/>
      <c r="D198" s="175"/>
      <c r="E198" s="175"/>
      <c r="F198" s="175"/>
      <c r="G198" s="175"/>
      <c r="H198" s="175"/>
      <c r="I198" s="175"/>
      <c r="J198" s="175"/>
      <c r="K198" s="175"/>
      <c r="L198" s="175"/>
      <c r="M198" s="175"/>
      <c r="N198" s="175"/>
      <c r="O198" s="175"/>
      <c r="P198" s="175"/>
      <c r="Q198" s="176"/>
      <c r="R198" s="179">
        <f t="shared" si="12"/>
        <v>0</v>
      </c>
      <c r="S198" s="177"/>
    </row>
    <row r="199" spans="1:19" s="174" customFormat="1" ht="30.75" customHeight="1" x14ac:dyDescent="0.35">
      <c r="A199" s="181" t="s">
        <v>60</v>
      </c>
      <c r="B199" s="188"/>
      <c r="C199" s="183">
        <f>SUM(C173:C198)</f>
        <v>0</v>
      </c>
      <c r="D199" s="183">
        <f t="shared" ref="D199:P199" si="13">SUM(D173:D198)</f>
        <v>0</v>
      </c>
      <c r="E199" s="183">
        <f t="shared" si="13"/>
        <v>26900</v>
      </c>
      <c r="F199" s="183">
        <f t="shared" si="13"/>
        <v>262500</v>
      </c>
      <c r="G199" s="183">
        <f t="shared" si="13"/>
        <v>24000</v>
      </c>
      <c r="H199" s="183">
        <f t="shared" si="13"/>
        <v>0</v>
      </c>
      <c r="I199" s="183">
        <f t="shared" si="13"/>
        <v>0</v>
      </c>
      <c r="J199" s="183">
        <f t="shared" si="13"/>
        <v>26000</v>
      </c>
      <c r="K199" s="183">
        <f t="shared" si="13"/>
        <v>16000</v>
      </c>
      <c r="L199" s="183">
        <f t="shared" si="13"/>
        <v>122100</v>
      </c>
      <c r="M199" s="183">
        <f t="shared" si="13"/>
        <v>0</v>
      </c>
      <c r="N199" s="183">
        <f t="shared" si="13"/>
        <v>0</v>
      </c>
      <c r="O199" s="183">
        <f t="shared" si="13"/>
        <v>0</v>
      </c>
      <c r="P199" s="183">
        <f t="shared" si="13"/>
        <v>3231702</v>
      </c>
      <c r="Q199" s="189"/>
      <c r="R199" s="185">
        <f>SUM(R173:R198)</f>
        <v>3709202</v>
      </c>
      <c r="S199" s="186">
        <f>S172+R199</f>
        <v>24042565</v>
      </c>
    </row>
    <row r="200" spans="1:19" s="194" customFormat="1" ht="30.75" customHeight="1" x14ac:dyDescent="0.35">
      <c r="A200" s="1234"/>
      <c r="B200" s="190"/>
      <c r="C200" s="191"/>
      <c r="D200" s="191"/>
      <c r="E200" s="191"/>
      <c r="F200" s="191"/>
      <c r="G200" s="191"/>
      <c r="H200" s="191"/>
      <c r="I200" s="191"/>
      <c r="J200" s="191"/>
      <c r="K200" s="191"/>
      <c r="L200" s="191"/>
      <c r="M200" s="191"/>
      <c r="N200" s="191"/>
      <c r="O200" s="191"/>
      <c r="P200" s="191"/>
      <c r="Q200" s="192"/>
      <c r="R200" s="179">
        <f t="shared" ref="R200:R216" si="14">SUM(C200:P200)</f>
        <v>0</v>
      </c>
      <c r="S200" s="193"/>
    </row>
    <row r="201" spans="1:19" s="194" customFormat="1" ht="30.75" customHeight="1" x14ac:dyDescent="0.35">
      <c r="A201" s="1235"/>
      <c r="B201" s="190"/>
      <c r="C201" s="191"/>
      <c r="D201" s="191"/>
      <c r="E201" s="191"/>
      <c r="F201" s="191"/>
      <c r="G201" s="191"/>
      <c r="H201" s="191"/>
      <c r="I201" s="191"/>
      <c r="J201" s="191"/>
      <c r="K201" s="191"/>
      <c r="L201" s="191"/>
      <c r="M201" s="191"/>
      <c r="N201" s="191"/>
      <c r="O201" s="191"/>
      <c r="P201" s="191"/>
      <c r="Q201" s="192"/>
      <c r="R201" s="179">
        <f t="shared" si="14"/>
        <v>0</v>
      </c>
      <c r="S201" s="193"/>
    </row>
    <row r="202" spans="1:19" s="174" customFormat="1" ht="30.75" hidden="1" customHeight="1" x14ac:dyDescent="0.35">
      <c r="A202" s="178"/>
      <c r="B202" s="180"/>
      <c r="C202" s="175"/>
      <c r="D202" s="175"/>
      <c r="E202" s="175"/>
      <c r="F202" s="175"/>
      <c r="G202" s="175"/>
      <c r="H202" s="175"/>
      <c r="I202" s="175"/>
      <c r="J202" s="175"/>
      <c r="K202" s="175"/>
      <c r="L202" s="175"/>
      <c r="M202" s="175"/>
      <c r="N202" s="175"/>
      <c r="O202" s="175"/>
      <c r="P202" s="175"/>
      <c r="Q202" s="176"/>
      <c r="R202" s="179">
        <f t="shared" si="14"/>
        <v>0</v>
      </c>
      <c r="S202" s="177"/>
    </row>
    <row r="203" spans="1:19" s="174" customFormat="1" ht="30.75" hidden="1" customHeight="1" x14ac:dyDescent="0.35">
      <c r="A203" s="178"/>
      <c r="B203" s="180"/>
      <c r="C203" s="175"/>
      <c r="D203" s="175"/>
      <c r="E203" s="175"/>
      <c r="F203" s="175"/>
      <c r="G203" s="175"/>
      <c r="H203" s="175"/>
      <c r="I203" s="175"/>
      <c r="J203" s="175"/>
      <c r="K203" s="175"/>
      <c r="L203" s="175"/>
      <c r="M203" s="175"/>
      <c r="N203" s="175"/>
      <c r="O203" s="175"/>
      <c r="P203" s="175"/>
      <c r="Q203" s="176"/>
      <c r="R203" s="179">
        <f t="shared" si="14"/>
        <v>0</v>
      </c>
      <c r="S203" s="177"/>
    </row>
    <row r="204" spans="1:19" s="174" customFormat="1" ht="30.75" hidden="1" customHeight="1" x14ac:dyDescent="0.35">
      <c r="A204" s="178"/>
      <c r="B204" s="180"/>
      <c r="C204" s="175"/>
      <c r="D204" s="175"/>
      <c r="E204" s="175"/>
      <c r="F204" s="175"/>
      <c r="G204" s="175"/>
      <c r="H204" s="175"/>
      <c r="I204" s="175"/>
      <c r="J204" s="175"/>
      <c r="K204" s="175"/>
      <c r="L204" s="175"/>
      <c r="M204" s="175"/>
      <c r="N204" s="175"/>
      <c r="O204" s="175"/>
      <c r="P204" s="175"/>
      <c r="Q204" s="176"/>
      <c r="R204" s="179">
        <f t="shared" si="14"/>
        <v>0</v>
      </c>
      <c r="S204" s="177"/>
    </row>
    <row r="205" spans="1:19" s="174" customFormat="1" ht="30.75" hidden="1" customHeight="1" x14ac:dyDescent="0.35">
      <c r="A205" s="178"/>
      <c r="B205" s="180"/>
      <c r="C205" s="175"/>
      <c r="D205" s="175"/>
      <c r="E205" s="175"/>
      <c r="F205" s="175"/>
      <c r="G205" s="175"/>
      <c r="H205" s="175"/>
      <c r="I205" s="175"/>
      <c r="J205" s="175"/>
      <c r="K205" s="175"/>
      <c r="L205" s="175"/>
      <c r="M205" s="175"/>
      <c r="N205" s="175"/>
      <c r="O205" s="175"/>
      <c r="P205" s="175"/>
      <c r="Q205" s="176"/>
      <c r="R205" s="179">
        <f t="shared" si="14"/>
        <v>0</v>
      </c>
      <c r="S205" s="177"/>
    </row>
    <row r="206" spans="1:19" s="174" customFormat="1" ht="30.75" hidden="1" customHeight="1" x14ac:dyDescent="0.35">
      <c r="A206" s="178"/>
      <c r="B206" s="180"/>
      <c r="C206" s="175"/>
      <c r="D206" s="175"/>
      <c r="E206" s="175"/>
      <c r="F206" s="175"/>
      <c r="G206" s="175"/>
      <c r="H206" s="175"/>
      <c r="I206" s="175"/>
      <c r="J206" s="175"/>
      <c r="K206" s="175"/>
      <c r="L206" s="175"/>
      <c r="M206" s="175"/>
      <c r="N206" s="175"/>
      <c r="O206" s="175"/>
      <c r="P206" s="175"/>
      <c r="Q206" s="176"/>
      <c r="R206" s="179">
        <f t="shared" si="14"/>
        <v>0</v>
      </c>
      <c r="S206" s="177"/>
    </row>
    <row r="207" spans="1:19" s="174" customFormat="1" ht="30.75" hidden="1" customHeight="1" x14ac:dyDescent="0.35">
      <c r="A207" s="178"/>
      <c r="B207" s="180"/>
      <c r="C207" s="175"/>
      <c r="D207" s="175"/>
      <c r="E207" s="175"/>
      <c r="F207" s="175"/>
      <c r="G207" s="175"/>
      <c r="H207" s="175"/>
      <c r="I207" s="175"/>
      <c r="J207" s="175"/>
      <c r="K207" s="175"/>
      <c r="L207" s="175"/>
      <c r="M207" s="175"/>
      <c r="N207" s="175"/>
      <c r="O207" s="175"/>
      <c r="P207" s="175"/>
      <c r="Q207" s="176"/>
      <c r="R207" s="179">
        <f t="shared" si="14"/>
        <v>0</v>
      </c>
      <c r="S207" s="177"/>
    </row>
    <row r="208" spans="1:19" s="174" customFormat="1" ht="30.75" hidden="1" customHeight="1" x14ac:dyDescent="0.35">
      <c r="A208" s="178"/>
      <c r="B208" s="180"/>
      <c r="C208" s="175"/>
      <c r="D208" s="175"/>
      <c r="E208" s="175"/>
      <c r="F208" s="175"/>
      <c r="G208" s="175"/>
      <c r="H208" s="175"/>
      <c r="I208" s="175"/>
      <c r="J208" s="175"/>
      <c r="K208" s="175"/>
      <c r="L208" s="175"/>
      <c r="M208" s="175"/>
      <c r="N208" s="175"/>
      <c r="O208" s="175"/>
      <c r="P208" s="175"/>
      <c r="Q208" s="176"/>
      <c r="R208" s="179">
        <f t="shared" si="14"/>
        <v>0</v>
      </c>
      <c r="S208" s="177"/>
    </row>
    <row r="209" spans="1:19" s="174" customFormat="1" ht="30.75" hidden="1" customHeight="1" x14ac:dyDescent="0.35">
      <c r="A209" s="178"/>
      <c r="B209" s="180"/>
      <c r="C209" s="175"/>
      <c r="D209" s="175"/>
      <c r="E209" s="175"/>
      <c r="F209" s="175"/>
      <c r="G209" s="175"/>
      <c r="H209" s="175"/>
      <c r="I209" s="175"/>
      <c r="J209" s="175"/>
      <c r="K209" s="175"/>
      <c r="L209" s="175"/>
      <c r="M209" s="175"/>
      <c r="N209" s="175"/>
      <c r="O209" s="175"/>
      <c r="P209" s="175"/>
      <c r="Q209" s="176"/>
      <c r="R209" s="179">
        <f t="shared" si="14"/>
        <v>0</v>
      </c>
      <c r="S209" s="177"/>
    </row>
    <row r="210" spans="1:19" s="174" customFormat="1" ht="30.75" hidden="1" customHeight="1" x14ac:dyDescent="0.35">
      <c r="A210" s="178"/>
      <c r="B210" s="180"/>
      <c r="C210" s="175"/>
      <c r="D210" s="175"/>
      <c r="E210" s="175"/>
      <c r="F210" s="175"/>
      <c r="G210" s="175"/>
      <c r="H210" s="175"/>
      <c r="I210" s="175"/>
      <c r="J210" s="175"/>
      <c r="K210" s="175"/>
      <c r="L210" s="175"/>
      <c r="M210" s="175"/>
      <c r="N210" s="175"/>
      <c r="O210" s="175"/>
      <c r="P210" s="175"/>
      <c r="Q210" s="176"/>
      <c r="R210" s="179">
        <f t="shared" si="14"/>
        <v>0</v>
      </c>
      <c r="S210" s="177"/>
    </row>
    <row r="211" spans="1:19" s="174" customFormat="1" ht="30.75" hidden="1" customHeight="1" x14ac:dyDescent="0.35">
      <c r="A211" s="178"/>
      <c r="B211" s="180"/>
      <c r="C211" s="175"/>
      <c r="D211" s="175"/>
      <c r="E211" s="175"/>
      <c r="F211" s="175"/>
      <c r="G211" s="175"/>
      <c r="H211" s="175"/>
      <c r="I211" s="175"/>
      <c r="J211" s="175"/>
      <c r="K211" s="175"/>
      <c r="L211" s="175"/>
      <c r="M211" s="175"/>
      <c r="N211" s="175"/>
      <c r="O211" s="175"/>
      <c r="P211" s="175"/>
      <c r="Q211" s="176"/>
      <c r="R211" s="179">
        <f t="shared" si="14"/>
        <v>0</v>
      </c>
      <c r="S211" s="177"/>
    </row>
    <row r="212" spans="1:19" s="174" customFormat="1" ht="30.75" hidden="1" customHeight="1" x14ac:dyDescent="0.35">
      <c r="A212" s="178"/>
      <c r="B212" s="180"/>
      <c r="C212" s="175"/>
      <c r="D212" s="175"/>
      <c r="E212" s="175"/>
      <c r="F212" s="175"/>
      <c r="G212" s="175"/>
      <c r="H212" s="175"/>
      <c r="I212" s="175"/>
      <c r="J212" s="175"/>
      <c r="K212" s="175"/>
      <c r="L212" s="175"/>
      <c r="M212" s="175"/>
      <c r="N212" s="175"/>
      <c r="O212" s="175"/>
      <c r="P212" s="175"/>
      <c r="Q212" s="176"/>
      <c r="R212" s="179">
        <f t="shared" si="14"/>
        <v>0</v>
      </c>
      <c r="S212" s="177"/>
    </row>
    <row r="213" spans="1:19" s="174" customFormat="1" ht="30.75" hidden="1" customHeight="1" x14ac:dyDescent="0.35">
      <c r="A213" s="178"/>
      <c r="B213" s="180"/>
      <c r="C213" s="175"/>
      <c r="D213" s="175"/>
      <c r="E213" s="175"/>
      <c r="F213" s="175"/>
      <c r="G213" s="175"/>
      <c r="H213" s="175"/>
      <c r="I213" s="175"/>
      <c r="J213" s="175"/>
      <c r="K213" s="175"/>
      <c r="L213" s="175"/>
      <c r="M213" s="175"/>
      <c r="N213" s="175"/>
      <c r="O213" s="175"/>
      <c r="P213" s="175"/>
      <c r="Q213" s="176"/>
      <c r="R213" s="179">
        <f t="shared" si="14"/>
        <v>0</v>
      </c>
      <c r="S213" s="177"/>
    </row>
    <row r="214" spans="1:19" s="174" customFormat="1" ht="30.75" hidden="1" customHeight="1" x14ac:dyDescent="0.35">
      <c r="A214" s="178"/>
      <c r="B214" s="180"/>
      <c r="C214" s="175"/>
      <c r="D214" s="175"/>
      <c r="E214" s="175"/>
      <c r="F214" s="175"/>
      <c r="G214" s="175"/>
      <c r="H214" s="175"/>
      <c r="I214" s="175"/>
      <c r="J214" s="175"/>
      <c r="K214" s="175"/>
      <c r="L214" s="175"/>
      <c r="M214" s="175"/>
      <c r="N214" s="175"/>
      <c r="O214" s="175"/>
      <c r="P214" s="175"/>
      <c r="Q214" s="176"/>
      <c r="R214" s="179">
        <f t="shared" si="14"/>
        <v>0</v>
      </c>
      <c r="S214" s="177"/>
    </row>
    <row r="215" spans="1:19" s="174" customFormat="1" ht="30.75" hidden="1" customHeight="1" x14ac:dyDescent="0.35">
      <c r="A215" s="178"/>
      <c r="B215" s="180"/>
      <c r="C215" s="175"/>
      <c r="D215" s="175"/>
      <c r="E215" s="175"/>
      <c r="F215" s="175"/>
      <c r="G215" s="175"/>
      <c r="H215" s="175"/>
      <c r="I215" s="175"/>
      <c r="J215" s="175"/>
      <c r="K215" s="175"/>
      <c r="L215" s="175"/>
      <c r="M215" s="175"/>
      <c r="N215" s="175"/>
      <c r="O215" s="175"/>
      <c r="P215" s="175"/>
      <c r="Q215" s="176"/>
      <c r="R215" s="179">
        <f t="shared" si="14"/>
        <v>0</v>
      </c>
      <c r="S215" s="177"/>
    </row>
    <row r="216" spans="1:19" s="174" customFormat="1" ht="30.75" hidden="1" customHeight="1" x14ac:dyDescent="0.35">
      <c r="A216" s="178"/>
      <c r="B216" s="180"/>
      <c r="C216" s="175"/>
      <c r="D216" s="175"/>
      <c r="E216" s="175"/>
      <c r="F216" s="175"/>
      <c r="G216" s="175"/>
      <c r="H216" s="175"/>
      <c r="I216" s="175"/>
      <c r="J216" s="175"/>
      <c r="K216" s="175"/>
      <c r="L216" s="175"/>
      <c r="M216" s="175"/>
      <c r="N216" s="175"/>
      <c r="O216" s="175"/>
      <c r="P216" s="175"/>
      <c r="Q216" s="176"/>
      <c r="R216" s="179">
        <f t="shared" si="14"/>
        <v>0</v>
      </c>
      <c r="S216" s="177"/>
    </row>
    <row r="217" spans="1:19" s="174" customFormat="1" ht="30.75" customHeight="1" x14ac:dyDescent="0.35">
      <c r="A217" s="181" t="s">
        <v>60</v>
      </c>
      <c r="B217" s="188"/>
      <c r="C217" s="183">
        <f t="shared" ref="C217:P217" si="15">SUM(C200:C216)</f>
        <v>0</v>
      </c>
      <c r="D217" s="183">
        <f t="shared" si="15"/>
        <v>0</v>
      </c>
      <c r="E217" s="183">
        <f t="shared" si="15"/>
        <v>0</v>
      </c>
      <c r="F217" s="183">
        <f t="shared" si="15"/>
        <v>0</v>
      </c>
      <c r="G217" s="183">
        <f t="shared" si="15"/>
        <v>0</v>
      </c>
      <c r="H217" s="183">
        <f t="shared" si="15"/>
        <v>0</v>
      </c>
      <c r="I217" s="183">
        <f t="shared" si="15"/>
        <v>0</v>
      </c>
      <c r="J217" s="183">
        <f t="shared" si="15"/>
        <v>0</v>
      </c>
      <c r="K217" s="183">
        <f t="shared" si="15"/>
        <v>0</v>
      </c>
      <c r="L217" s="183">
        <f t="shared" si="15"/>
        <v>0</v>
      </c>
      <c r="M217" s="183">
        <f t="shared" si="15"/>
        <v>0</v>
      </c>
      <c r="N217" s="183">
        <f t="shared" si="15"/>
        <v>0</v>
      </c>
      <c r="O217" s="183">
        <f t="shared" si="15"/>
        <v>0</v>
      </c>
      <c r="P217" s="183">
        <f t="shared" si="15"/>
        <v>0</v>
      </c>
      <c r="Q217" s="183">
        <f>SUM(Q202:Q216)</f>
        <v>0</v>
      </c>
      <c r="R217" s="183">
        <f>SUM(R200:R216)</f>
        <v>0</v>
      </c>
      <c r="S217" s="186">
        <f>S199+R217</f>
        <v>24042565</v>
      </c>
    </row>
    <row r="218" spans="1:19" s="194" customFormat="1" ht="30.75" customHeight="1" x14ac:dyDescent="0.35">
      <c r="A218" s="1236"/>
      <c r="B218" s="190"/>
      <c r="C218" s="191"/>
      <c r="D218" s="191"/>
      <c r="E218" s="191"/>
      <c r="F218" s="191"/>
      <c r="G218" s="191"/>
      <c r="H218" s="191"/>
      <c r="I218" s="191"/>
      <c r="J218" s="191"/>
      <c r="K218" s="191"/>
      <c r="L218" s="191"/>
      <c r="M218" s="191"/>
      <c r="N218" s="191"/>
      <c r="O218" s="191"/>
      <c r="P218" s="191"/>
      <c r="Q218" s="195"/>
      <c r="R218" s="179">
        <f t="shared" ref="R218:R234" si="16">SUM(C218:P218)</f>
        <v>0</v>
      </c>
      <c r="S218" s="193"/>
    </row>
    <row r="219" spans="1:19" s="194" customFormat="1" ht="30.75" customHeight="1" x14ac:dyDescent="0.35">
      <c r="A219" s="1237"/>
      <c r="B219" s="190"/>
      <c r="C219" s="191"/>
      <c r="D219" s="191"/>
      <c r="E219" s="191"/>
      <c r="F219" s="191"/>
      <c r="G219" s="191"/>
      <c r="H219" s="191"/>
      <c r="I219" s="191"/>
      <c r="J219" s="191"/>
      <c r="K219" s="191"/>
      <c r="L219" s="191"/>
      <c r="M219" s="191"/>
      <c r="N219" s="191"/>
      <c r="O219" s="191"/>
      <c r="P219" s="191"/>
      <c r="Q219" s="195"/>
      <c r="R219" s="179">
        <f t="shared" si="16"/>
        <v>0</v>
      </c>
      <c r="S219" s="193"/>
    </row>
    <row r="220" spans="1:19" s="174" customFormat="1" ht="30.75" hidden="1" customHeight="1" x14ac:dyDescent="0.35">
      <c r="A220" s="178"/>
      <c r="B220" s="190">
        <v>115</v>
      </c>
      <c r="C220" s="175"/>
      <c r="D220" s="175"/>
      <c r="E220" s="175"/>
      <c r="F220" s="175"/>
      <c r="G220" s="175"/>
      <c r="H220" s="175"/>
      <c r="I220" s="175"/>
      <c r="J220" s="175"/>
      <c r="K220" s="175"/>
      <c r="L220" s="175"/>
      <c r="M220" s="175"/>
      <c r="N220" s="175"/>
      <c r="O220" s="175"/>
      <c r="P220" s="175"/>
      <c r="Q220" s="176"/>
      <c r="R220" s="179">
        <f t="shared" si="16"/>
        <v>0</v>
      </c>
      <c r="S220" s="177"/>
    </row>
    <row r="221" spans="1:19" s="174" customFormat="1" ht="30.75" hidden="1" customHeight="1" x14ac:dyDescent="0.35">
      <c r="A221" s="178"/>
      <c r="B221" s="190">
        <v>116</v>
      </c>
      <c r="C221" s="175"/>
      <c r="D221" s="175"/>
      <c r="E221" s="175"/>
      <c r="F221" s="175"/>
      <c r="G221" s="175"/>
      <c r="H221" s="175"/>
      <c r="I221" s="175"/>
      <c r="J221" s="175"/>
      <c r="K221" s="175"/>
      <c r="L221" s="175"/>
      <c r="M221" s="175"/>
      <c r="N221" s="175"/>
      <c r="O221" s="175"/>
      <c r="P221" s="175"/>
      <c r="Q221" s="176"/>
      <c r="R221" s="179">
        <f t="shared" si="16"/>
        <v>0</v>
      </c>
      <c r="S221" s="177"/>
    </row>
    <row r="222" spans="1:19" s="174" customFormat="1" ht="30.75" hidden="1" customHeight="1" x14ac:dyDescent="0.35">
      <c r="A222" s="178"/>
      <c r="B222" s="190">
        <v>117</v>
      </c>
      <c r="C222" s="175"/>
      <c r="D222" s="175"/>
      <c r="E222" s="175"/>
      <c r="F222" s="175"/>
      <c r="G222" s="175"/>
      <c r="H222" s="175"/>
      <c r="I222" s="175"/>
      <c r="J222" s="175"/>
      <c r="K222" s="175"/>
      <c r="L222" s="175"/>
      <c r="M222" s="175"/>
      <c r="N222" s="175"/>
      <c r="O222" s="175"/>
      <c r="P222" s="175"/>
      <c r="Q222" s="176"/>
      <c r="R222" s="179">
        <f t="shared" si="16"/>
        <v>0</v>
      </c>
      <c r="S222" s="177"/>
    </row>
    <row r="223" spans="1:19" s="174" customFormat="1" ht="30.75" hidden="1" customHeight="1" x14ac:dyDescent="0.35">
      <c r="A223" s="178"/>
      <c r="B223" s="190">
        <v>118</v>
      </c>
      <c r="C223" s="175"/>
      <c r="D223" s="175"/>
      <c r="E223" s="175"/>
      <c r="F223" s="175"/>
      <c r="G223" s="175"/>
      <c r="H223" s="175"/>
      <c r="I223" s="175"/>
      <c r="J223" s="175"/>
      <c r="K223" s="175"/>
      <c r="L223" s="175"/>
      <c r="M223" s="175"/>
      <c r="N223" s="175"/>
      <c r="O223" s="175"/>
      <c r="P223" s="175"/>
      <c r="Q223" s="176"/>
      <c r="R223" s="179">
        <f t="shared" si="16"/>
        <v>0</v>
      </c>
      <c r="S223" s="177"/>
    </row>
    <row r="224" spans="1:19" s="174" customFormat="1" ht="30.75" hidden="1" customHeight="1" x14ac:dyDescent="0.35">
      <c r="A224" s="178"/>
      <c r="B224" s="190">
        <v>119</v>
      </c>
      <c r="C224" s="175"/>
      <c r="D224" s="175"/>
      <c r="E224" s="175"/>
      <c r="F224" s="175"/>
      <c r="G224" s="175"/>
      <c r="H224" s="175"/>
      <c r="I224" s="175"/>
      <c r="J224" s="175"/>
      <c r="K224" s="175"/>
      <c r="L224" s="175"/>
      <c r="M224" s="175"/>
      <c r="N224" s="175"/>
      <c r="O224" s="175"/>
      <c r="P224" s="175"/>
      <c r="Q224" s="176"/>
      <c r="R224" s="179">
        <f t="shared" si="16"/>
        <v>0</v>
      </c>
      <c r="S224" s="177"/>
    </row>
    <row r="225" spans="1:19" s="174" customFormat="1" ht="30.75" hidden="1" customHeight="1" x14ac:dyDescent="0.35">
      <c r="A225" s="178"/>
      <c r="B225" s="190">
        <v>120</v>
      </c>
      <c r="C225" s="175"/>
      <c r="D225" s="175"/>
      <c r="E225" s="175"/>
      <c r="F225" s="175"/>
      <c r="G225" s="175"/>
      <c r="H225" s="175"/>
      <c r="I225" s="175"/>
      <c r="J225" s="175"/>
      <c r="K225" s="175"/>
      <c r="L225" s="175"/>
      <c r="M225" s="175"/>
      <c r="N225" s="175"/>
      <c r="O225" s="175"/>
      <c r="P225" s="175"/>
      <c r="Q225" s="176"/>
      <c r="R225" s="179">
        <f t="shared" si="16"/>
        <v>0</v>
      </c>
      <c r="S225" s="177"/>
    </row>
    <row r="226" spans="1:19" s="174" customFormat="1" ht="30.75" hidden="1" customHeight="1" x14ac:dyDescent="0.35">
      <c r="A226" s="178"/>
      <c r="B226" s="190">
        <v>121</v>
      </c>
      <c r="C226" s="175"/>
      <c r="D226" s="175"/>
      <c r="E226" s="175"/>
      <c r="F226" s="175"/>
      <c r="G226" s="175"/>
      <c r="H226" s="175"/>
      <c r="I226" s="175"/>
      <c r="J226" s="175"/>
      <c r="K226" s="175"/>
      <c r="L226" s="175"/>
      <c r="M226" s="175"/>
      <c r="N226" s="175"/>
      <c r="O226" s="175"/>
      <c r="P226" s="175"/>
      <c r="Q226" s="176"/>
      <c r="R226" s="179">
        <f t="shared" si="16"/>
        <v>0</v>
      </c>
      <c r="S226" s="177"/>
    </row>
    <row r="227" spans="1:19" s="174" customFormat="1" ht="30.75" hidden="1" customHeight="1" x14ac:dyDescent="0.35">
      <c r="A227" s="178"/>
      <c r="B227" s="190">
        <v>122</v>
      </c>
      <c r="C227" s="175"/>
      <c r="D227" s="175"/>
      <c r="E227" s="175"/>
      <c r="F227" s="175"/>
      <c r="G227" s="175"/>
      <c r="H227" s="175"/>
      <c r="I227" s="175"/>
      <c r="J227" s="175"/>
      <c r="K227" s="175"/>
      <c r="L227" s="175"/>
      <c r="M227" s="175"/>
      <c r="N227" s="175"/>
      <c r="O227" s="175"/>
      <c r="P227" s="175"/>
      <c r="Q227" s="176"/>
      <c r="R227" s="179">
        <f t="shared" si="16"/>
        <v>0</v>
      </c>
      <c r="S227" s="177"/>
    </row>
    <row r="228" spans="1:19" s="174" customFormat="1" ht="30.75" hidden="1" customHeight="1" x14ac:dyDescent="0.35">
      <c r="A228" s="178"/>
      <c r="B228" s="190">
        <v>123</v>
      </c>
      <c r="C228" s="175"/>
      <c r="D228" s="175"/>
      <c r="E228" s="175"/>
      <c r="F228" s="175"/>
      <c r="G228" s="175"/>
      <c r="H228" s="175"/>
      <c r="I228" s="175"/>
      <c r="J228" s="175"/>
      <c r="K228" s="175"/>
      <c r="L228" s="175"/>
      <c r="M228" s="175"/>
      <c r="N228" s="175"/>
      <c r="O228" s="175"/>
      <c r="P228" s="175"/>
      <c r="Q228" s="176"/>
      <c r="R228" s="179">
        <f t="shared" si="16"/>
        <v>0</v>
      </c>
      <c r="S228" s="177"/>
    </row>
    <row r="229" spans="1:19" s="174" customFormat="1" ht="30.75" hidden="1" customHeight="1" x14ac:dyDescent="0.35">
      <c r="A229" s="178"/>
      <c r="B229" s="190">
        <v>124</v>
      </c>
      <c r="C229" s="175"/>
      <c r="D229" s="175"/>
      <c r="E229" s="175"/>
      <c r="F229" s="175"/>
      <c r="G229" s="175"/>
      <c r="H229" s="175"/>
      <c r="I229" s="175"/>
      <c r="J229" s="175"/>
      <c r="K229" s="175"/>
      <c r="L229" s="175"/>
      <c r="M229" s="175"/>
      <c r="N229" s="175"/>
      <c r="O229" s="175"/>
      <c r="P229" s="175"/>
      <c r="Q229" s="176"/>
      <c r="R229" s="179">
        <f t="shared" si="16"/>
        <v>0</v>
      </c>
      <c r="S229" s="177"/>
    </row>
    <row r="230" spans="1:19" s="174" customFormat="1" ht="30.75" hidden="1" customHeight="1" x14ac:dyDescent="0.35">
      <c r="A230" s="178"/>
      <c r="B230" s="190">
        <v>125</v>
      </c>
      <c r="C230" s="175"/>
      <c r="D230" s="175"/>
      <c r="E230" s="175"/>
      <c r="F230" s="175"/>
      <c r="G230" s="175"/>
      <c r="H230" s="175"/>
      <c r="I230" s="175"/>
      <c r="J230" s="175"/>
      <c r="K230" s="175"/>
      <c r="L230" s="175"/>
      <c r="M230" s="175"/>
      <c r="N230" s="175"/>
      <c r="O230" s="175"/>
      <c r="P230" s="175"/>
      <c r="Q230" s="176"/>
      <c r="R230" s="179">
        <f t="shared" si="16"/>
        <v>0</v>
      </c>
      <c r="S230" s="177"/>
    </row>
    <row r="231" spans="1:19" s="174" customFormat="1" ht="30.75" hidden="1" customHeight="1" x14ac:dyDescent="0.35">
      <c r="A231" s="178"/>
      <c r="B231" s="190">
        <v>126</v>
      </c>
      <c r="C231" s="175"/>
      <c r="D231" s="175"/>
      <c r="E231" s="175"/>
      <c r="F231" s="175"/>
      <c r="G231" s="175"/>
      <c r="H231" s="175"/>
      <c r="I231" s="175"/>
      <c r="J231" s="175"/>
      <c r="K231" s="175"/>
      <c r="L231" s="175"/>
      <c r="M231" s="175"/>
      <c r="N231" s="175"/>
      <c r="O231" s="175"/>
      <c r="P231" s="175"/>
      <c r="Q231" s="176"/>
      <c r="R231" s="179">
        <f t="shared" si="16"/>
        <v>0</v>
      </c>
      <c r="S231" s="177"/>
    </row>
    <row r="232" spans="1:19" s="174" customFormat="1" ht="30.75" hidden="1" customHeight="1" x14ac:dyDescent="0.35">
      <c r="A232" s="178"/>
      <c r="B232" s="190">
        <v>127</v>
      </c>
      <c r="C232" s="175"/>
      <c r="D232" s="175"/>
      <c r="E232" s="175"/>
      <c r="F232" s="175"/>
      <c r="G232" s="175"/>
      <c r="H232" s="175"/>
      <c r="I232" s="175"/>
      <c r="J232" s="175"/>
      <c r="K232" s="175"/>
      <c r="L232" s="175"/>
      <c r="M232" s="175"/>
      <c r="N232" s="175"/>
      <c r="O232" s="175"/>
      <c r="P232" s="175"/>
      <c r="Q232" s="176"/>
      <c r="R232" s="179">
        <f t="shared" si="16"/>
        <v>0</v>
      </c>
      <c r="S232" s="177"/>
    </row>
    <row r="233" spans="1:19" s="174" customFormat="1" ht="30.75" hidden="1" customHeight="1" x14ac:dyDescent="0.35">
      <c r="A233" s="178"/>
      <c r="B233" s="190">
        <v>128</v>
      </c>
      <c r="C233" s="175"/>
      <c r="D233" s="175"/>
      <c r="E233" s="175"/>
      <c r="F233" s="175"/>
      <c r="G233" s="175"/>
      <c r="H233" s="175"/>
      <c r="I233" s="175"/>
      <c r="J233" s="175"/>
      <c r="K233" s="175"/>
      <c r="L233" s="175"/>
      <c r="M233" s="175"/>
      <c r="N233" s="175"/>
      <c r="O233" s="175"/>
      <c r="P233" s="175"/>
      <c r="Q233" s="176"/>
      <c r="R233" s="179">
        <f t="shared" si="16"/>
        <v>0</v>
      </c>
      <c r="S233" s="177"/>
    </row>
    <row r="234" spans="1:19" s="174" customFormat="1" ht="30.75" hidden="1" customHeight="1" x14ac:dyDescent="0.35">
      <c r="A234" s="178"/>
      <c r="B234" s="190">
        <v>129</v>
      </c>
      <c r="C234" s="175"/>
      <c r="D234" s="175"/>
      <c r="E234" s="175"/>
      <c r="F234" s="175"/>
      <c r="G234" s="175"/>
      <c r="H234" s="175"/>
      <c r="I234" s="175"/>
      <c r="J234" s="175"/>
      <c r="K234" s="175"/>
      <c r="L234" s="175"/>
      <c r="M234" s="175"/>
      <c r="N234" s="175"/>
      <c r="O234" s="175"/>
      <c r="P234" s="175"/>
      <c r="Q234" s="176"/>
      <c r="R234" s="179">
        <f t="shared" si="16"/>
        <v>0</v>
      </c>
      <c r="S234" s="177"/>
    </row>
    <row r="235" spans="1:19" s="174" customFormat="1" ht="30.75" customHeight="1" x14ac:dyDescent="0.35">
      <c r="A235" s="181" t="s">
        <v>60</v>
      </c>
      <c r="B235" s="188"/>
      <c r="C235" s="183">
        <f t="shared" ref="C235:P235" si="17">SUM(C218:C219)</f>
        <v>0</v>
      </c>
      <c r="D235" s="183">
        <f t="shared" si="17"/>
        <v>0</v>
      </c>
      <c r="E235" s="183">
        <f t="shared" si="17"/>
        <v>0</v>
      </c>
      <c r="F235" s="183">
        <f t="shared" si="17"/>
        <v>0</v>
      </c>
      <c r="G235" s="183">
        <f t="shared" si="17"/>
        <v>0</v>
      </c>
      <c r="H235" s="183">
        <f t="shared" si="17"/>
        <v>0</v>
      </c>
      <c r="I235" s="183">
        <f t="shared" si="17"/>
        <v>0</v>
      </c>
      <c r="J235" s="183">
        <f t="shared" si="17"/>
        <v>0</v>
      </c>
      <c r="K235" s="183">
        <f t="shared" si="17"/>
        <v>0</v>
      </c>
      <c r="L235" s="183">
        <f t="shared" si="17"/>
        <v>0</v>
      </c>
      <c r="M235" s="183">
        <f t="shared" si="17"/>
        <v>0</v>
      </c>
      <c r="N235" s="183">
        <f t="shared" si="17"/>
        <v>0</v>
      </c>
      <c r="O235" s="183">
        <f t="shared" si="17"/>
        <v>0</v>
      </c>
      <c r="P235" s="183">
        <f t="shared" si="17"/>
        <v>0</v>
      </c>
      <c r="Q235" s="189"/>
      <c r="R235" s="185">
        <f>SUM(R218:R234)</f>
        <v>0</v>
      </c>
      <c r="S235" s="186">
        <f>S217+R235</f>
        <v>24042565</v>
      </c>
    </row>
    <row r="236" spans="1:19" s="174" customFormat="1" ht="30.75" customHeight="1" x14ac:dyDescent="0.35">
      <c r="A236" s="1238"/>
      <c r="B236" s="190"/>
      <c r="C236" s="868"/>
      <c r="D236" s="868"/>
      <c r="E236" s="868"/>
      <c r="F236" s="868"/>
      <c r="G236" s="868"/>
      <c r="H236" s="868"/>
      <c r="I236" s="868"/>
      <c r="J236" s="868"/>
      <c r="K236" s="868"/>
      <c r="L236" s="868"/>
      <c r="M236" s="868"/>
      <c r="N236" s="868"/>
      <c r="O236" s="868"/>
      <c r="P236" s="868"/>
      <c r="Q236" s="196"/>
      <c r="R236" s="179">
        <f t="shared" ref="R236:R252" si="18">SUM(C236:P236)</f>
        <v>0</v>
      </c>
      <c r="S236" s="197"/>
    </row>
    <row r="237" spans="1:19" s="174" customFormat="1" ht="30.75" customHeight="1" x14ac:dyDescent="0.35">
      <c r="A237" s="1239"/>
      <c r="B237" s="190"/>
      <c r="C237" s="191"/>
      <c r="D237" s="191"/>
      <c r="E237" s="191"/>
      <c r="F237" s="191"/>
      <c r="G237" s="191"/>
      <c r="H237" s="191"/>
      <c r="I237" s="191"/>
      <c r="J237" s="191"/>
      <c r="K237" s="191"/>
      <c r="L237" s="191"/>
      <c r="M237" s="191"/>
      <c r="N237" s="191"/>
      <c r="O237" s="191"/>
      <c r="P237" s="191"/>
      <c r="Q237" s="196"/>
      <c r="R237" s="179">
        <f t="shared" si="18"/>
        <v>0</v>
      </c>
      <c r="S237" s="197"/>
    </row>
    <row r="238" spans="1:19" s="174" customFormat="1" ht="30.75" hidden="1" customHeight="1" x14ac:dyDescent="0.35">
      <c r="A238" s="178"/>
      <c r="B238" s="180">
        <v>11</v>
      </c>
      <c r="C238" s="175"/>
      <c r="D238" s="175"/>
      <c r="E238" s="175"/>
      <c r="F238" s="175"/>
      <c r="G238" s="175"/>
      <c r="H238" s="175"/>
      <c r="I238" s="175"/>
      <c r="J238" s="175"/>
      <c r="K238" s="175"/>
      <c r="L238" s="175"/>
      <c r="M238" s="175"/>
      <c r="N238" s="175"/>
      <c r="O238" s="175"/>
      <c r="P238" s="175"/>
      <c r="Q238" s="176"/>
      <c r="R238" s="179">
        <f t="shared" si="18"/>
        <v>0</v>
      </c>
      <c r="S238" s="177"/>
    </row>
    <row r="239" spans="1:19" s="174" customFormat="1" ht="30.75" hidden="1" customHeight="1" x14ac:dyDescent="0.35">
      <c r="A239" s="178"/>
      <c r="B239" s="180">
        <v>12</v>
      </c>
      <c r="C239" s="175"/>
      <c r="D239" s="175"/>
      <c r="E239" s="175"/>
      <c r="F239" s="175"/>
      <c r="G239" s="175"/>
      <c r="H239" s="175"/>
      <c r="I239" s="175"/>
      <c r="J239" s="175"/>
      <c r="K239" s="175"/>
      <c r="L239" s="175"/>
      <c r="M239" s="175"/>
      <c r="N239" s="175"/>
      <c r="O239" s="175"/>
      <c r="P239" s="175"/>
      <c r="Q239" s="176"/>
      <c r="R239" s="179">
        <f t="shared" si="18"/>
        <v>0</v>
      </c>
      <c r="S239" s="177"/>
    </row>
    <row r="240" spans="1:19" s="174" customFormat="1" ht="30.75" hidden="1" customHeight="1" x14ac:dyDescent="0.35">
      <c r="A240" s="178"/>
      <c r="B240" s="180">
        <v>13</v>
      </c>
      <c r="C240" s="175"/>
      <c r="D240" s="175"/>
      <c r="E240" s="175"/>
      <c r="F240" s="175"/>
      <c r="G240" s="175"/>
      <c r="H240" s="175"/>
      <c r="I240" s="175"/>
      <c r="J240" s="175"/>
      <c r="K240" s="175"/>
      <c r="L240" s="175"/>
      <c r="M240" s="175"/>
      <c r="N240" s="175"/>
      <c r="O240" s="175"/>
      <c r="P240" s="175"/>
      <c r="Q240" s="176"/>
      <c r="R240" s="179">
        <f t="shared" si="18"/>
        <v>0</v>
      </c>
      <c r="S240" s="177"/>
    </row>
    <row r="241" spans="1:21" s="174" customFormat="1" ht="30.75" hidden="1" customHeight="1" x14ac:dyDescent="0.35">
      <c r="A241" s="178"/>
      <c r="B241" s="180">
        <v>14</v>
      </c>
      <c r="C241" s="175"/>
      <c r="D241" s="175"/>
      <c r="E241" s="175"/>
      <c r="F241" s="175"/>
      <c r="G241" s="175"/>
      <c r="H241" s="175"/>
      <c r="I241" s="175"/>
      <c r="J241" s="175"/>
      <c r="K241" s="175"/>
      <c r="L241" s="175"/>
      <c r="M241" s="175"/>
      <c r="N241" s="175"/>
      <c r="O241" s="175"/>
      <c r="P241" s="175"/>
      <c r="Q241" s="176"/>
      <c r="R241" s="179">
        <f t="shared" si="18"/>
        <v>0</v>
      </c>
      <c r="S241" s="177"/>
    </row>
    <row r="242" spans="1:21" s="174" customFormat="1" ht="30.75" hidden="1" customHeight="1" x14ac:dyDescent="0.35">
      <c r="A242" s="178"/>
      <c r="B242" s="180">
        <v>15</v>
      </c>
      <c r="C242" s="175"/>
      <c r="D242" s="175"/>
      <c r="E242" s="175"/>
      <c r="F242" s="175"/>
      <c r="G242" s="175"/>
      <c r="H242" s="175"/>
      <c r="I242" s="175"/>
      <c r="J242" s="175"/>
      <c r="K242" s="175"/>
      <c r="L242" s="175"/>
      <c r="M242" s="175"/>
      <c r="N242" s="175"/>
      <c r="O242" s="175"/>
      <c r="P242" s="175"/>
      <c r="Q242" s="176"/>
      <c r="R242" s="179">
        <f t="shared" si="18"/>
        <v>0</v>
      </c>
      <c r="S242" s="177"/>
    </row>
    <row r="243" spans="1:21" s="174" customFormat="1" ht="30.75" hidden="1" customHeight="1" x14ac:dyDescent="0.35">
      <c r="A243" s="178"/>
      <c r="B243" s="180">
        <v>16</v>
      </c>
      <c r="C243" s="175"/>
      <c r="D243" s="175"/>
      <c r="E243" s="175"/>
      <c r="F243" s="175"/>
      <c r="G243" s="175"/>
      <c r="H243" s="175"/>
      <c r="I243" s="175"/>
      <c r="J243" s="175"/>
      <c r="K243" s="175"/>
      <c r="L243" s="175"/>
      <c r="M243" s="175"/>
      <c r="N243" s="175"/>
      <c r="O243" s="175"/>
      <c r="P243" s="175"/>
      <c r="Q243" s="176"/>
      <c r="R243" s="179">
        <f t="shared" si="18"/>
        <v>0</v>
      </c>
      <c r="S243" s="177"/>
    </row>
    <row r="244" spans="1:21" s="174" customFormat="1" ht="30.75" hidden="1" customHeight="1" x14ac:dyDescent="0.35">
      <c r="A244" s="178"/>
      <c r="B244" s="180">
        <v>17</v>
      </c>
      <c r="C244" s="175"/>
      <c r="D244" s="175"/>
      <c r="E244" s="175"/>
      <c r="F244" s="175"/>
      <c r="G244" s="175"/>
      <c r="H244" s="175"/>
      <c r="I244" s="175"/>
      <c r="J244" s="175"/>
      <c r="K244" s="175"/>
      <c r="L244" s="175"/>
      <c r="M244" s="175"/>
      <c r="N244" s="175"/>
      <c r="O244" s="175"/>
      <c r="P244" s="175"/>
      <c r="Q244" s="176"/>
      <c r="R244" s="179">
        <f t="shared" si="18"/>
        <v>0</v>
      </c>
      <c r="S244" s="177"/>
    </row>
    <row r="245" spans="1:21" s="174" customFormat="1" ht="30.75" hidden="1" customHeight="1" x14ac:dyDescent="0.35">
      <c r="A245" s="178"/>
      <c r="B245" s="180">
        <v>18</v>
      </c>
      <c r="C245" s="175"/>
      <c r="D245" s="175"/>
      <c r="E245" s="175"/>
      <c r="F245" s="175"/>
      <c r="G245" s="175"/>
      <c r="H245" s="175"/>
      <c r="I245" s="175"/>
      <c r="J245" s="175"/>
      <c r="K245" s="175"/>
      <c r="L245" s="175"/>
      <c r="M245" s="175"/>
      <c r="N245" s="175"/>
      <c r="O245" s="175"/>
      <c r="P245" s="175"/>
      <c r="Q245" s="176"/>
      <c r="R245" s="179">
        <f t="shared" si="18"/>
        <v>0</v>
      </c>
      <c r="S245" s="177"/>
    </row>
    <row r="246" spans="1:21" s="174" customFormat="1" ht="30.75" hidden="1" customHeight="1" x14ac:dyDescent="0.35">
      <c r="A246" s="178"/>
      <c r="B246" s="180">
        <v>19</v>
      </c>
      <c r="C246" s="175"/>
      <c r="D246" s="175"/>
      <c r="E246" s="175"/>
      <c r="F246" s="175"/>
      <c r="G246" s="175"/>
      <c r="H246" s="175"/>
      <c r="I246" s="175"/>
      <c r="J246" s="175"/>
      <c r="K246" s="175"/>
      <c r="L246" s="175"/>
      <c r="M246" s="175"/>
      <c r="N246" s="175"/>
      <c r="O246" s="175"/>
      <c r="P246" s="175"/>
      <c r="Q246" s="176"/>
      <c r="R246" s="179">
        <f t="shared" si="18"/>
        <v>0</v>
      </c>
      <c r="S246" s="177"/>
    </row>
    <row r="247" spans="1:21" s="174" customFormat="1" ht="30.75" hidden="1" customHeight="1" x14ac:dyDescent="0.35">
      <c r="A247" s="178"/>
      <c r="B247" s="180">
        <v>20</v>
      </c>
      <c r="C247" s="175"/>
      <c r="D247" s="175"/>
      <c r="E247" s="175"/>
      <c r="F247" s="175"/>
      <c r="G247" s="175"/>
      <c r="H247" s="175"/>
      <c r="I247" s="175"/>
      <c r="J247" s="175"/>
      <c r="K247" s="175"/>
      <c r="L247" s="175"/>
      <c r="M247" s="175"/>
      <c r="N247" s="175"/>
      <c r="O247" s="175"/>
      <c r="P247" s="175"/>
      <c r="Q247" s="176"/>
      <c r="R247" s="179">
        <f t="shared" si="18"/>
        <v>0</v>
      </c>
      <c r="S247" s="177"/>
    </row>
    <row r="248" spans="1:21" s="174" customFormat="1" ht="30.75" hidden="1" customHeight="1" x14ac:dyDescent="0.35">
      <c r="A248" s="178"/>
      <c r="B248" s="180">
        <v>21</v>
      </c>
      <c r="C248" s="175"/>
      <c r="D248" s="175"/>
      <c r="E248" s="175"/>
      <c r="F248" s="175"/>
      <c r="G248" s="175"/>
      <c r="H248" s="175"/>
      <c r="I248" s="175"/>
      <c r="J248" s="175"/>
      <c r="K248" s="175"/>
      <c r="L248" s="175"/>
      <c r="M248" s="175"/>
      <c r="N248" s="175"/>
      <c r="O248" s="175"/>
      <c r="P248" s="175"/>
      <c r="Q248" s="176"/>
      <c r="R248" s="179">
        <f t="shared" si="18"/>
        <v>0</v>
      </c>
      <c r="S248" s="177"/>
    </row>
    <row r="249" spans="1:21" s="174" customFormat="1" ht="30.75" hidden="1" customHeight="1" x14ac:dyDescent="0.35">
      <c r="A249" s="178"/>
      <c r="B249" s="180">
        <v>22</v>
      </c>
      <c r="C249" s="175"/>
      <c r="D249" s="175"/>
      <c r="E249" s="175"/>
      <c r="F249" s="175"/>
      <c r="G249" s="175"/>
      <c r="H249" s="175"/>
      <c r="I249" s="175"/>
      <c r="J249" s="175"/>
      <c r="K249" s="175"/>
      <c r="L249" s="175"/>
      <c r="M249" s="175"/>
      <c r="N249" s="175"/>
      <c r="O249" s="175"/>
      <c r="P249" s="175"/>
      <c r="Q249" s="176"/>
      <c r="R249" s="179">
        <f t="shared" si="18"/>
        <v>0</v>
      </c>
      <c r="S249" s="177"/>
    </row>
    <row r="250" spans="1:21" s="174" customFormat="1" ht="30.75" hidden="1" customHeight="1" x14ac:dyDescent="0.35">
      <c r="A250" s="178"/>
      <c r="B250" s="180">
        <v>23</v>
      </c>
      <c r="C250" s="175"/>
      <c r="D250" s="175"/>
      <c r="E250" s="175"/>
      <c r="F250" s="175"/>
      <c r="G250" s="175"/>
      <c r="H250" s="175"/>
      <c r="I250" s="175"/>
      <c r="J250" s="175"/>
      <c r="K250" s="175"/>
      <c r="L250" s="175"/>
      <c r="M250" s="175"/>
      <c r="N250" s="175"/>
      <c r="O250" s="175"/>
      <c r="P250" s="175"/>
      <c r="Q250" s="176"/>
      <c r="R250" s="179">
        <f t="shared" si="18"/>
        <v>0</v>
      </c>
      <c r="S250" s="177"/>
    </row>
    <row r="251" spans="1:21" s="174" customFormat="1" ht="30.75" hidden="1" customHeight="1" x14ac:dyDescent="0.35">
      <c r="A251" s="178"/>
      <c r="B251" s="180">
        <v>24</v>
      </c>
      <c r="C251" s="175"/>
      <c r="D251" s="175"/>
      <c r="E251" s="175"/>
      <c r="F251" s="175"/>
      <c r="G251" s="175"/>
      <c r="H251" s="175"/>
      <c r="I251" s="175"/>
      <c r="J251" s="175"/>
      <c r="K251" s="175"/>
      <c r="L251" s="175"/>
      <c r="M251" s="175"/>
      <c r="N251" s="175"/>
      <c r="O251" s="175"/>
      <c r="P251" s="175"/>
      <c r="Q251" s="176"/>
      <c r="R251" s="179">
        <f t="shared" si="18"/>
        <v>0</v>
      </c>
      <c r="S251" s="177"/>
    </row>
    <row r="252" spans="1:21" s="174" customFormat="1" ht="30.75" hidden="1" customHeight="1" x14ac:dyDescent="0.35">
      <c r="A252" s="178"/>
      <c r="B252" s="180">
        <v>25</v>
      </c>
      <c r="C252" s="175"/>
      <c r="D252" s="175"/>
      <c r="E252" s="175"/>
      <c r="F252" s="175"/>
      <c r="G252" s="175"/>
      <c r="H252" s="175"/>
      <c r="I252" s="175"/>
      <c r="J252" s="175"/>
      <c r="K252" s="175"/>
      <c r="L252" s="175"/>
      <c r="M252" s="175"/>
      <c r="N252" s="175"/>
      <c r="O252" s="175"/>
      <c r="P252" s="175"/>
      <c r="Q252" s="176"/>
      <c r="R252" s="179">
        <f t="shared" si="18"/>
        <v>0</v>
      </c>
      <c r="S252" s="177"/>
    </row>
    <row r="253" spans="1:21" s="174" customFormat="1" ht="30.75" customHeight="1" x14ac:dyDescent="0.35">
      <c r="A253" s="181" t="s">
        <v>60</v>
      </c>
      <c r="B253" s="188"/>
      <c r="C253" s="183">
        <f t="shared" ref="C253:P253" si="19">SUM(C236:C237)</f>
        <v>0</v>
      </c>
      <c r="D253" s="183">
        <f t="shared" si="19"/>
        <v>0</v>
      </c>
      <c r="E253" s="183">
        <f t="shared" si="19"/>
        <v>0</v>
      </c>
      <c r="F253" s="183">
        <f t="shared" si="19"/>
        <v>0</v>
      </c>
      <c r="G253" s="183">
        <f t="shared" si="19"/>
        <v>0</v>
      </c>
      <c r="H253" s="183">
        <f t="shared" si="19"/>
        <v>0</v>
      </c>
      <c r="I253" s="183">
        <f t="shared" si="19"/>
        <v>0</v>
      </c>
      <c r="J253" s="183">
        <f t="shared" si="19"/>
        <v>0</v>
      </c>
      <c r="K253" s="183">
        <f t="shared" si="19"/>
        <v>0</v>
      </c>
      <c r="L253" s="183">
        <f t="shared" si="19"/>
        <v>0</v>
      </c>
      <c r="M253" s="183">
        <f t="shared" si="19"/>
        <v>0</v>
      </c>
      <c r="N253" s="183">
        <f t="shared" si="19"/>
        <v>0</v>
      </c>
      <c r="O253" s="183">
        <f t="shared" si="19"/>
        <v>0</v>
      </c>
      <c r="P253" s="183">
        <f t="shared" si="19"/>
        <v>0</v>
      </c>
      <c r="Q253" s="189"/>
      <c r="R253" s="185">
        <f>SUM(R237:R252)</f>
        <v>0</v>
      </c>
      <c r="S253" s="186">
        <f>S235+R253</f>
        <v>24042565</v>
      </c>
    </row>
    <row r="254" spans="1:21" ht="51.75" customHeight="1" thickBot="1" x14ac:dyDescent="0.25">
      <c r="A254" s="198" t="s">
        <v>111</v>
      </c>
      <c r="B254" s="199"/>
      <c r="C254" s="200">
        <f t="shared" ref="C254:P254" si="20">C37+C62+C95+C122+C147+C172+C199+C217+C235+C253</f>
        <v>0</v>
      </c>
      <c r="D254" s="200">
        <f t="shared" si="20"/>
        <v>184000</v>
      </c>
      <c r="E254" s="200">
        <f t="shared" si="20"/>
        <v>99900</v>
      </c>
      <c r="F254" s="200">
        <f t="shared" si="20"/>
        <v>1067500</v>
      </c>
      <c r="G254" s="200">
        <f t="shared" si="20"/>
        <v>202438</v>
      </c>
      <c r="H254" s="200">
        <f t="shared" si="20"/>
        <v>387500</v>
      </c>
      <c r="I254" s="200">
        <f t="shared" si="20"/>
        <v>0</v>
      </c>
      <c r="J254" s="200">
        <f t="shared" si="20"/>
        <v>1050600</v>
      </c>
      <c r="K254" s="200">
        <f t="shared" si="20"/>
        <v>205000</v>
      </c>
      <c r="L254" s="200">
        <f t="shared" si="20"/>
        <v>122100</v>
      </c>
      <c r="M254" s="200">
        <f t="shared" si="20"/>
        <v>590400</v>
      </c>
      <c r="N254" s="200">
        <f t="shared" si="20"/>
        <v>59000</v>
      </c>
      <c r="O254" s="200">
        <f t="shared" si="20"/>
        <v>0</v>
      </c>
      <c r="P254" s="200">
        <f t="shared" si="20"/>
        <v>20074127</v>
      </c>
      <c r="Q254" s="201"/>
      <c r="R254" s="201"/>
      <c r="S254" s="202">
        <f>SUM(C254:P254)</f>
        <v>24042565</v>
      </c>
    </row>
    <row r="255" spans="1:21" ht="15" hidden="1" customHeight="1" x14ac:dyDescent="0.2">
      <c r="A255" s="203"/>
      <c r="B255" s="204"/>
      <c r="C255" s="205"/>
      <c r="D255" s="205"/>
      <c r="E255" s="205"/>
      <c r="F255" s="205"/>
      <c r="G255" s="205"/>
      <c r="H255" s="205"/>
      <c r="I255" s="205"/>
      <c r="J255" s="205"/>
      <c r="K255" s="205"/>
      <c r="L255" s="205"/>
      <c r="M255" s="205"/>
      <c r="N255" s="205"/>
      <c r="O255" s="205"/>
      <c r="P255" s="205"/>
      <c r="Q255" s="205"/>
      <c r="R255" s="205"/>
      <c r="S255" s="206"/>
      <c r="U255" s="207"/>
    </row>
    <row r="256" spans="1:21" ht="15" hidden="1" customHeight="1" x14ac:dyDescent="0.2">
      <c r="A256" s="208"/>
      <c r="B256" s="209"/>
      <c r="C256" s="210"/>
      <c r="D256" s="210"/>
      <c r="E256" s="210"/>
      <c r="F256" s="210"/>
      <c r="G256" s="210"/>
      <c r="H256" s="210"/>
      <c r="I256" s="210"/>
      <c r="J256" s="210"/>
      <c r="K256" s="210"/>
      <c r="L256" s="210"/>
      <c r="M256" s="210"/>
      <c r="N256" s="210"/>
      <c r="O256" s="210"/>
      <c r="P256" s="210"/>
      <c r="Q256" s="210"/>
      <c r="R256" s="210"/>
      <c r="S256" s="211"/>
    </row>
    <row r="257" spans="1:18" ht="15" hidden="1" customHeight="1" x14ac:dyDescent="0.2">
      <c r="A257" s="212"/>
      <c r="B257" s="209"/>
      <c r="C257" s="213"/>
      <c r="D257" s="213"/>
      <c r="E257" s="213"/>
      <c r="F257" s="213"/>
      <c r="G257" s="213"/>
      <c r="H257" s="213"/>
      <c r="I257" s="213"/>
      <c r="J257" s="213"/>
      <c r="K257" s="213"/>
      <c r="L257" s="213"/>
      <c r="M257" s="213"/>
      <c r="N257" s="213"/>
      <c r="O257" s="213"/>
      <c r="P257" s="213"/>
      <c r="Q257" s="213"/>
      <c r="R257" s="213"/>
    </row>
    <row r="258" spans="1:18" ht="30" customHeight="1" x14ac:dyDescent="0.2"/>
    <row r="259" spans="1:18" ht="30" customHeight="1" x14ac:dyDescent="0.2"/>
    <row r="260" spans="1:18" s="148" customFormat="1" ht="30" customHeight="1" x14ac:dyDescent="0.25">
      <c r="A260" s="1240"/>
      <c r="B260" s="1240"/>
      <c r="C260" s="1240"/>
    </row>
    <row r="261" spans="1:18" s="148" customFormat="1" ht="30" customHeight="1" x14ac:dyDescent="0.25">
      <c r="A261" s="1241"/>
      <c r="B261" s="1241"/>
      <c r="C261" s="1241"/>
      <c r="D261" s="1241"/>
      <c r="E261" s="1241"/>
      <c r="F261" s="1241"/>
    </row>
    <row r="262" spans="1:18" s="148" customFormat="1" ht="30" customHeight="1" x14ac:dyDescent="0.25">
      <c r="A262" s="1241"/>
      <c r="B262" s="1241"/>
      <c r="C262" s="1241"/>
      <c r="D262" s="1241"/>
      <c r="E262" s="1241"/>
      <c r="F262" s="1241"/>
    </row>
    <row r="263" spans="1:18" s="148" customFormat="1" ht="30" customHeight="1" x14ac:dyDescent="0.25">
      <c r="A263" s="1241"/>
      <c r="B263" s="1241"/>
      <c r="C263" s="1241"/>
      <c r="D263" s="1241"/>
      <c r="E263" s="1241"/>
      <c r="F263" s="1241"/>
    </row>
    <row r="264" spans="1:18" s="148" customFormat="1" ht="30" customHeight="1" x14ac:dyDescent="0.25">
      <c r="A264" s="1257"/>
      <c r="B264" s="1257"/>
      <c r="C264" s="1257"/>
      <c r="D264" s="1257"/>
      <c r="E264" s="1257"/>
      <c r="F264" s="1257"/>
    </row>
    <row r="265" spans="1:18" s="148" customFormat="1" ht="30" customHeight="1" x14ac:dyDescent="0.25">
      <c r="A265" s="1257"/>
      <c r="B265" s="1257"/>
      <c r="C265" s="1257"/>
      <c r="D265" s="1257"/>
      <c r="E265" s="1257"/>
      <c r="F265" s="1257"/>
    </row>
    <row r="266" spans="1:18" s="148" customFormat="1" ht="30" customHeight="1" x14ac:dyDescent="0.25">
      <c r="A266" s="1257"/>
      <c r="B266" s="1257"/>
      <c r="C266" s="1257"/>
      <c r="D266" s="1257"/>
      <c r="E266" s="1257"/>
      <c r="F266" s="1257"/>
    </row>
    <row r="267" spans="1:18" s="148" customFormat="1" ht="30" customHeight="1" x14ac:dyDescent="0.25">
      <c r="A267" s="1257"/>
      <c r="B267" s="1257"/>
      <c r="C267" s="1257"/>
      <c r="D267" s="1257"/>
      <c r="E267" s="1257"/>
      <c r="F267" s="1257"/>
    </row>
    <row r="268" spans="1:18" s="148" customFormat="1" ht="30" customHeight="1" x14ac:dyDescent="0.25">
      <c r="A268" s="1256"/>
      <c r="B268" s="1256"/>
      <c r="C268" s="1256"/>
      <c r="D268" s="1256"/>
      <c r="E268" s="1256"/>
      <c r="F268" s="1256"/>
    </row>
    <row r="269" spans="1:18" s="148" customFormat="1" ht="30" customHeight="1" x14ac:dyDescent="0.25">
      <c r="A269" s="1256"/>
      <c r="B269" s="1256"/>
      <c r="C269" s="1256"/>
      <c r="D269" s="1256"/>
      <c r="E269" s="1256"/>
      <c r="F269" s="1256"/>
    </row>
    <row r="270" spans="1:18" s="148" customFormat="1" ht="30" customHeight="1" x14ac:dyDescent="0.25">
      <c r="A270" s="1256"/>
      <c r="B270" s="1256"/>
      <c r="C270" s="1256"/>
      <c r="D270" s="1256"/>
      <c r="E270" s="1256"/>
      <c r="F270" s="1256"/>
    </row>
    <row r="271" spans="1:18" s="148" customFormat="1" ht="30" customHeight="1" x14ac:dyDescent="0.25">
      <c r="A271" s="1256"/>
      <c r="B271" s="1256"/>
      <c r="C271" s="1256"/>
      <c r="D271" s="1256"/>
      <c r="E271" s="1256"/>
      <c r="F271" s="1256"/>
    </row>
    <row r="272" spans="1:18" s="148" customFormat="1" ht="30" customHeight="1" x14ac:dyDescent="0.25">
      <c r="A272" s="1257"/>
      <c r="B272" s="1257"/>
      <c r="C272" s="1257"/>
      <c r="D272" s="1257"/>
      <c r="E272" s="1257"/>
      <c r="F272" s="1257"/>
    </row>
    <row r="273" s="148" customFormat="1" ht="30" customHeight="1" x14ac:dyDescent="0.25"/>
    <row r="274" s="148" customFormat="1" ht="30" customHeight="1" x14ac:dyDescent="0.25"/>
    <row r="275" s="148" customFormat="1" ht="30" customHeight="1" x14ac:dyDescent="0.25"/>
    <row r="276" s="148" customFormat="1" ht="30" customHeight="1" x14ac:dyDescent="0.25"/>
    <row r="277" s="148" customFormat="1" ht="30" customHeight="1" x14ac:dyDescent="0.25"/>
    <row r="278" s="148" customFormat="1" ht="30" customHeight="1" x14ac:dyDescent="0.25"/>
    <row r="279" s="148" customFormat="1" ht="30" customHeight="1" x14ac:dyDescent="0.25"/>
    <row r="280" s="148" customFormat="1" ht="30" customHeight="1" x14ac:dyDescent="0.25"/>
    <row r="281" s="148" customFormat="1" ht="30" customHeight="1" x14ac:dyDescent="0.25"/>
    <row r="282" s="148" customFormat="1" ht="30" customHeight="1" x14ac:dyDescent="0.25"/>
    <row r="283" s="148" customFormat="1" ht="30" customHeight="1" x14ac:dyDescent="0.25"/>
    <row r="284" s="148" customFormat="1" ht="30" customHeight="1" x14ac:dyDescent="0.25"/>
    <row r="285" s="148" customFormat="1" ht="30" customHeight="1" x14ac:dyDescent="0.25"/>
    <row r="286" s="148" customFormat="1" ht="30" customHeight="1" x14ac:dyDescent="0.25"/>
    <row r="287" s="148" customFormat="1" ht="30" customHeight="1" x14ac:dyDescent="0.25"/>
    <row r="288" s="148" customFormat="1" ht="30" customHeight="1" x14ac:dyDescent="0.25"/>
    <row r="289" s="148" customFormat="1" ht="30" customHeight="1" x14ac:dyDescent="0.25"/>
    <row r="290" s="148" customFormat="1" ht="30" customHeight="1" x14ac:dyDescent="0.25"/>
    <row r="291" s="148" customFormat="1" ht="30" customHeight="1" x14ac:dyDescent="0.25"/>
    <row r="292" ht="30" customHeight="1" x14ac:dyDescent="0.2"/>
    <row r="293" ht="30" customHeight="1" x14ac:dyDescent="0.2"/>
    <row r="294" ht="30" customHeight="1" x14ac:dyDescent="0.2"/>
    <row r="295" ht="30" customHeight="1" x14ac:dyDescent="0.2"/>
    <row r="296" ht="30" customHeight="1" x14ac:dyDescent="0.2"/>
    <row r="297" ht="30" customHeight="1" x14ac:dyDescent="0.2"/>
    <row r="298" ht="30" customHeight="1" x14ac:dyDescent="0.2"/>
    <row r="299" ht="30" customHeight="1" x14ac:dyDescent="0.2"/>
    <row r="300" ht="30" customHeight="1" x14ac:dyDescent="0.2"/>
    <row r="301" ht="30" customHeight="1" x14ac:dyDescent="0.2"/>
    <row r="302" ht="30" customHeight="1" x14ac:dyDescent="0.2"/>
  </sheetData>
  <mergeCells count="31">
    <mergeCell ref="A269:F269"/>
    <mergeCell ref="A270:F270"/>
    <mergeCell ref="A271:F271"/>
    <mergeCell ref="A272:F272"/>
    <mergeCell ref="A263:F263"/>
    <mergeCell ref="A264:F264"/>
    <mergeCell ref="A265:F265"/>
    <mergeCell ref="A266:F266"/>
    <mergeCell ref="A267:F267"/>
    <mergeCell ref="A268:F268"/>
    <mergeCell ref="A260:C260"/>
    <mergeCell ref="A261:F261"/>
    <mergeCell ref="A262:F262"/>
    <mergeCell ref="A2:S2"/>
    <mergeCell ref="R4:S4"/>
    <mergeCell ref="R5:S5"/>
    <mergeCell ref="A8:A9"/>
    <mergeCell ref="M8:M9"/>
    <mergeCell ref="O8:O9"/>
    <mergeCell ref="P8:R8"/>
    <mergeCell ref="S8:S9"/>
    <mergeCell ref="A10:A21"/>
    <mergeCell ref="A38:A47"/>
    <mergeCell ref="A63:A73"/>
    <mergeCell ref="A96:A106"/>
    <mergeCell ref="A123:A131"/>
    <mergeCell ref="A148:A156"/>
    <mergeCell ref="A173:A183"/>
    <mergeCell ref="A200:A201"/>
    <mergeCell ref="A218:A219"/>
    <mergeCell ref="A236:A23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AA993-A1AF-482E-9461-C20D70034B4E}">
  <sheetPr>
    <tabColor rgb="FFC00000"/>
  </sheetPr>
  <dimension ref="B1:BD284"/>
  <sheetViews>
    <sheetView topLeftCell="A175" zoomScale="70" zoomScaleNormal="70" workbookViewId="0">
      <pane xSplit="6540" topLeftCell="Z1" activePane="topRight"/>
      <selection activeCell="E5" sqref="E5:F5"/>
      <selection pane="topRight" activeCell="AN179" sqref="AN179"/>
    </sheetView>
  </sheetViews>
  <sheetFormatPr defaultRowHeight="12.75" x14ac:dyDescent="0.25"/>
  <cols>
    <col min="1" max="1" width="9.140625" style="215"/>
    <col min="2" max="2" width="6.140625" style="215" customWidth="1"/>
    <col min="3" max="3" width="5" style="215" customWidth="1"/>
    <col min="4" max="4" width="35" style="215" customWidth="1"/>
    <col min="5" max="5" width="13.7109375" style="215" customWidth="1"/>
    <col min="6" max="6" width="9.7109375" style="259" customWidth="1"/>
    <col min="7" max="7" width="13.7109375" style="215" customWidth="1"/>
    <col min="8" max="8" width="11.7109375" style="259" customWidth="1"/>
    <col min="9" max="9" width="13.7109375" style="215" customWidth="1"/>
    <col min="10" max="10" width="8.42578125" style="259" customWidth="1"/>
    <col min="11" max="11" width="13.7109375" style="215" customWidth="1"/>
    <col min="12" max="12" width="8.7109375" style="259" customWidth="1"/>
    <col min="13" max="13" width="13.7109375" style="215" customWidth="1"/>
    <col min="14" max="14" width="8.7109375" style="259" customWidth="1"/>
    <col min="15" max="15" width="13.7109375" style="215" customWidth="1"/>
    <col min="16" max="16" width="8.7109375" style="259" customWidth="1"/>
    <col min="17" max="17" width="13.7109375" style="215" customWidth="1"/>
    <col min="18" max="18" width="8.42578125" style="259" customWidth="1"/>
    <col min="19" max="19" width="13.7109375" style="215" customWidth="1"/>
    <col min="20" max="20" width="8.7109375" style="259" customWidth="1"/>
    <col min="21" max="21" width="13.7109375" style="215" customWidth="1"/>
    <col min="22" max="22" width="8.7109375" style="259" customWidth="1"/>
    <col min="23" max="23" width="13.7109375" style="215" customWidth="1"/>
    <col min="24" max="24" width="8.7109375" style="259" customWidth="1"/>
    <col min="25" max="25" width="13.7109375" style="215" customWidth="1"/>
    <col min="26" max="26" width="8.7109375" style="259" customWidth="1"/>
    <col min="27" max="27" width="13.7109375" style="215" customWidth="1"/>
    <col min="28" max="28" width="8.7109375" style="259" customWidth="1"/>
    <col min="29" max="29" width="13.7109375" style="215" customWidth="1"/>
    <col min="30" max="30" width="8.7109375" style="215" customWidth="1"/>
    <col min="31" max="31" width="13.7109375" style="215" customWidth="1"/>
    <col min="32" max="32" width="8.7109375" style="259" customWidth="1"/>
    <col min="33" max="33" width="13.7109375" style="215" customWidth="1"/>
    <col min="34" max="34" width="9.7109375" style="259" customWidth="1"/>
    <col min="35" max="35" width="13.7109375" style="215" customWidth="1"/>
    <col min="36" max="36" width="10.7109375" style="259" customWidth="1"/>
    <col min="37" max="37" width="13.7109375" style="215" customWidth="1"/>
    <col min="38" max="38" width="11.5703125" style="259" customWidth="1"/>
    <col min="39" max="39" width="13.7109375" style="215" customWidth="1"/>
    <col min="40" max="40" width="10.7109375" style="259" customWidth="1"/>
    <col min="41" max="41" width="12.42578125" style="215" bestFit="1" customWidth="1"/>
    <col min="42" max="42" width="22.7109375" style="215" customWidth="1"/>
    <col min="43" max="43" width="22" style="215" bestFit="1" customWidth="1"/>
    <col min="44" max="44" width="12.7109375" style="215" customWidth="1"/>
    <col min="45" max="45" width="20.5703125" style="215" customWidth="1"/>
    <col min="46" max="46" width="12.7109375" style="215" customWidth="1"/>
    <col min="47" max="47" width="20.7109375" style="215" customWidth="1"/>
    <col min="48" max="48" width="12.7109375" style="215" customWidth="1"/>
    <col min="49" max="49" width="20.7109375" style="215" customWidth="1"/>
    <col min="50" max="50" width="12.7109375" style="215" customWidth="1"/>
    <col min="51" max="51" width="20.7109375" style="215" customWidth="1"/>
    <col min="52" max="52" width="12.7109375" style="215" customWidth="1"/>
    <col min="53" max="53" width="20.7109375" style="215" customWidth="1"/>
    <col min="54" max="54" width="12.7109375" style="215" customWidth="1"/>
    <col min="55" max="55" width="20.7109375" style="215" customWidth="1"/>
    <col min="56" max="56" width="12.7109375" style="215" customWidth="1"/>
    <col min="57" max="257" width="9.140625" style="215"/>
    <col min="258" max="258" width="6.140625" style="215" customWidth="1"/>
    <col min="259" max="259" width="5" style="215" customWidth="1"/>
    <col min="260" max="260" width="35" style="215" customWidth="1"/>
    <col min="261" max="261" width="13.7109375" style="215" customWidth="1"/>
    <col min="262" max="262" width="9.7109375" style="215" customWidth="1"/>
    <col min="263" max="263" width="13.7109375" style="215" customWidth="1"/>
    <col min="264" max="264" width="11.7109375" style="215" customWidth="1"/>
    <col min="265" max="265" width="13.7109375" style="215" customWidth="1"/>
    <col min="266" max="266" width="8.42578125" style="215" customWidth="1"/>
    <col min="267" max="267" width="13.7109375" style="215" customWidth="1"/>
    <col min="268" max="268" width="8.7109375" style="215" customWidth="1"/>
    <col min="269" max="269" width="13.7109375" style="215" customWidth="1"/>
    <col min="270" max="270" width="8.7109375" style="215" customWidth="1"/>
    <col min="271" max="271" width="13.7109375" style="215" customWidth="1"/>
    <col min="272" max="272" width="8.7109375" style="215" customWidth="1"/>
    <col min="273" max="273" width="13.7109375" style="215" customWidth="1"/>
    <col min="274" max="274" width="8.42578125" style="215" customWidth="1"/>
    <col min="275" max="275" width="13.7109375" style="215" customWidth="1"/>
    <col min="276" max="276" width="8.7109375" style="215" customWidth="1"/>
    <col min="277" max="277" width="13.7109375" style="215" customWidth="1"/>
    <col min="278" max="278" width="8.7109375" style="215" customWidth="1"/>
    <col min="279" max="279" width="13.7109375" style="215" customWidth="1"/>
    <col min="280" max="280" width="8.7109375" style="215" customWidth="1"/>
    <col min="281" max="281" width="13.7109375" style="215" customWidth="1"/>
    <col min="282" max="282" width="8.7109375" style="215" customWidth="1"/>
    <col min="283" max="283" width="13.7109375" style="215" customWidth="1"/>
    <col min="284" max="284" width="8.7109375" style="215" customWidth="1"/>
    <col min="285" max="285" width="13.7109375" style="215" customWidth="1"/>
    <col min="286" max="286" width="8.7109375" style="215" customWidth="1"/>
    <col min="287" max="287" width="13.7109375" style="215" customWidth="1"/>
    <col min="288" max="288" width="8.7109375" style="215" customWidth="1"/>
    <col min="289" max="289" width="13.7109375" style="215" customWidth="1"/>
    <col min="290" max="290" width="9.7109375" style="215" customWidth="1"/>
    <col min="291" max="291" width="13.7109375" style="215" customWidth="1"/>
    <col min="292" max="292" width="10.7109375" style="215" customWidth="1"/>
    <col min="293" max="293" width="13.7109375" style="215" customWidth="1"/>
    <col min="294" max="294" width="11.5703125" style="215" customWidth="1"/>
    <col min="295" max="295" width="13.7109375" style="215" customWidth="1"/>
    <col min="296" max="296" width="10.7109375" style="215" customWidth="1"/>
    <col min="297" max="297" width="12.42578125" style="215" bestFit="1" customWidth="1"/>
    <col min="298" max="298" width="22.7109375" style="215" customWidth="1"/>
    <col min="299" max="299" width="22" style="215" bestFit="1" customWidth="1"/>
    <col min="300" max="300" width="12.7109375" style="215" customWidth="1"/>
    <col min="301" max="301" width="20.5703125" style="215" customWidth="1"/>
    <col min="302" max="302" width="12.7109375" style="215" customWidth="1"/>
    <col min="303" max="303" width="20.7109375" style="215" customWidth="1"/>
    <col min="304" max="304" width="12.7109375" style="215" customWidth="1"/>
    <col min="305" max="305" width="20.7109375" style="215" customWidth="1"/>
    <col min="306" max="306" width="12.7109375" style="215" customWidth="1"/>
    <col min="307" max="307" width="20.7109375" style="215" customWidth="1"/>
    <col min="308" max="308" width="12.7109375" style="215" customWidth="1"/>
    <col min="309" max="309" width="20.7109375" style="215" customWidth="1"/>
    <col min="310" max="310" width="12.7109375" style="215" customWidth="1"/>
    <col min="311" max="311" width="20.7109375" style="215" customWidth="1"/>
    <col min="312" max="312" width="12.7109375" style="215" customWidth="1"/>
    <col min="313" max="513" width="9.140625" style="215"/>
    <col min="514" max="514" width="6.140625" style="215" customWidth="1"/>
    <col min="515" max="515" width="5" style="215" customWidth="1"/>
    <col min="516" max="516" width="35" style="215" customWidth="1"/>
    <col min="517" max="517" width="13.7109375" style="215" customWidth="1"/>
    <col min="518" max="518" width="9.7109375" style="215" customWidth="1"/>
    <col min="519" max="519" width="13.7109375" style="215" customWidth="1"/>
    <col min="520" max="520" width="11.7109375" style="215" customWidth="1"/>
    <col min="521" max="521" width="13.7109375" style="215" customWidth="1"/>
    <col min="522" max="522" width="8.42578125" style="215" customWidth="1"/>
    <col min="523" max="523" width="13.7109375" style="215" customWidth="1"/>
    <col min="524" max="524" width="8.7109375" style="215" customWidth="1"/>
    <col min="525" max="525" width="13.7109375" style="215" customWidth="1"/>
    <col min="526" max="526" width="8.7109375" style="215" customWidth="1"/>
    <col min="527" max="527" width="13.7109375" style="215" customWidth="1"/>
    <col min="528" max="528" width="8.7109375" style="215" customWidth="1"/>
    <col min="529" max="529" width="13.7109375" style="215" customWidth="1"/>
    <col min="530" max="530" width="8.42578125" style="215" customWidth="1"/>
    <col min="531" max="531" width="13.7109375" style="215" customWidth="1"/>
    <col min="532" max="532" width="8.7109375" style="215" customWidth="1"/>
    <col min="533" max="533" width="13.7109375" style="215" customWidth="1"/>
    <col min="534" max="534" width="8.7109375" style="215" customWidth="1"/>
    <col min="535" max="535" width="13.7109375" style="215" customWidth="1"/>
    <col min="536" max="536" width="8.7109375" style="215" customWidth="1"/>
    <col min="537" max="537" width="13.7109375" style="215" customWidth="1"/>
    <col min="538" max="538" width="8.7109375" style="215" customWidth="1"/>
    <col min="539" max="539" width="13.7109375" style="215" customWidth="1"/>
    <col min="540" max="540" width="8.7109375" style="215" customWidth="1"/>
    <col min="541" max="541" width="13.7109375" style="215" customWidth="1"/>
    <col min="542" max="542" width="8.7109375" style="215" customWidth="1"/>
    <col min="543" max="543" width="13.7109375" style="215" customWidth="1"/>
    <col min="544" max="544" width="8.7109375" style="215" customWidth="1"/>
    <col min="545" max="545" width="13.7109375" style="215" customWidth="1"/>
    <col min="546" max="546" width="9.7109375" style="215" customWidth="1"/>
    <col min="547" max="547" width="13.7109375" style="215" customWidth="1"/>
    <col min="548" max="548" width="10.7109375" style="215" customWidth="1"/>
    <col min="549" max="549" width="13.7109375" style="215" customWidth="1"/>
    <col min="550" max="550" width="11.5703125" style="215" customWidth="1"/>
    <col min="551" max="551" width="13.7109375" style="215" customWidth="1"/>
    <col min="552" max="552" width="10.7109375" style="215" customWidth="1"/>
    <col min="553" max="553" width="12.42578125" style="215" bestFit="1" customWidth="1"/>
    <col min="554" max="554" width="22.7109375" style="215" customWidth="1"/>
    <col min="555" max="555" width="22" style="215" bestFit="1" customWidth="1"/>
    <col min="556" max="556" width="12.7109375" style="215" customWidth="1"/>
    <col min="557" max="557" width="20.5703125" style="215" customWidth="1"/>
    <col min="558" max="558" width="12.7109375" style="215" customWidth="1"/>
    <col min="559" max="559" width="20.7109375" style="215" customWidth="1"/>
    <col min="560" max="560" width="12.7109375" style="215" customWidth="1"/>
    <col min="561" max="561" width="20.7109375" style="215" customWidth="1"/>
    <col min="562" max="562" width="12.7109375" style="215" customWidth="1"/>
    <col min="563" max="563" width="20.7109375" style="215" customWidth="1"/>
    <col min="564" max="564" width="12.7109375" style="215" customWidth="1"/>
    <col min="565" max="565" width="20.7109375" style="215" customWidth="1"/>
    <col min="566" max="566" width="12.7109375" style="215" customWidth="1"/>
    <col min="567" max="567" width="20.7109375" style="215" customWidth="1"/>
    <col min="568" max="568" width="12.7109375" style="215" customWidth="1"/>
    <col min="569" max="769" width="9.140625" style="215"/>
    <col min="770" max="770" width="6.140625" style="215" customWidth="1"/>
    <col min="771" max="771" width="5" style="215" customWidth="1"/>
    <col min="772" max="772" width="35" style="215" customWidth="1"/>
    <col min="773" max="773" width="13.7109375" style="215" customWidth="1"/>
    <col min="774" max="774" width="9.7109375" style="215" customWidth="1"/>
    <col min="775" max="775" width="13.7109375" style="215" customWidth="1"/>
    <col min="776" max="776" width="11.7109375" style="215" customWidth="1"/>
    <col min="777" max="777" width="13.7109375" style="215" customWidth="1"/>
    <col min="778" max="778" width="8.42578125" style="215" customWidth="1"/>
    <col min="779" max="779" width="13.7109375" style="215" customWidth="1"/>
    <col min="780" max="780" width="8.7109375" style="215" customWidth="1"/>
    <col min="781" max="781" width="13.7109375" style="215" customWidth="1"/>
    <col min="782" max="782" width="8.7109375" style="215" customWidth="1"/>
    <col min="783" max="783" width="13.7109375" style="215" customWidth="1"/>
    <col min="784" max="784" width="8.7109375" style="215" customWidth="1"/>
    <col min="785" max="785" width="13.7109375" style="215" customWidth="1"/>
    <col min="786" max="786" width="8.42578125" style="215" customWidth="1"/>
    <col min="787" max="787" width="13.7109375" style="215" customWidth="1"/>
    <col min="788" max="788" width="8.7109375" style="215" customWidth="1"/>
    <col min="789" max="789" width="13.7109375" style="215" customWidth="1"/>
    <col min="790" max="790" width="8.7109375" style="215" customWidth="1"/>
    <col min="791" max="791" width="13.7109375" style="215" customWidth="1"/>
    <col min="792" max="792" width="8.7109375" style="215" customWidth="1"/>
    <col min="793" max="793" width="13.7109375" style="215" customWidth="1"/>
    <col min="794" max="794" width="8.7109375" style="215" customWidth="1"/>
    <col min="795" max="795" width="13.7109375" style="215" customWidth="1"/>
    <col min="796" max="796" width="8.7109375" style="215" customWidth="1"/>
    <col min="797" max="797" width="13.7109375" style="215" customWidth="1"/>
    <col min="798" max="798" width="8.7109375" style="215" customWidth="1"/>
    <col min="799" max="799" width="13.7109375" style="215" customWidth="1"/>
    <col min="800" max="800" width="8.7109375" style="215" customWidth="1"/>
    <col min="801" max="801" width="13.7109375" style="215" customWidth="1"/>
    <col min="802" max="802" width="9.7109375" style="215" customWidth="1"/>
    <col min="803" max="803" width="13.7109375" style="215" customWidth="1"/>
    <col min="804" max="804" width="10.7109375" style="215" customWidth="1"/>
    <col min="805" max="805" width="13.7109375" style="215" customWidth="1"/>
    <col min="806" max="806" width="11.5703125" style="215" customWidth="1"/>
    <col min="807" max="807" width="13.7109375" style="215" customWidth="1"/>
    <col min="808" max="808" width="10.7109375" style="215" customWidth="1"/>
    <col min="809" max="809" width="12.42578125" style="215" bestFit="1" customWidth="1"/>
    <col min="810" max="810" width="22.7109375" style="215" customWidth="1"/>
    <col min="811" max="811" width="22" style="215" bestFit="1" customWidth="1"/>
    <col min="812" max="812" width="12.7109375" style="215" customWidth="1"/>
    <col min="813" max="813" width="20.5703125" style="215" customWidth="1"/>
    <col min="814" max="814" width="12.7109375" style="215" customWidth="1"/>
    <col min="815" max="815" width="20.7109375" style="215" customWidth="1"/>
    <col min="816" max="816" width="12.7109375" style="215" customWidth="1"/>
    <col min="817" max="817" width="20.7109375" style="215" customWidth="1"/>
    <col min="818" max="818" width="12.7109375" style="215" customWidth="1"/>
    <col min="819" max="819" width="20.7109375" style="215" customWidth="1"/>
    <col min="820" max="820" width="12.7109375" style="215" customWidth="1"/>
    <col min="821" max="821" width="20.7109375" style="215" customWidth="1"/>
    <col min="822" max="822" width="12.7109375" style="215" customWidth="1"/>
    <col min="823" max="823" width="20.7109375" style="215" customWidth="1"/>
    <col min="824" max="824" width="12.7109375" style="215" customWidth="1"/>
    <col min="825" max="1025" width="9.140625" style="215"/>
    <col min="1026" max="1026" width="6.140625" style="215" customWidth="1"/>
    <col min="1027" max="1027" width="5" style="215" customWidth="1"/>
    <col min="1028" max="1028" width="35" style="215" customWidth="1"/>
    <col min="1029" max="1029" width="13.7109375" style="215" customWidth="1"/>
    <col min="1030" max="1030" width="9.7109375" style="215" customWidth="1"/>
    <col min="1031" max="1031" width="13.7109375" style="215" customWidth="1"/>
    <col min="1032" max="1032" width="11.7109375" style="215" customWidth="1"/>
    <col min="1033" max="1033" width="13.7109375" style="215" customWidth="1"/>
    <col min="1034" max="1034" width="8.42578125" style="215" customWidth="1"/>
    <col min="1035" max="1035" width="13.7109375" style="215" customWidth="1"/>
    <col min="1036" max="1036" width="8.7109375" style="215" customWidth="1"/>
    <col min="1037" max="1037" width="13.7109375" style="215" customWidth="1"/>
    <col min="1038" max="1038" width="8.7109375" style="215" customWidth="1"/>
    <col min="1039" max="1039" width="13.7109375" style="215" customWidth="1"/>
    <col min="1040" max="1040" width="8.7109375" style="215" customWidth="1"/>
    <col min="1041" max="1041" width="13.7109375" style="215" customWidth="1"/>
    <col min="1042" max="1042" width="8.42578125" style="215" customWidth="1"/>
    <col min="1043" max="1043" width="13.7109375" style="215" customWidth="1"/>
    <col min="1044" max="1044" width="8.7109375" style="215" customWidth="1"/>
    <col min="1045" max="1045" width="13.7109375" style="215" customWidth="1"/>
    <col min="1046" max="1046" width="8.7109375" style="215" customWidth="1"/>
    <col min="1047" max="1047" width="13.7109375" style="215" customWidth="1"/>
    <col min="1048" max="1048" width="8.7109375" style="215" customWidth="1"/>
    <col min="1049" max="1049" width="13.7109375" style="215" customWidth="1"/>
    <col min="1050" max="1050" width="8.7109375" style="215" customWidth="1"/>
    <col min="1051" max="1051" width="13.7109375" style="215" customWidth="1"/>
    <col min="1052" max="1052" width="8.7109375" style="215" customWidth="1"/>
    <col min="1053" max="1053" width="13.7109375" style="215" customWidth="1"/>
    <col min="1054" max="1054" width="8.7109375" style="215" customWidth="1"/>
    <col min="1055" max="1055" width="13.7109375" style="215" customWidth="1"/>
    <col min="1056" max="1056" width="8.7109375" style="215" customWidth="1"/>
    <col min="1057" max="1057" width="13.7109375" style="215" customWidth="1"/>
    <col min="1058" max="1058" width="9.7109375" style="215" customWidth="1"/>
    <col min="1059" max="1059" width="13.7109375" style="215" customWidth="1"/>
    <col min="1060" max="1060" width="10.7109375" style="215" customWidth="1"/>
    <col min="1061" max="1061" width="13.7109375" style="215" customWidth="1"/>
    <col min="1062" max="1062" width="11.5703125" style="215" customWidth="1"/>
    <col min="1063" max="1063" width="13.7109375" style="215" customWidth="1"/>
    <col min="1064" max="1064" width="10.7109375" style="215" customWidth="1"/>
    <col min="1065" max="1065" width="12.42578125" style="215" bestFit="1" customWidth="1"/>
    <col min="1066" max="1066" width="22.7109375" style="215" customWidth="1"/>
    <col min="1067" max="1067" width="22" style="215" bestFit="1" customWidth="1"/>
    <col min="1068" max="1068" width="12.7109375" style="215" customWidth="1"/>
    <col min="1069" max="1069" width="20.5703125" style="215" customWidth="1"/>
    <col min="1070" max="1070" width="12.7109375" style="215" customWidth="1"/>
    <col min="1071" max="1071" width="20.7109375" style="215" customWidth="1"/>
    <col min="1072" max="1072" width="12.7109375" style="215" customWidth="1"/>
    <col min="1073" max="1073" width="20.7109375" style="215" customWidth="1"/>
    <col min="1074" max="1074" width="12.7109375" style="215" customWidth="1"/>
    <col min="1075" max="1075" width="20.7109375" style="215" customWidth="1"/>
    <col min="1076" max="1076" width="12.7109375" style="215" customWidth="1"/>
    <col min="1077" max="1077" width="20.7109375" style="215" customWidth="1"/>
    <col min="1078" max="1078" width="12.7109375" style="215" customWidth="1"/>
    <col min="1079" max="1079" width="20.7109375" style="215" customWidth="1"/>
    <col min="1080" max="1080" width="12.7109375" style="215" customWidth="1"/>
    <col min="1081" max="1281" width="9.140625" style="215"/>
    <col min="1282" max="1282" width="6.140625" style="215" customWidth="1"/>
    <col min="1283" max="1283" width="5" style="215" customWidth="1"/>
    <col min="1284" max="1284" width="35" style="215" customWidth="1"/>
    <col min="1285" max="1285" width="13.7109375" style="215" customWidth="1"/>
    <col min="1286" max="1286" width="9.7109375" style="215" customWidth="1"/>
    <col min="1287" max="1287" width="13.7109375" style="215" customWidth="1"/>
    <col min="1288" max="1288" width="11.7109375" style="215" customWidth="1"/>
    <col min="1289" max="1289" width="13.7109375" style="215" customWidth="1"/>
    <col min="1290" max="1290" width="8.42578125" style="215" customWidth="1"/>
    <col min="1291" max="1291" width="13.7109375" style="215" customWidth="1"/>
    <col min="1292" max="1292" width="8.7109375" style="215" customWidth="1"/>
    <col min="1293" max="1293" width="13.7109375" style="215" customWidth="1"/>
    <col min="1294" max="1294" width="8.7109375" style="215" customWidth="1"/>
    <col min="1295" max="1295" width="13.7109375" style="215" customWidth="1"/>
    <col min="1296" max="1296" width="8.7109375" style="215" customWidth="1"/>
    <col min="1297" max="1297" width="13.7109375" style="215" customWidth="1"/>
    <col min="1298" max="1298" width="8.42578125" style="215" customWidth="1"/>
    <col min="1299" max="1299" width="13.7109375" style="215" customWidth="1"/>
    <col min="1300" max="1300" width="8.7109375" style="215" customWidth="1"/>
    <col min="1301" max="1301" width="13.7109375" style="215" customWidth="1"/>
    <col min="1302" max="1302" width="8.7109375" style="215" customWidth="1"/>
    <col min="1303" max="1303" width="13.7109375" style="215" customWidth="1"/>
    <col min="1304" max="1304" width="8.7109375" style="215" customWidth="1"/>
    <col min="1305" max="1305" width="13.7109375" style="215" customWidth="1"/>
    <col min="1306" max="1306" width="8.7109375" style="215" customWidth="1"/>
    <col min="1307" max="1307" width="13.7109375" style="215" customWidth="1"/>
    <col min="1308" max="1308" width="8.7109375" style="215" customWidth="1"/>
    <col min="1309" max="1309" width="13.7109375" style="215" customWidth="1"/>
    <col min="1310" max="1310" width="8.7109375" style="215" customWidth="1"/>
    <col min="1311" max="1311" width="13.7109375" style="215" customWidth="1"/>
    <col min="1312" max="1312" width="8.7109375" style="215" customWidth="1"/>
    <col min="1313" max="1313" width="13.7109375" style="215" customWidth="1"/>
    <col min="1314" max="1314" width="9.7109375" style="215" customWidth="1"/>
    <col min="1315" max="1315" width="13.7109375" style="215" customWidth="1"/>
    <col min="1316" max="1316" width="10.7109375" style="215" customWidth="1"/>
    <col min="1317" max="1317" width="13.7109375" style="215" customWidth="1"/>
    <col min="1318" max="1318" width="11.5703125" style="215" customWidth="1"/>
    <col min="1319" max="1319" width="13.7109375" style="215" customWidth="1"/>
    <col min="1320" max="1320" width="10.7109375" style="215" customWidth="1"/>
    <col min="1321" max="1321" width="12.42578125" style="215" bestFit="1" customWidth="1"/>
    <col min="1322" max="1322" width="22.7109375" style="215" customWidth="1"/>
    <col min="1323" max="1323" width="22" style="215" bestFit="1" customWidth="1"/>
    <col min="1324" max="1324" width="12.7109375" style="215" customWidth="1"/>
    <col min="1325" max="1325" width="20.5703125" style="215" customWidth="1"/>
    <col min="1326" max="1326" width="12.7109375" style="215" customWidth="1"/>
    <col min="1327" max="1327" width="20.7109375" style="215" customWidth="1"/>
    <col min="1328" max="1328" width="12.7109375" style="215" customWidth="1"/>
    <col min="1329" max="1329" width="20.7109375" style="215" customWidth="1"/>
    <col min="1330" max="1330" width="12.7109375" style="215" customWidth="1"/>
    <col min="1331" max="1331" width="20.7109375" style="215" customWidth="1"/>
    <col min="1332" max="1332" width="12.7109375" style="215" customWidth="1"/>
    <col min="1333" max="1333" width="20.7109375" style="215" customWidth="1"/>
    <col min="1334" max="1334" width="12.7109375" style="215" customWidth="1"/>
    <col min="1335" max="1335" width="20.7109375" style="215" customWidth="1"/>
    <col min="1336" max="1336" width="12.7109375" style="215" customWidth="1"/>
    <col min="1337" max="1537" width="9.140625" style="215"/>
    <col min="1538" max="1538" width="6.140625" style="215" customWidth="1"/>
    <col min="1539" max="1539" width="5" style="215" customWidth="1"/>
    <col min="1540" max="1540" width="35" style="215" customWidth="1"/>
    <col min="1541" max="1541" width="13.7109375" style="215" customWidth="1"/>
    <col min="1542" max="1542" width="9.7109375" style="215" customWidth="1"/>
    <col min="1543" max="1543" width="13.7109375" style="215" customWidth="1"/>
    <col min="1544" max="1544" width="11.7109375" style="215" customWidth="1"/>
    <col min="1545" max="1545" width="13.7109375" style="215" customWidth="1"/>
    <col min="1546" max="1546" width="8.42578125" style="215" customWidth="1"/>
    <col min="1547" max="1547" width="13.7109375" style="215" customWidth="1"/>
    <col min="1548" max="1548" width="8.7109375" style="215" customWidth="1"/>
    <col min="1549" max="1549" width="13.7109375" style="215" customWidth="1"/>
    <col min="1550" max="1550" width="8.7109375" style="215" customWidth="1"/>
    <col min="1551" max="1551" width="13.7109375" style="215" customWidth="1"/>
    <col min="1552" max="1552" width="8.7109375" style="215" customWidth="1"/>
    <col min="1553" max="1553" width="13.7109375" style="215" customWidth="1"/>
    <col min="1554" max="1554" width="8.42578125" style="215" customWidth="1"/>
    <col min="1555" max="1555" width="13.7109375" style="215" customWidth="1"/>
    <col min="1556" max="1556" width="8.7109375" style="215" customWidth="1"/>
    <col min="1557" max="1557" width="13.7109375" style="215" customWidth="1"/>
    <col min="1558" max="1558" width="8.7109375" style="215" customWidth="1"/>
    <col min="1559" max="1559" width="13.7109375" style="215" customWidth="1"/>
    <col min="1560" max="1560" width="8.7109375" style="215" customWidth="1"/>
    <col min="1561" max="1561" width="13.7109375" style="215" customWidth="1"/>
    <col min="1562" max="1562" width="8.7109375" style="215" customWidth="1"/>
    <col min="1563" max="1563" width="13.7109375" style="215" customWidth="1"/>
    <col min="1564" max="1564" width="8.7109375" style="215" customWidth="1"/>
    <col min="1565" max="1565" width="13.7109375" style="215" customWidth="1"/>
    <col min="1566" max="1566" width="8.7109375" style="215" customWidth="1"/>
    <col min="1567" max="1567" width="13.7109375" style="215" customWidth="1"/>
    <col min="1568" max="1568" width="8.7109375" style="215" customWidth="1"/>
    <col min="1569" max="1569" width="13.7109375" style="215" customWidth="1"/>
    <col min="1570" max="1570" width="9.7109375" style="215" customWidth="1"/>
    <col min="1571" max="1571" width="13.7109375" style="215" customWidth="1"/>
    <col min="1572" max="1572" width="10.7109375" style="215" customWidth="1"/>
    <col min="1573" max="1573" width="13.7109375" style="215" customWidth="1"/>
    <col min="1574" max="1574" width="11.5703125" style="215" customWidth="1"/>
    <col min="1575" max="1575" width="13.7109375" style="215" customWidth="1"/>
    <col min="1576" max="1576" width="10.7109375" style="215" customWidth="1"/>
    <col min="1577" max="1577" width="12.42578125" style="215" bestFit="1" customWidth="1"/>
    <col min="1578" max="1578" width="22.7109375" style="215" customWidth="1"/>
    <col min="1579" max="1579" width="22" style="215" bestFit="1" customWidth="1"/>
    <col min="1580" max="1580" width="12.7109375" style="215" customWidth="1"/>
    <col min="1581" max="1581" width="20.5703125" style="215" customWidth="1"/>
    <col min="1582" max="1582" width="12.7109375" style="215" customWidth="1"/>
    <col min="1583" max="1583" width="20.7109375" style="215" customWidth="1"/>
    <col min="1584" max="1584" width="12.7109375" style="215" customWidth="1"/>
    <col min="1585" max="1585" width="20.7109375" style="215" customWidth="1"/>
    <col min="1586" max="1586" width="12.7109375" style="215" customWidth="1"/>
    <col min="1587" max="1587" width="20.7109375" style="215" customWidth="1"/>
    <col min="1588" max="1588" width="12.7109375" style="215" customWidth="1"/>
    <col min="1589" max="1589" width="20.7109375" style="215" customWidth="1"/>
    <col min="1590" max="1590" width="12.7109375" style="215" customWidth="1"/>
    <col min="1591" max="1591" width="20.7109375" style="215" customWidth="1"/>
    <col min="1592" max="1592" width="12.7109375" style="215" customWidth="1"/>
    <col min="1593" max="1793" width="9.140625" style="215"/>
    <col min="1794" max="1794" width="6.140625" style="215" customWidth="1"/>
    <col min="1795" max="1795" width="5" style="215" customWidth="1"/>
    <col min="1796" max="1796" width="35" style="215" customWidth="1"/>
    <col min="1797" max="1797" width="13.7109375" style="215" customWidth="1"/>
    <col min="1798" max="1798" width="9.7109375" style="215" customWidth="1"/>
    <col min="1799" max="1799" width="13.7109375" style="215" customWidth="1"/>
    <col min="1800" max="1800" width="11.7109375" style="215" customWidth="1"/>
    <col min="1801" max="1801" width="13.7109375" style="215" customWidth="1"/>
    <col min="1802" max="1802" width="8.42578125" style="215" customWidth="1"/>
    <col min="1803" max="1803" width="13.7109375" style="215" customWidth="1"/>
    <col min="1804" max="1804" width="8.7109375" style="215" customWidth="1"/>
    <col min="1805" max="1805" width="13.7109375" style="215" customWidth="1"/>
    <col min="1806" max="1806" width="8.7109375" style="215" customWidth="1"/>
    <col min="1807" max="1807" width="13.7109375" style="215" customWidth="1"/>
    <col min="1808" max="1808" width="8.7109375" style="215" customWidth="1"/>
    <col min="1809" max="1809" width="13.7109375" style="215" customWidth="1"/>
    <col min="1810" max="1810" width="8.42578125" style="215" customWidth="1"/>
    <col min="1811" max="1811" width="13.7109375" style="215" customWidth="1"/>
    <col min="1812" max="1812" width="8.7109375" style="215" customWidth="1"/>
    <col min="1813" max="1813" width="13.7109375" style="215" customWidth="1"/>
    <col min="1814" max="1814" width="8.7109375" style="215" customWidth="1"/>
    <col min="1815" max="1815" width="13.7109375" style="215" customWidth="1"/>
    <col min="1816" max="1816" width="8.7109375" style="215" customWidth="1"/>
    <col min="1817" max="1817" width="13.7109375" style="215" customWidth="1"/>
    <col min="1818" max="1818" width="8.7109375" style="215" customWidth="1"/>
    <col min="1819" max="1819" width="13.7109375" style="215" customWidth="1"/>
    <col min="1820" max="1820" width="8.7109375" style="215" customWidth="1"/>
    <col min="1821" max="1821" width="13.7109375" style="215" customWidth="1"/>
    <col min="1822" max="1822" width="8.7109375" style="215" customWidth="1"/>
    <col min="1823" max="1823" width="13.7109375" style="215" customWidth="1"/>
    <col min="1824" max="1824" width="8.7109375" style="215" customWidth="1"/>
    <col min="1825" max="1825" width="13.7109375" style="215" customWidth="1"/>
    <col min="1826" max="1826" width="9.7109375" style="215" customWidth="1"/>
    <col min="1827" max="1827" width="13.7109375" style="215" customWidth="1"/>
    <col min="1828" max="1828" width="10.7109375" style="215" customWidth="1"/>
    <col min="1829" max="1829" width="13.7109375" style="215" customWidth="1"/>
    <col min="1830" max="1830" width="11.5703125" style="215" customWidth="1"/>
    <col min="1831" max="1831" width="13.7109375" style="215" customWidth="1"/>
    <col min="1832" max="1832" width="10.7109375" style="215" customWidth="1"/>
    <col min="1833" max="1833" width="12.42578125" style="215" bestFit="1" customWidth="1"/>
    <col min="1834" max="1834" width="22.7109375" style="215" customWidth="1"/>
    <col min="1835" max="1835" width="22" style="215" bestFit="1" customWidth="1"/>
    <col min="1836" max="1836" width="12.7109375" style="215" customWidth="1"/>
    <col min="1837" max="1837" width="20.5703125" style="215" customWidth="1"/>
    <col min="1838" max="1838" width="12.7109375" style="215" customWidth="1"/>
    <col min="1839" max="1839" width="20.7109375" style="215" customWidth="1"/>
    <col min="1840" max="1840" width="12.7109375" style="215" customWidth="1"/>
    <col min="1841" max="1841" width="20.7109375" style="215" customWidth="1"/>
    <col min="1842" max="1842" width="12.7109375" style="215" customWidth="1"/>
    <col min="1843" max="1843" width="20.7109375" style="215" customWidth="1"/>
    <col min="1844" max="1844" width="12.7109375" style="215" customWidth="1"/>
    <col min="1845" max="1845" width="20.7109375" style="215" customWidth="1"/>
    <col min="1846" max="1846" width="12.7109375" style="215" customWidth="1"/>
    <col min="1847" max="1847" width="20.7109375" style="215" customWidth="1"/>
    <col min="1848" max="1848" width="12.7109375" style="215" customWidth="1"/>
    <col min="1849" max="2049" width="9.140625" style="215"/>
    <col min="2050" max="2050" width="6.140625" style="215" customWidth="1"/>
    <col min="2051" max="2051" width="5" style="215" customWidth="1"/>
    <col min="2052" max="2052" width="35" style="215" customWidth="1"/>
    <col min="2053" max="2053" width="13.7109375" style="215" customWidth="1"/>
    <col min="2054" max="2054" width="9.7109375" style="215" customWidth="1"/>
    <col min="2055" max="2055" width="13.7109375" style="215" customWidth="1"/>
    <col min="2056" max="2056" width="11.7109375" style="215" customWidth="1"/>
    <col min="2057" max="2057" width="13.7109375" style="215" customWidth="1"/>
    <col min="2058" max="2058" width="8.42578125" style="215" customWidth="1"/>
    <col min="2059" max="2059" width="13.7109375" style="215" customWidth="1"/>
    <col min="2060" max="2060" width="8.7109375" style="215" customWidth="1"/>
    <col min="2061" max="2061" width="13.7109375" style="215" customWidth="1"/>
    <col min="2062" max="2062" width="8.7109375" style="215" customWidth="1"/>
    <col min="2063" max="2063" width="13.7109375" style="215" customWidth="1"/>
    <col min="2064" max="2064" width="8.7109375" style="215" customWidth="1"/>
    <col min="2065" max="2065" width="13.7109375" style="215" customWidth="1"/>
    <col min="2066" max="2066" width="8.42578125" style="215" customWidth="1"/>
    <col min="2067" max="2067" width="13.7109375" style="215" customWidth="1"/>
    <col min="2068" max="2068" width="8.7109375" style="215" customWidth="1"/>
    <col min="2069" max="2069" width="13.7109375" style="215" customWidth="1"/>
    <col min="2070" max="2070" width="8.7109375" style="215" customWidth="1"/>
    <col min="2071" max="2071" width="13.7109375" style="215" customWidth="1"/>
    <col min="2072" max="2072" width="8.7109375" style="215" customWidth="1"/>
    <col min="2073" max="2073" width="13.7109375" style="215" customWidth="1"/>
    <col min="2074" max="2074" width="8.7109375" style="215" customWidth="1"/>
    <col min="2075" max="2075" width="13.7109375" style="215" customWidth="1"/>
    <col min="2076" max="2076" width="8.7109375" style="215" customWidth="1"/>
    <col min="2077" max="2077" width="13.7109375" style="215" customWidth="1"/>
    <col min="2078" max="2078" width="8.7109375" style="215" customWidth="1"/>
    <col min="2079" max="2079" width="13.7109375" style="215" customWidth="1"/>
    <col min="2080" max="2080" width="8.7109375" style="215" customWidth="1"/>
    <col min="2081" max="2081" width="13.7109375" style="215" customWidth="1"/>
    <col min="2082" max="2082" width="9.7109375" style="215" customWidth="1"/>
    <col min="2083" max="2083" width="13.7109375" style="215" customWidth="1"/>
    <col min="2084" max="2084" width="10.7109375" style="215" customWidth="1"/>
    <col min="2085" max="2085" width="13.7109375" style="215" customWidth="1"/>
    <col min="2086" max="2086" width="11.5703125" style="215" customWidth="1"/>
    <col min="2087" max="2087" width="13.7109375" style="215" customWidth="1"/>
    <col min="2088" max="2088" width="10.7109375" style="215" customWidth="1"/>
    <col min="2089" max="2089" width="12.42578125" style="215" bestFit="1" customWidth="1"/>
    <col min="2090" max="2090" width="22.7109375" style="215" customWidth="1"/>
    <col min="2091" max="2091" width="22" style="215" bestFit="1" customWidth="1"/>
    <col min="2092" max="2092" width="12.7109375" style="215" customWidth="1"/>
    <col min="2093" max="2093" width="20.5703125" style="215" customWidth="1"/>
    <col min="2094" max="2094" width="12.7109375" style="215" customWidth="1"/>
    <col min="2095" max="2095" width="20.7109375" style="215" customWidth="1"/>
    <col min="2096" max="2096" width="12.7109375" style="215" customWidth="1"/>
    <col min="2097" max="2097" width="20.7109375" style="215" customWidth="1"/>
    <col min="2098" max="2098" width="12.7109375" style="215" customWidth="1"/>
    <col min="2099" max="2099" width="20.7109375" style="215" customWidth="1"/>
    <col min="2100" max="2100" width="12.7109375" style="215" customWidth="1"/>
    <col min="2101" max="2101" width="20.7109375" style="215" customWidth="1"/>
    <col min="2102" max="2102" width="12.7109375" style="215" customWidth="1"/>
    <col min="2103" max="2103" width="20.7109375" style="215" customWidth="1"/>
    <col min="2104" max="2104" width="12.7109375" style="215" customWidth="1"/>
    <col min="2105" max="2305" width="9.140625" style="215"/>
    <col min="2306" max="2306" width="6.140625" style="215" customWidth="1"/>
    <col min="2307" max="2307" width="5" style="215" customWidth="1"/>
    <col min="2308" max="2308" width="35" style="215" customWidth="1"/>
    <col min="2309" max="2309" width="13.7109375" style="215" customWidth="1"/>
    <col min="2310" max="2310" width="9.7109375" style="215" customWidth="1"/>
    <col min="2311" max="2311" width="13.7109375" style="215" customWidth="1"/>
    <col min="2312" max="2312" width="11.7109375" style="215" customWidth="1"/>
    <col min="2313" max="2313" width="13.7109375" style="215" customWidth="1"/>
    <col min="2314" max="2314" width="8.42578125" style="215" customWidth="1"/>
    <col min="2315" max="2315" width="13.7109375" style="215" customWidth="1"/>
    <col min="2316" max="2316" width="8.7109375" style="215" customWidth="1"/>
    <col min="2317" max="2317" width="13.7109375" style="215" customWidth="1"/>
    <col min="2318" max="2318" width="8.7109375" style="215" customWidth="1"/>
    <col min="2319" max="2319" width="13.7109375" style="215" customWidth="1"/>
    <col min="2320" max="2320" width="8.7109375" style="215" customWidth="1"/>
    <col min="2321" max="2321" width="13.7109375" style="215" customWidth="1"/>
    <col min="2322" max="2322" width="8.42578125" style="215" customWidth="1"/>
    <col min="2323" max="2323" width="13.7109375" style="215" customWidth="1"/>
    <col min="2324" max="2324" width="8.7109375" style="215" customWidth="1"/>
    <col min="2325" max="2325" width="13.7109375" style="215" customWidth="1"/>
    <col min="2326" max="2326" width="8.7109375" style="215" customWidth="1"/>
    <col min="2327" max="2327" width="13.7109375" style="215" customWidth="1"/>
    <col min="2328" max="2328" width="8.7109375" style="215" customWidth="1"/>
    <col min="2329" max="2329" width="13.7109375" style="215" customWidth="1"/>
    <col min="2330" max="2330" width="8.7109375" style="215" customWidth="1"/>
    <col min="2331" max="2331" width="13.7109375" style="215" customWidth="1"/>
    <col min="2332" max="2332" width="8.7109375" style="215" customWidth="1"/>
    <col min="2333" max="2333" width="13.7109375" style="215" customWidth="1"/>
    <col min="2334" max="2334" width="8.7109375" style="215" customWidth="1"/>
    <col min="2335" max="2335" width="13.7109375" style="215" customWidth="1"/>
    <col min="2336" max="2336" width="8.7109375" style="215" customWidth="1"/>
    <col min="2337" max="2337" width="13.7109375" style="215" customWidth="1"/>
    <col min="2338" max="2338" width="9.7109375" style="215" customWidth="1"/>
    <col min="2339" max="2339" width="13.7109375" style="215" customWidth="1"/>
    <col min="2340" max="2340" width="10.7109375" style="215" customWidth="1"/>
    <col min="2341" max="2341" width="13.7109375" style="215" customWidth="1"/>
    <col min="2342" max="2342" width="11.5703125" style="215" customWidth="1"/>
    <col min="2343" max="2343" width="13.7109375" style="215" customWidth="1"/>
    <col min="2344" max="2344" width="10.7109375" style="215" customWidth="1"/>
    <col min="2345" max="2345" width="12.42578125" style="215" bestFit="1" customWidth="1"/>
    <col min="2346" max="2346" width="22.7109375" style="215" customWidth="1"/>
    <col min="2347" max="2347" width="22" style="215" bestFit="1" customWidth="1"/>
    <col min="2348" max="2348" width="12.7109375" style="215" customWidth="1"/>
    <col min="2349" max="2349" width="20.5703125" style="215" customWidth="1"/>
    <col min="2350" max="2350" width="12.7109375" style="215" customWidth="1"/>
    <col min="2351" max="2351" width="20.7109375" style="215" customWidth="1"/>
    <col min="2352" max="2352" width="12.7109375" style="215" customWidth="1"/>
    <col min="2353" max="2353" width="20.7109375" style="215" customWidth="1"/>
    <col min="2354" max="2354" width="12.7109375" style="215" customWidth="1"/>
    <col min="2355" max="2355" width="20.7109375" style="215" customWidth="1"/>
    <col min="2356" max="2356" width="12.7109375" style="215" customWidth="1"/>
    <col min="2357" max="2357" width="20.7109375" style="215" customWidth="1"/>
    <col min="2358" max="2358" width="12.7109375" style="215" customWidth="1"/>
    <col min="2359" max="2359" width="20.7109375" style="215" customWidth="1"/>
    <col min="2360" max="2360" width="12.7109375" style="215" customWidth="1"/>
    <col min="2361" max="2561" width="9.140625" style="215"/>
    <col min="2562" max="2562" width="6.140625" style="215" customWidth="1"/>
    <col min="2563" max="2563" width="5" style="215" customWidth="1"/>
    <col min="2564" max="2564" width="35" style="215" customWidth="1"/>
    <col min="2565" max="2565" width="13.7109375" style="215" customWidth="1"/>
    <col min="2566" max="2566" width="9.7109375" style="215" customWidth="1"/>
    <col min="2567" max="2567" width="13.7109375" style="215" customWidth="1"/>
    <col min="2568" max="2568" width="11.7109375" style="215" customWidth="1"/>
    <col min="2569" max="2569" width="13.7109375" style="215" customWidth="1"/>
    <col min="2570" max="2570" width="8.42578125" style="215" customWidth="1"/>
    <col min="2571" max="2571" width="13.7109375" style="215" customWidth="1"/>
    <col min="2572" max="2572" width="8.7109375" style="215" customWidth="1"/>
    <col min="2573" max="2573" width="13.7109375" style="215" customWidth="1"/>
    <col min="2574" max="2574" width="8.7109375" style="215" customWidth="1"/>
    <col min="2575" max="2575" width="13.7109375" style="215" customWidth="1"/>
    <col min="2576" max="2576" width="8.7109375" style="215" customWidth="1"/>
    <col min="2577" max="2577" width="13.7109375" style="215" customWidth="1"/>
    <col min="2578" max="2578" width="8.42578125" style="215" customWidth="1"/>
    <col min="2579" max="2579" width="13.7109375" style="215" customWidth="1"/>
    <col min="2580" max="2580" width="8.7109375" style="215" customWidth="1"/>
    <col min="2581" max="2581" width="13.7109375" style="215" customWidth="1"/>
    <col min="2582" max="2582" width="8.7109375" style="215" customWidth="1"/>
    <col min="2583" max="2583" width="13.7109375" style="215" customWidth="1"/>
    <col min="2584" max="2584" width="8.7109375" style="215" customWidth="1"/>
    <col min="2585" max="2585" width="13.7109375" style="215" customWidth="1"/>
    <col min="2586" max="2586" width="8.7109375" style="215" customWidth="1"/>
    <col min="2587" max="2587" width="13.7109375" style="215" customWidth="1"/>
    <col min="2588" max="2588" width="8.7109375" style="215" customWidth="1"/>
    <col min="2589" max="2589" width="13.7109375" style="215" customWidth="1"/>
    <col min="2590" max="2590" width="8.7109375" style="215" customWidth="1"/>
    <col min="2591" max="2591" width="13.7109375" style="215" customWidth="1"/>
    <col min="2592" max="2592" width="8.7109375" style="215" customWidth="1"/>
    <col min="2593" max="2593" width="13.7109375" style="215" customWidth="1"/>
    <col min="2594" max="2594" width="9.7109375" style="215" customWidth="1"/>
    <col min="2595" max="2595" width="13.7109375" style="215" customWidth="1"/>
    <col min="2596" max="2596" width="10.7109375" style="215" customWidth="1"/>
    <col min="2597" max="2597" width="13.7109375" style="215" customWidth="1"/>
    <col min="2598" max="2598" width="11.5703125" style="215" customWidth="1"/>
    <col min="2599" max="2599" width="13.7109375" style="215" customWidth="1"/>
    <col min="2600" max="2600" width="10.7109375" style="215" customWidth="1"/>
    <col min="2601" max="2601" width="12.42578125" style="215" bestFit="1" customWidth="1"/>
    <col min="2602" max="2602" width="22.7109375" style="215" customWidth="1"/>
    <col min="2603" max="2603" width="22" style="215" bestFit="1" customWidth="1"/>
    <col min="2604" max="2604" width="12.7109375" style="215" customWidth="1"/>
    <col min="2605" max="2605" width="20.5703125" style="215" customWidth="1"/>
    <col min="2606" max="2606" width="12.7109375" style="215" customWidth="1"/>
    <col min="2607" max="2607" width="20.7109375" style="215" customWidth="1"/>
    <col min="2608" max="2608" width="12.7109375" style="215" customWidth="1"/>
    <col min="2609" max="2609" width="20.7109375" style="215" customWidth="1"/>
    <col min="2610" max="2610" width="12.7109375" style="215" customWidth="1"/>
    <col min="2611" max="2611" width="20.7109375" style="215" customWidth="1"/>
    <col min="2612" max="2612" width="12.7109375" style="215" customWidth="1"/>
    <col min="2613" max="2613" width="20.7109375" style="215" customWidth="1"/>
    <col min="2614" max="2614" width="12.7109375" style="215" customWidth="1"/>
    <col min="2615" max="2615" width="20.7109375" style="215" customWidth="1"/>
    <col min="2616" max="2616" width="12.7109375" style="215" customWidth="1"/>
    <col min="2617" max="2817" width="9.140625" style="215"/>
    <col min="2818" max="2818" width="6.140625" style="215" customWidth="1"/>
    <col min="2819" max="2819" width="5" style="215" customWidth="1"/>
    <col min="2820" max="2820" width="35" style="215" customWidth="1"/>
    <col min="2821" max="2821" width="13.7109375" style="215" customWidth="1"/>
    <col min="2822" max="2822" width="9.7109375" style="215" customWidth="1"/>
    <col min="2823" max="2823" width="13.7109375" style="215" customWidth="1"/>
    <col min="2824" max="2824" width="11.7109375" style="215" customWidth="1"/>
    <col min="2825" max="2825" width="13.7109375" style="215" customWidth="1"/>
    <col min="2826" max="2826" width="8.42578125" style="215" customWidth="1"/>
    <col min="2827" max="2827" width="13.7109375" style="215" customWidth="1"/>
    <col min="2828" max="2828" width="8.7109375" style="215" customWidth="1"/>
    <col min="2829" max="2829" width="13.7109375" style="215" customWidth="1"/>
    <col min="2830" max="2830" width="8.7109375" style="215" customWidth="1"/>
    <col min="2831" max="2831" width="13.7109375" style="215" customWidth="1"/>
    <col min="2832" max="2832" width="8.7109375" style="215" customWidth="1"/>
    <col min="2833" max="2833" width="13.7109375" style="215" customWidth="1"/>
    <col min="2834" max="2834" width="8.42578125" style="215" customWidth="1"/>
    <col min="2835" max="2835" width="13.7109375" style="215" customWidth="1"/>
    <col min="2836" max="2836" width="8.7109375" style="215" customWidth="1"/>
    <col min="2837" max="2837" width="13.7109375" style="215" customWidth="1"/>
    <col min="2838" max="2838" width="8.7109375" style="215" customWidth="1"/>
    <col min="2839" max="2839" width="13.7109375" style="215" customWidth="1"/>
    <col min="2840" max="2840" width="8.7109375" style="215" customWidth="1"/>
    <col min="2841" max="2841" width="13.7109375" style="215" customWidth="1"/>
    <col min="2842" max="2842" width="8.7109375" style="215" customWidth="1"/>
    <col min="2843" max="2843" width="13.7109375" style="215" customWidth="1"/>
    <col min="2844" max="2844" width="8.7109375" style="215" customWidth="1"/>
    <col min="2845" max="2845" width="13.7109375" style="215" customWidth="1"/>
    <col min="2846" max="2846" width="8.7109375" style="215" customWidth="1"/>
    <col min="2847" max="2847" width="13.7109375" style="215" customWidth="1"/>
    <col min="2848" max="2848" width="8.7109375" style="215" customWidth="1"/>
    <col min="2849" max="2849" width="13.7109375" style="215" customWidth="1"/>
    <col min="2850" max="2850" width="9.7109375" style="215" customWidth="1"/>
    <col min="2851" max="2851" width="13.7109375" style="215" customWidth="1"/>
    <col min="2852" max="2852" width="10.7109375" style="215" customWidth="1"/>
    <col min="2853" max="2853" width="13.7109375" style="215" customWidth="1"/>
    <col min="2854" max="2854" width="11.5703125" style="215" customWidth="1"/>
    <col min="2855" max="2855" width="13.7109375" style="215" customWidth="1"/>
    <col min="2856" max="2856" width="10.7109375" style="215" customWidth="1"/>
    <col min="2857" max="2857" width="12.42578125" style="215" bestFit="1" customWidth="1"/>
    <col min="2858" max="2858" width="22.7109375" style="215" customWidth="1"/>
    <col min="2859" max="2859" width="22" style="215" bestFit="1" customWidth="1"/>
    <col min="2860" max="2860" width="12.7109375" style="215" customWidth="1"/>
    <col min="2861" max="2861" width="20.5703125" style="215" customWidth="1"/>
    <col min="2862" max="2862" width="12.7109375" style="215" customWidth="1"/>
    <col min="2863" max="2863" width="20.7109375" style="215" customWidth="1"/>
    <col min="2864" max="2864" width="12.7109375" style="215" customWidth="1"/>
    <col min="2865" max="2865" width="20.7109375" style="215" customWidth="1"/>
    <col min="2866" max="2866" width="12.7109375" style="215" customWidth="1"/>
    <col min="2867" max="2867" width="20.7109375" style="215" customWidth="1"/>
    <col min="2868" max="2868" width="12.7109375" style="215" customWidth="1"/>
    <col min="2869" max="2869" width="20.7109375" style="215" customWidth="1"/>
    <col min="2870" max="2870" width="12.7109375" style="215" customWidth="1"/>
    <col min="2871" max="2871" width="20.7109375" style="215" customWidth="1"/>
    <col min="2872" max="2872" width="12.7109375" style="215" customWidth="1"/>
    <col min="2873" max="3073" width="9.140625" style="215"/>
    <col min="3074" max="3074" width="6.140625" style="215" customWidth="1"/>
    <col min="3075" max="3075" width="5" style="215" customWidth="1"/>
    <col min="3076" max="3076" width="35" style="215" customWidth="1"/>
    <col min="3077" max="3077" width="13.7109375" style="215" customWidth="1"/>
    <col min="3078" max="3078" width="9.7109375" style="215" customWidth="1"/>
    <col min="3079" max="3079" width="13.7109375" style="215" customWidth="1"/>
    <col min="3080" max="3080" width="11.7109375" style="215" customWidth="1"/>
    <col min="3081" max="3081" width="13.7109375" style="215" customWidth="1"/>
    <col min="3082" max="3082" width="8.42578125" style="215" customWidth="1"/>
    <col min="3083" max="3083" width="13.7109375" style="215" customWidth="1"/>
    <col min="3084" max="3084" width="8.7109375" style="215" customWidth="1"/>
    <col min="3085" max="3085" width="13.7109375" style="215" customWidth="1"/>
    <col min="3086" max="3086" width="8.7109375" style="215" customWidth="1"/>
    <col min="3087" max="3087" width="13.7109375" style="215" customWidth="1"/>
    <col min="3088" max="3088" width="8.7109375" style="215" customWidth="1"/>
    <col min="3089" max="3089" width="13.7109375" style="215" customWidth="1"/>
    <col min="3090" max="3090" width="8.42578125" style="215" customWidth="1"/>
    <col min="3091" max="3091" width="13.7109375" style="215" customWidth="1"/>
    <col min="3092" max="3092" width="8.7109375" style="215" customWidth="1"/>
    <col min="3093" max="3093" width="13.7109375" style="215" customWidth="1"/>
    <col min="3094" max="3094" width="8.7109375" style="215" customWidth="1"/>
    <col min="3095" max="3095" width="13.7109375" style="215" customWidth="1"/>
    <col min="3096" max="3096" width="8.7109375" style="215" customWidth="1"/>
    <col min="3097" max="3097" width="13.7109375" style="215" customWidth="1"/>
    <col min="3098" max="3098" width="8.7109375" style="215" customWidth="1"/>
    <col min="3099" max="3099" width="13.7109375" style="215" customWidth="1"/>
    <col min="3100" max="3100" width="8.7109375" style="215" customWidth="1"/>
    <col min="3101" max="3101" width="13.7109375" style="215" customWidth="1"/>
    <col min="3102" max="3102" width="8.7109375" style="215" customWidth="1"/>
    <col min="3103" max="3103" width="13.7109375" style="215" customWidth="1"/>
    <col min="3104" max="3104" width="8.7109375" style="215" customWidth="1"/>
    <col min="3105" max="3105" width="13.7109375" style="215" customWidth="1"/>
    <col min="3106" max="3106" width="9.7109375" style="215" customWidth="1"/>
    <col min="3107" max="3107" width="13.7109375" style="215" customWidth="1"/>
    <col min="3108" max="3108" width="10.7109375" style="215" customWidth="1"/>
    <col min="3109" max="3109" width="13.7109375" style="215" customWidth="1"/>
    <col min="3110" max="3110" width="11.5703125" style="215" customWidth="1"/>
    <col min="3111" max="3111" width="13.7109375" style="215" customWidth="1"/>
    <col min="3112" max="3112" width="10.7109375" style="215" customWidth="1"/>
    <col min="3113" max="3113" width="12.42578125" style="215" bestFit="1" customWidth="1"/>
    <col min="3114" max="3114" width="22.7109375" style="215" customWidth="1"/>
    <col min="3115" max="3115" width="22" style="215" bestFit="1" customWidth="1"/>
    <col min="3116" max="3116" width="12.7109375" style="215" customWidth="1"/>
    <col min="3117" max="3117" width="20.5703125" style="215" customWidth="1"/>
    <col min="3118" max="3118" width="12.7109375" style="215" customWidth="1"/>
    <col min="3119" max="3119" width="20.7109375" style="215" customWidth="1"/>
    <col min="3120" max="3120" width="12.7109375" style="215" customWidth="1"/>
    <col min="3121" max="3121" width="20.7109375" style="215" customWidth="1"/>
    <col min="3122" max="3122" width="12.7109375" style="215" customWidth="1"/>
    <col min="3123" max="3123" width="20.7109375" style="215" customWidth="1"/>
    <col min="3124" max="3124" width="12.7109375" style="215" customWidth="1"/>
    <col min="3125" max="3125" width="20.7109375" style="215" customWidth="1"/>
    <col min="3126" max="3126" width="12.7109375" style="215" customWidth="1"/>
    <col min="3127" max="3127" width="20.7109375" style="215" customWidth="1"/>
    <col min="3128" max="3128" width="12.7109375" style="215" customWidth="1"/>
    <col min="3129" max="3329" width="9.140625" style="215"/>
    <col min="3330" max="3330" width="6.140625" style="215" customWidth="1"/>
    <col min="3331" max="3331" width="5" style="215" customWidth="1"/>
    <col min="3332" max="3332" width="35" style="215" customWidth="1"/>
    <col min="3333" max="3333" width="13.7109375" style="215" customWidth="1"/>
    <col min="3334" max="3334" width="9.7109375" style="215" customWidth="1"/>
    <col min="3335" max="3335" width="13.7109375" style="215" customWidth="1"/>
    <col min="3336" max="3336" width="11.7109375" style="215" customWidth="1"/>
    <col min="3337" max="3337" width="13.7109375" style="215" customWidth="1"/>
    <col min="3338" max="3338" width="8.42578125" style="215" customWidth="1"/>
    <col min="3339" max="3339" width="13.7109375" style="215" customWidth="1"/>
    <col min="3340" max="3340" width="8.7109375" style="215" customWidth="1"/>
    <col min="3341" max="3341" width="13.7109375" style="215" customWidth="1"/>
    <col min="3342" max="3342" width="8.7109375" style="215" customWidth="1"/>
    <col min="3343" max="3343" width="13.7109375" style="215" customWidth="1"/>
    <col min="3344" max="3344" width="8.7109375" style="215" customWidth="1"/>
    <col min="3345" max="3345" width="13.7109375" style="215" customWidth="1"/>
    <col min="3346" max="3346" width="8.42578125" style="215" customWidth="1"/>
    <col min="3347" max="3347" width="13.7109375" style="215" customWidth="1"/>
    <col min="3348" max="3348" width="8.7109375" style="215" customWidth="1"/>
    <col min="3349" max="3349" width="13.7109375" style="215" customWidth="1"/>
    <col min="3350" max="3350" width="8.7109375" style="215" customWidth="1"/>
    <col min="3351" max="3351" width="13.7109375" style="215" customWidth="1"/>
    <col min="3352" max="3352" width="8.7109375" style="215" customWidth="1"/>
    <col min="3353" max="3353" width="13.7109375" style="215" customWidth="1"/>
    <col min="3354" max="3354" width="8.7109375" style="215" customWidth="1"/>
    <col min="3355" max="3355" width="13.7109375" style="215" customWidth="1"/>
    <col min="3356" max="3356" width="8.7109375" style="215" customWidth="1"/>
    <col min="3357" max="3357" width="13.7109375" style="215" customWidth="1"/>
    <col min="3358" max="3358" width="8.7109375" style="215" customWidth="1"/>
    <col min="3359" max="3359" width="13.7109375" style="215" customWidth="1"/>
    <col min="3360" max="3360" width="8.7109375" style="215" customWidth="1"/>
    <col min="3361" max="3361" width="13.7109375" style="215" customWidth="1"/>
    <col min="3362" max="3362" width="9.7109375" style="215" customWidth="1"/>
    <col min="3363" max="3363" width="13.7109375" style="215" customWidth="1"/>
    <col min="3364" max="3364" width="10.7109375" style="215" customWidth="1"/>
    <col min="3365" max="3365" width="13.7109375" style="215" customWidth="1"/>
    <col min="3366" max="3366" width="11.5703125" style="215" customWidth="1"/>
    <col min="3367" max="3367" width="13.7109375" style="215" customWidth="1"/>
    <col min="3368" max="3368" width="10.7109375" style="215" customWidth="1"/>
    <col min="3369" max="3369" width="12.42578125" style="215" bestFit="1" customWidth="1"/>
    <col min="3370" max="3370" width="22.7109375" style="215" customWidth="1"/>
    <col min="3371" max="3371" width="22" style="215" bestFit="1" customWidth="1"/>
    <col min="3372" max="3372" width="12.7109375" style="215" customWidth="1"/>
    <col min="3373" max="3373" width="20.5703125" style="215" customWidth="1"/>
    <col min="3374" max="3374" width="12.7109375" style="215" customWidth="1"/>
    <col min="3375" max="3375" width="20.7109375" style="215" customWidth="1"/>
    <col min="3376" max="3376" width="12.7109375" style="215" customWidth="1"/>
    <col min="3377" max="3377" width="20.7109375" style="215" customWidth="1"/>
    <col min="3378" max="3378" width="12.7109375" style="215" customWidth="1"/>
    <col min="3379" max="3379" width="20.7109375" style="215" customWidth="1"/>
    <col min="3380" max="3380" width="12.7109375" style="215" customWidth="1"/>
    <col min="3381" max="3381" width="20.7109375" style="215" customWidth="1"/>
    <col min="3382" max="3382" width="12.7109375" style="215" customWidth="1"/>
    <col min="3383" max="3383" width="20.7109375" style="215" customWidth="1"/>
    <col min="3384" max="3384" width="12.7109375" style="215" customWidth="1"/>
    <col min="3385" max="3585" width="9.140625" style="215"/>
    <col min="3586" max="3586" width="6.140625" style="215" customWidth="1"/>
    <col min="3587" max="3587" width="5" style="215" customWidth="1"/>
    <col min="3588" max="3588" width="35" style="215" customWidth="1"/>
    <col min="3589" max="3589" width="13.7109375" style="215" customWidth="1"/>
    <col min="3590" max="3590" width="9.7109375" style="215" customWidth="1"/>
    <col min="3591" max="3591" width="13.7109375" style="215" customWidth="1"/>
    <col min="3592" max="3592" width="11.7109375" style="215" customWidth="1"/>
    <col min="3593" max="3593" width="13.7109375" style="215" customWidth="1"/>
    <col min="3594" max="3594" width="8.42578125" style="215" customWidth="1"/>
    <col min="3595" max="3595" width="13.7109375" style="215" customWidth="1"/>
    <col min="3596" max="3596" width="8.7109375" style="215" customWidth="1"/>
    <col min="3597" max="3597" width="13.7109375" style="215" customWidth="1"/>
    <col min="3598" max="3598" width="8.7109375" style="215" customWidth="1"/>
    <col min="3599" max="3599" width="13.7109375" style="215" customWidth="1"/>
    <col min="3600" max="3600" width="8.7109375" style="215" customWidth="1"/>
    <col min="3601" max="3601" width="13.7109375" style="215" customWidth="1"/>
    <col min="3602" max="3602" width="8.42578125" style="215" customWidth="1"/>
    <col min="3603" max="3603" width="13.7109375" style="215" customWidth="1"/>
    <col min="3604" max="3604" width="8.7109375" style="215" customWidth="1"/>
    <col min="3605" max="3605" width="13.7109375" style="215" customWidth="1"/>
    <col min="3606" max="3606" width="8.7109375" style="215" customWidth="1"/>
    <col min="3607" max="3607" width="13.7109375" style="215" customWidth="1"/>
    <col min="3608" max="3608" width="8.7109375" style="215" customWidth="1"/>
    <col min="3609" max="3609" width="13.7109375" style="215" customWidth="1"/>
    <col min="3610" max="3610" width="8.7109375" style="215" customWidth="1"/>
    <col min="3611" max="3611" width="13.7109375" style="215" customWidth="1"/>
    <col min="3612" max="3612" width="8.7109375" style="215" customWidth="1"/>
    <col min="3613" max="3613" width="13.7109375" style="215" customWidth="1"/>
    <col min="3614" max="3614" width="8.7109375" style="215" customWidth="1"/>
    <col min="3615" max="3615" width="13.7109375" style="215" customWidth="1"/>
    <col min="3616" max="3616" width="8.7109375" style="215" customWidth="1"/>
    <col min="3617" max="3617" width="13.7109375" style="215" customWidth="1"/>
    <col min="3618" max="3618" width="9.7109375" style="215" customWidth="1"/>
    <col min="3619" max="3619" width="13.7109375" style="215" customWidth="1"/>
    <col min="3620" max="3620" width="10.7109375" style="215" customWidth="1"/>
    <col min="3621" max="3621" width="13.7109375" style="215" customWidth="1"/>
    <col min="3622" max="3622" width="11.5703125" style="215" customWidth="1"/>
    <col min="3623" max="3623" width="13.7109375" style="215" customWidth="1"/>
    <col min="3624" max="3624" width="10.7109375" style="215" customWidth="1"/>
    <col min="3625" max="3625" width="12.42578125" style="215" bestFit="1" customWidth="1"/>
    <col min="3626" max="3626" width="22.7109375" style="215" customWidth="1"/>
    <col min="3627" max="3627" width="22" style="215" bestFit="1" customWidth="1"/>
    <col min="3628" max="3628" width="12.7109375" style="215" customWidth="1"/>
    <col min="3629" max="3629" width="20.5703125" style="215" customWidth="1"/>
    <col min="3630" max="3630" width="12.7109375" style="215" customWidth="1"/>
    <col min="3631" max="3631" width="20.7109375" style="215" customWidth="1"/>
    <col min="3632" max="3632" width="12.7109375" style="215" customWidth="1"/>
    <col min="3633" max="3633" width="20.7109375" style="215" customWidth="1"/>
    <col min="3634" max="3634" width="12.7109375" style="215" customWidth="1"/>
    <col min="3635" max="3635" width="20.7109375" style="215" customWidth="1"/>
    <col min="3636" max="3636" width="12.7109375" style="215" customWidth="1"/>
    <col min="3637" max="3637" width="20.7109375" style="215" customWidth="1"/>
    <col min="3638" max="3638" width="12.7109375" style="215" customWidth="1"/>
    <col min="3639" max="3639" width="20.7109375" style="215" customWidth="1"/>
    <col min="3640" max="3640" width="12.7109375" style="215" customWidth="1"/>
    <col min="3641" max="3841" width="9.140625" style="215"/>
    <col min="3842" max="3842" width="6.140625" style="215" customWidth="1"/>
    <col min="3843" max="3843" width="5" style="215" customWidth="1"/>
    <col min="3844" max="3844" width="35" style="215" customWidth="1"/>
    <col min="3845" max="3845" width="13.7109375" style="215" customWidth="1"/>
    <col min="3846" max="3846" width="9.7109375" style="215" customWidth="1"/>
    <col min="3847" max="3847" width="13.7109375" style="215" customWidth="1"/>
    <col min="3848" max="3848" width="11.7109375" style="215" customWidth="1"/>
    <col min="3849" max="3849" width="13.7109375" style="215" customWidth="1"/>
    <col min="3850" max="3850" width="8.42578125" style="215" customWidth="1"/>
    <col min="3851" max="3851" width="13.7109375" style="215" customWidth="1"/>
    <col min="3852" max="3852" width="8.7109375" style="215" customWidth="1"/>
    <col min="3853" max="3853" width="13.7109375" style="215" customWidth="1"/>
    <col min="3854" max="3854" width="8.7109375" style="215" customWidth="1"/>
    <col min="3855" max="3855" width="13.7109375" style="215" customWidth="1"/>
    <col min="3856" max="3856" width="8.7109375" style="215" customWidth="1"/>
    <col min="3857" max="3857" width="13.7109375" style="215" customWidth="1"/>
    <col min="3858" max="3858" width="8.42578125" style="215" customWidth="1"/>
    <col min="3859" max="3859" width="13.7109375" style="215" customWidth="1"/>
    <col min="3860" max="3860" width="8.7109375" style="215" customWidth="1"/>
    <col min="3861" max="3861" width="13.7109375" style="215" customWidth="1"/>
    <col min="3862" max="3862" width="8.7109375" style="215" customWidth="1"/>
    <col min="3863" max="3863" width="13.7109375" style="215" customWidth="1"/>
    <col min="3864" max="3864" width="8.7109375" style="215" customWidth="1"/>
    <col min="3865" max="3865" width="13.7109375" style="215" customWidth="1"/>
    <col min="3866" max="3866" width="8.7109375" style="215" customWidth="1"/>
    <col min="3867" max="3867" width="13.7109375" style="215" customWidth="1"/>
    <col min="3868" max="3868" width="8.7109375" style="215" customWidth="1"/>
    <col min="3869" max="3869" width="13.7109375" style="215" customWidth="1"/>
    <col min="3870" max="3870" width="8.7109375" style="215" customWidth="1"/>
    <col min="3871" max="3871" width="13.7109375" style="215" customWidth="1"/>
    <col min="3872" max="3872" width="8.7109375" style="215" customWidth="1"/>
    <col min="3873" max="3873" width="13.7109375" style="215" customWidth="1"/>
    <col min="3874" max="3874" width="9.7109375" style="215" customWidth="1"/>
    <col min="3875" max="3875" width="13.7109375" style="215" customWidth="1"/>
    <col min="3876" max="3876" width="10.7109375" style="215" customWidth="1"/>
    <col min="3877" max="3877" width="13.7109375" style="215" customWidth="1"/>
    <col min="3878" max="3878" width="11.5703125" style="215" customWidth="1"/>
    <col min="3879" max="3879" width="13.7109375" style="215" customWidth="1"/>
    <col min="3880" max="3880" width="10.7109375" style="215" customWidth="1"/>
    <col min="3881" max="3881" width="12.42578125" style="215" bestFit="1" customWidth="1"/>
    <col min="3882" max="3882" width="22.7109375" style="215" customWidth="1"/>
    <col min="3883" max="3883" width="22" style="215" bestFit="1" customWidth="1"/>
    <col min="3884" max="3884" width="12.7109375" style="215" customWidth="1"/>
    <col min="3885" max="3885" width="20.5703125" style="215" customWidth="1"/>
    <col min="3886" max="3886" width="12.7109375" style="215" customWidth="1"/>
    <col min="3887" max="3887" width="20.7109375" style="215" customWidth="1"/>
    <col min="3888" max="3888" width="12.7109375" style="215" customWidth="1"/>
    <col min="3889" max="3889" width="20.7109375" style="215" customWidth="1"/>
    <col min="3890" max="3890" width="12.7109375" style="215" customWidth="1"/>
    <col min="3891" max="3891" width="20.7109375" style="215" customWidth="1"/>
    <col min="3892" max="3892" width="12.7109375" style="215" customWidth="1"/>
    <col min="3893" max="3893" width="20.7109375" style="215" customWidth="1"/>
    <col min="3894" max="3894" width="12.7109375" style="215" customWidth="1"/>
    <col min="3895" max="3895" width="20.7109375" style="215" customWidth="1"/>
    <col min="3896" max="3896" width="12.7109375" style="215" customWidth="1"/>
    <col min="3897" max="4097" width="9.140625" style="215"/>
    <col min="4098" max="4098" width="6.140625" style="215" customWidth="1"/>
    <col min="4099" max="4099" width="5" style="215" customWidth="1"/>
    <col min="4100" max="4100" width="35" style="215" customWidth="1"/>
    <col min="4101" max="4101" width="13.7109375" style="215" customWidth="1"/>
    <col min="4102" max="4102" width="9.7109375" style="215" customWidth="1"/>
    <col min="4103" max="4103" width="13.7109375" style="215" customWidth="1"/>
    <col min="4104" max="4104" width="11.7109375" style="215" customWidth="1"/>
    <col min="4105" max="4105" width="13.7109375" style="215" customWidth="1"/>
    <col min="4106" max="4106" width="8.42578125" style="215" customWidth="1"/>
    <col min="4107" max="4107" width="13.7109375" style="215" customWidth="1"/>
    <col min="4108" max="4108" width="8.7109375" style="215" customWidth="1"/>
    <col min="4109" max="4109" width="13.7109375" style="215" customWidth="1"/>
    <col min="4110" max="4110" width="8.7109375" style="215" customWidth="1"/>
    <col min="4111" max="4111" width="13.7109375" style="215" customWidth="1"/>
    <col min="4112" max="4112" width="8.7109375" style="215" customWidth="1"/>
    <col min="4113" max="4113" width="13.7109375" style="215" customWidth="1"/>
    <col min="4114" max="4114" width="8.42578125" style="215" customWidth="1"/>
    <col min="4115" max="4115" width="13.7109375" style="215" customWidth="1"/>
    <col min="4116" max="4116" width="8.7109375" style="215" customWidth="1"/>
    <col min="4117" max="4117" width="13.7109375" style="215" customWidth="1"/>
    <col min="4118" max="4118" width="8.7109375" style="215" customWidth="1"/>
    <col min="4119" max="4119" width="13.7109375" style="215" customWidth="1"/>
    <col min="4120" max="4120" width="8.7109375" style="215" customWidth="1"/>
    <col min="4121" max="4121" width="13.7109375" style="215" customWidth="1"/>
    <col min="4122" max="4122" width="8.7109375" style="215" customWidth="1"/>
    <col min="4123" max="4123" width="13.7109375" style="215" customWidth="1"/>
    <col min="4124" max="4124" width="8.7109375" style="215" customWidth="1"/>
    <col min="4125" max="4125" width="13.7109375" style="215" customWidth="1"/>
    <col min="4126" max="4126" width="8.7109375" style="215" customWidth="1"/>
    <col min="4127" max="4127" width="13.7109375" style="215" customWidth="1"/>
    <col min="4128" max="4128" width="8.7109375" style="215" customWidth="1"/>
    <col min="4129" max="4129" width="13.7109375" style="215" customWidth="1"/>
    <col min="4130" max="4130" width="9.7109375" style="215" customWidth="1"/>
    <col min="4131" max="4131" width="13.7109375" style="215" customWidth="1"/>
    <col min="4132" max="4132" width="10.7109375" style="215" customWidth="1"/>
    <col min="4133" max="4133" width="13.7109375" style="215" customWidth="1"/>
    <col min="4134" max="4134" width="11.5703125" style="215" customWidth="1"/>
    <col min="4135" max="4135" width="13.7109375" style="215" customWidth="1"/>
    <col min="4136" max="4136" width="10.7109375" style="215" customWidth="1"/>
    <col min="4137" max="4137" width="12.42578125" style="215" bestFit="1" customWidth="1"/>
    <col min="4138" max="4138" width="22.7109375" style="215" customWidth="1"/>
    <col min="4139" max="4139" width="22" style="215" bestFit="1" customWidth="1"/>
    <col min="4140" max="4140" width="12.7109375" style="215" customWidth="1"/>
    <col min="4141" max="4141" width="20.5703125" style="215" customWidth="1"/>
    <col min="4142" max="4142" width="12.7109375" style="215" customWidth="1"/>
    <col min="4143" max="4143" width="20.7109375" style="215" customWidth="1"/>
    <col min="4144" max="4144" width="12.7109375" style="215" customWidth="1"/>
    <col min="4145" max="4145" width="20.7109375" style="215" customWidth="1"/>
    <col min="4146" max="4146" width="12.7109375" style="215" customWidth="1"/>
    <col min="4147" max="4147" width="20.7109375" style="215" customWidth="1"/>
    <col min="4148" max="4148" width="12.7109375" style="215" customWidth="1"/>
    <col min="4149" max="4149" width="20.7109375" style="215" customWidth="1"/>
    <col min="4150" max="4150" width="12.7109375" style="215" customWidth="1"/>
    <col min="4151" max="4151" width="20.7109375" style="215" customWidth="1"/>
    <col min="4152" max="4152" width="12.7109375" style="215" customWidth="1"/>
    <col min="4153" max="4353" width="9.140625" style="215"/>
    <col min="4354" max="4354" width="6.140625" style="215" customWidth="1"/>
    <col min="4355" max="4355" width="5" style="215" customWidth="1"/>
    <col min="4356" max="4356" width="35" style="215" customWidth="1"/>
    <col min="4357" max="4357" width="13.7109375" style="215" customWidth="1"/>
    <col min="4358" max="4358" width="9.7109375" style="215" customWidth="1"/>
    <col min="4359" max="4359" width="13.7109375" style="215" customWidth="1"/>
    <col min="4360" max="4360" width="11.7109375" style="215" customWidth="1"/>
    <col min="4361" max="4361" width="13.7109375" style="215" customWidth="1"/>
    <col min="4362" max="4362" width="8.42578125" style="215" customWidth="1"/>
    <col min="4363" max="4363" width="13.7109375" style="215" customWidth="1"/>
    <col min="4364" max="4364" width="8.7109375" style="215" customWidth="1"/>
    <col min="4365" max="4365" width="13.7109375" style="215" customWidth="1"/>
    <col min="4366" max="4366" width="8.7109375" style="215" customWidth="1"/>
    <col min="4367" max="4367" width="13.7109375" style="215" customWidth="1"/>
    <col min="4368" max="4368" width="8.7109375" style="215" customWidth="1"/>
    <col min="4369" max="4369" width="13.7109375" style="215" customWidth="1"/>
    <col min="4370" max="4370" width="8.42578125" style="215" customWidth="1"/>
    <col min="4371" max="4371" width="13.7109375" style="215" customWidth="1"/>
    <col min="4372" max="4372" width="8.7109375" style="215" customWidth="1"/>
    <col min="4373" max="4373" width="13.7109375" style="215" customWidth="1"/>
    <col min="4374" max="4374" width="8.7109375" style="215" customWidth="1"/>
    <col min="4375" max="4375" width="13.7109375" style="215" customWidth="1"/>
    <col min="4376" max="4376" width="8.7109375" style="215" customWidth="1"/>
    <col min="4377" max="4377" width="13.7109375" style="215" customWidth="1"/>
    <col min="4378" max="4378" width="8.7109375" style="215" customWidth="1"/>
    <col min="4379" max="4379" width="13.7109375" style="215" customWidth="1"/>
    <col min="4380" max="4380" width="8.7109375" style="215" customWidth="1"/>
    <col min="4381" max="4381" width="13.7109375" style="215" customWidth="1"/>
    <col min="4382" max="4382" width="8.7109375" style="215" customWidth="1"/>
    <col min="4383" max="4383" width="13.7109375" style="215" customWidth="1"/>
    <col min="4384" max="4384" width="8.7109375" style="215" customWidth="1"/>
    <col min="4385" max="4385" width="13.7109375" style="215" customWidth="1"/>
    <col min="4386" max="4386" width="9.7109375" style="215" customWidth="1"/>
    <col min="4387" max="4387" width="13.7109375" style="215" customWidth="1"/>
    <col min="4388" max="4388" width="10.7109375" style="215" customWidth="1"/>
    <col min="4389" max="4389" width="13.7109375" style="215" customWidth="1"/>
    <col min="4390" max="4390" width="11.5703125" style="215" customWidth="1"/>
    <col min="4391" max="4391" width="13.7109375" style="215" customWidth="1"/>
    <col min="4392" max="4392" width="10.7109375" style="215" customWidth="1"/>
    <col min="4393" max="4393" width="12.42578125" style="215" bestFit="1" customWidth="1"/>
    <col min="4394" max="4394" width="22.7109375" style="215" customWidth="1"/>
    <col min="4395" max="4395" width="22" style="215" bestFit="1" customWidth="1"/>
    <col min="4396" max="4396" width="12.7109375" style="215" customWidth="1"/>
    <col min="4397" max="4397" width="20.5703125" style="215" customWidth="1"/>
    <col min="4398" max="4398" width="12.7109375" style="215" customWidth="1"/>
    <col min="4399" max="4399" width="20.7109375" style="215" customWidth="1"/>
    <col min="4400" max="4400" width="12.7109375" style="215" customWidth="1"/>
    <col min="4401" max="4401" width="20.7109375" style="215" customWidth="1"/>
    <col min="4402" max="4402" width="12.7109375" style="215" customWidth="1"/>
    <col min="4403" max="4403" width="20.7109375" style="215" customWidth="1"/>
    <col min="4404" max="4404" width="12.7109375" style="215" customWidth="1"/>
    <col min="4405" max="4405" width="20.7109375" style="215" customWidth="1"/>
    <col min="4406" max="4406" width="12.7109375" style="215" customWidth="1"/>
    <col min="4407" max="4407" width="20.7109375" style="215" customWidth="1"/>
    <col min="4408" max="4408" width="12.7109375" style="215" customWidth="1"/>
    <col min="4409" max="4609" width="9.140625" style="215"/>
    <col min="4610" max="4610" width="6.140625" style="215" customWidth="1"/>
    <col min="4611" max="4611" width="5" style="215" customWidth="1"/>
    <col min="4612" max="4612" width="35" style="215" customWidth="1"/>
    <col min="4613" max="4613" width="13.7109375" style="215" customWidth="1"/>
    <col min="4614" max="4614" width="9.7109375" style="215" customWidth="1"/>
    <col min="4615" max="4615" width="13.7109375" style="215" customWidth="1"/>
    <col min="4616" max="4616" width="11.7109375" style="215" customWidth="1"/>
    <col min="4617" max="4617" width="13.7109375" style="215" customWidth="1"/>
    <col min="4618" max="4618" width="8.42578125" style="215" customWidth="1"/>
    <col min="4619" max="4619" width="13.7109375" style="215" customWidth="1"/>
    <col min="4620" max="4620" width="8.7109375" style="215" customWidth="1"/>
    <col min="4621" max="4621" width="13.7109375" style="215" customWidth="1"/>
    <col min="4622" max="4622" width="8.7109375" style="215" customWidth="1"/>
    <col min="4623" max="4623" width="13.7109375" style="215" customWidth="1"/>
    <col min="4624" max="4624" width="8.7109375" style="215" customWidth="1"/>
    <col min="4625" max="4625" width="13.7109375" style="215" customWidth="1"/>
    <col min="4626" max="4626" width="8.42578125" style="215" customWidth="1"/>
    <col min="4627" max="4627" width="13.7109375" style="215" customWidth="1"/>
    <col min="4628" max="4628" width="8.7109375" style="215" customWidth="1"/>
    <col min="4629" max="4629" width="13.7109375" style="215" customWidth="1"/>
    <col min="4630" max="4630" width="8.7109375" style="215" customWidth="1"/>
    <col min="4631" max="4631" width="13.7109375" style="215" customWidth="1"/>
    <col min="4632" max="4632" width="8.7109375" style="215" customWidth="1"/>
    <col min="4633" max="4633" width="13.7109375" style="215" customWidth="1"/>
    <col min="4634" max="4634" width="8.7109375" style="215" customWidth="1"/>
    <col min="4635" max="4635" width="13.7109375" style="215" customWidth="1"/>
    <col min="4636" max="4636" width="8.7109375" style="215" customWidth="1"/>
    <col min="4637" max="4637" width="13.7109375" style="215" customWidth="1"/>
    <col min="4638" max="4638" width="8.7109375" style="215" customWidth="1"/>
    <col min="4639" max="4639" width="13.7109375" style="215" customWidth="1"/>
    <col min="4640" max="4640" width="8.7109375" style="215" customWidth="1"/>
    <col min="4641" max="4641" width="13.7109375" style="215" customWidth="1"/>
    <col min="4642" max="4642" width="9.7109375" style="215" customWidth="1"/>
    <col min="4643" max="4643" width="13.7109375" style="215" customWidth="1"/>
    <col min="4644" max="4644" width="10.7109375" style="215" customWidth="1"/>
    <col min="4645" max="4645" width="13.7109375" style="215" customWidth="1"/>
    <col min="4646" max="4646" width="11.5703125" style="215" customWidth="1"/>
    <col min="4647" max="4647" width="13.7109375" style="215" customWidth="1"/>
    <col min="4648" max="4648" width="10.7109375" style="215" customWidth="1"/>
    <col min="4649" max="4649" width="12.42578125" style="215" bestFit="1" customWidth="1"/>
    <col min="4650" max="4650" width="22.7109375" style="215" customWidth="1"/>
    <col min="4651" max="4651" width="22" style="215" bestFit="1" customWidth="1"/>
    <col min="4652" max="4652" width="12.7109375" style="215" customWidth="1"/>
    <col min="4653" max="4653" width="20.5703125" style="215" customWidth="1"/>
    <col min="4654" max="4654" width="12.7109375" style="215" customWidth="1"/>
    <col min="4655" max="4655" width="20.7109375" style="215" customWidth="1"/>
    <col min="4656" max="4656" width="12.7109375" style="215" customWidth="1"/>
    <col min="4657" max="4657" width="20.7109375" style="215" customWidth="1"/>
    <col min="4658" max="4658" width="12.7109375" style="215" customWidth="1"/>
    <col min="4659" max="4659" width="20.7109375" style="215" customWidth="1"/>
    <col min="4660" max="4660" width="12.7109375" style="215" customWidth="1"/>
    <col min="4661" max="4661" width="20.7109375" style="215" customWidth="1"/>
    <col min="4662" max="4662" width="12.7109375" style="215" customWidth="1"/>
    <col min="4663" max="4663" width="20.7109375" style="215" customWidth="1"/>
    <col min="4664" max="4664" width="12.7109375" style="215" customWidth="1"/>
    <col min="4665" max="4865" width="9.140625" style="215"/>
    <col min="4866" max="4866" width="6.140625" style="215" customWidth="1"/>
    <col min="4867" max="4867" width="5" style="215" customWidth="1"/>
    <col min="4868" max="4868" width="35" style="215" customWidth="1"/>
    <col min="4869" max="4869" width="13.7109375" style="215" customWidth="1"/>
    <col min="4870" max="4870" width="9.7109375" style="215" customWidth="1"/>
    <col min="4871" max="4871" width="13.7109375" style="215" customWidth="1"/>
    <col min="4872" max="4872" width="11.7109375" style="215" customWidth="1"/>
    <col min="4873" max="4873" width="13.7109375" style="215" customWidth="1"/>
    <col min="4874" max="4874" width="8.42578125" style="215" customWidth="1"/>
    <col min="4875" max="4875" width="13.7109375" style="215" customWidth="1"/>
    <col min="4876" max="4876" width="8.7109375" style="215" customWidth="1"/>
    <col min="4877" max="4877" width="13.7109375" style="215" customWidth="1"/>
    <col min="4878" max="4878" width="8.7109375" style="215" customWidth="1"/>
    <col min="4879" max="4879" width="13.7109375" style="215" customWidth="1"/>
    <col min="4880" max="4880" width="8.7109375" style="215" customWidth="1"/>
    <col min="4881" max="4881" width="13.7109375" style="215" customWidth="1"/>
    <col min="4882" max="4882" width="8.42578125" style="215" customWidth="1"/>
    <col min="4883" max="4883" width="13.7109375" style="215" customWidth="1"/>
    <col min="4884" max="4884" width="8.7109375" style="215" customWidth="1"/>
    <col min="4885" max="4885" width="13.7109375" style="215" customWidth="1"/>
    <col min="4886" max="4886" width="8.7109375" style="215" customWidth="1"/>
    <col min="4887" max="4887" width="13.7109375" style="215" customWidth="1"/>
    <col min="4888" max="4888" width="8.7109375" style="215" customWidth="1"/>
    <col min="4889" max="4889" width="13.7109375" style="215" customWidth="1"/>
    <col min="4890" max="4890" width="8.7109375" style="215" customWidth="1"/>
    <col min="4891" max="4891" width="13.7109375" style="215" customWidth="1"/>
    <col min="4892" max="4892" width="8.7109375" style="215" customWidth="1"/>
    <col min="4893" max="4893" width="13.7109375" style="215" customWidth="1"/>
    <col min="4894" max="4894" width="8.7109375" style="215" customWidth="1"/>
    <col min="4895" max="4895" width="13.7109375" style="215" customWidth="1"/>
    <col min="4896" max="4896" width="8.7109375" style="215" customWidth="1"/>
    <col min="4897" max="4897" width="13.7109375" style="215" customWidth="1"/>
    <col min="4898" max="4898" width="9.7109375" style="215" customWidth="1"/>
    <col min="4899" max="4899" width="13.7109375" style="215" customWidth="1"/>
    <col min="4900" max="4900" width="10.7109375" style="215" customWidth="1"/>
    <col min="4901" max="4901" width="13.7109375" style="215" customWidth="1"/>
    <col min="4902" max="4902" width="11.5703125" style="215" customWidth="1"/>
    <col min="4903" max="4903" width="13.7109375" style="215" customWidth="1"/>
    <col min="4904" max="4904" width="10.7109375" style="215" customWidth="1"/>
    <col min="4905" max="4905" width="12.42578125" style="215" bestFit="1" customWidth="1"/>
    <col min="4906" max="4906" width="22.7109375" style="215" customWidth="1"/>
    <col min="4907" max="4907" width="22" style="215" bestFit="1" customWidth="1"/>
    <col min="4908" max="4908" width="12.7109375" style="215" customWidth="1"/>
    <col min="4909" max="4909" width="20.5703125" style="215" customWidth="1"/>
    <col min="4910" max="4910" width="12.7109375" style="215" customWidth="1"/>
    <col min="4911" max="4911" width="20.7109375" style="215" customWidth="1"/>
    <col min="4912" max="4912" width="12.7109375" style="215" customWidth="1"/>
    <col min="4913" max="4913" width="20.7109375" style="215" customWidth="1"/>
    <col min="4914" max="4914" width="12.7109375" style="215" customWidth="1"/>
    <col min="4915" max="4915" width="20.7109375" style="215" customWidth="1"/>
    <col min="4916" max="4916" width="12.7109375" style="215" customWidth="1"/>
    <col min="4917" max="4917" width="20.7109375" style="215" customWidth="1"/>
    <col min="4918" max="4918" width="12.7109375" style="215" customWidth="1"/>
    <col min="4919" max="4919" width="20.7109375" style="215" customWidth="1"/>
    <col min="4920" max="4920" width="12.7109375" style="215" customWidth="1"/>
    <col min="4921" max="5121" width="9.140625" style="215"/>
    <col min="5122" max="5122" width="6.140625" style="215" customWidth="1"/>
    <col min="5123" max="5123" width="5" style="215" customWidth="1"/>
    <col min="5124" max="5124" width="35" style="215" customWidth="1"/>
    <col min="5125" max="5125" width="13.7109375" style="215" customWidth="1"/>
    <col min="5126" max="5126" width="9.7109375" style="215" customWidth="1"/>
    <col min="5127" max="5127" width="13.7109375" style="215" customWidth="1"/>
    <col min="5128" max="5128" width="11.7109375" style="215" customWidth="1"/>
    <col min="5129" max="5129" width="13.7109375" style="215" customWidth="1"/>
    <col min="5130" max="5130" width="8.42578125" style="215" customWidth="1"/>
    <col min="5131" max="5131" width="13.7109375" style="215" customWidth="1"/>
    <col min="5132" max="5132" width="8.7109375" style="215" customWidth="1"/>
    <col min="5133" max="5133" width="13.7109375" style="215" customWidth="1"/>
    <col min="5134" max="5134" width="8.7109375" style="215" customWidth="1"/>
    <col min="5135" max="5135" width="13.7109375" style="215" customWidth="1"/>
    <col min="5136" max="5136" width="8.7109375" style="215" customWidth="1"/>
    <col min="5137" max="5137" width="13.7109375" style="215" customWidth="1"/>
    <col min="5138" max="5138" width="8.42578125" style="215" customWidth="1"/>
    <col min="5139" max="5139" width="13.7109375" style="215" customWidth="1"/>
    <col min="5140" max="5140" width="8.7109375" style="215" customWidth="1"/>
    <col min="5141" max="5141" width="13.7109375" style="215" customWidth="1"/>
    <col min="5142" max="5142" width="8.7109375" style="215" customWidth="1"/>
    <col min="5143" max="5143" width="13.7109375" style="215" customWidth="1"/>
    <col min="5144" max="5144" width="8.7109375" style="215" customWidth="1"/>
    <col min="5145" max="5145" width="13.7109375" style="215" customWidth="1"/>
    <col min="5146" max="5146" width="8.7109375" style="215" customWidth="1"/>
    <col min="5147" max="5147" width="13.7109375" style="215" customWidth="1"/>
    <col min="5148" max="5148" width="8.7109375" style="215" customWidth="1"/>
    <col min="5149" max="5149" width="13.7109375" style="215" customWidth="1"/>
    <col min="5150" max="5150" width="8.7109375" style="215" customWidth="1"/>
    <col min="5151" max="5151" width="13.7109375" style="215" customWidth="1"/>
    <col min="5152" max="5152" width="8.7109375" style="215" customWidth="1"/>
    <col min="5153" max="5153" width="13.7109375" style="215" customWidth="1"/>
    <col min="5154" max="5154" width="9.7109375" style="215" customWidth="1"/>
    <col min="5155" max="5155" width="13.7109375" style="215" customWidth="1"/>
    <col min="5156" max="5156" width="10.7109375" style="215" customWidth="1"/>
    <col min="5157" max="5157" width="13.7109375" style="215" customWidth="1"/>
    <col min="5158" max="5158" width="11.5703125" style="215" customWidth="1"/>
    <col min="5159" max="5159" width="13.7109375" style="215" customWidth="1"/>
    <col min="5160" max="5160" width="10.7109375" style="215" customWidth="1"/>
    <col min="5161" max="5161" width="12.42578125" style="215" bestFit="1" customWidth="1"/>
    <col min="5162" max="5162" width="22.7109375" style="215" customWidth="1"/>
    <col min="5163" max="5163" width="22" style="215" bestFit="1" customWidth="1"/>
    <col min="5164" max="5164" width="12.7109375" style="215" customWidth="1"/>
    <col min="5165" max="5165" width="20.5703125" style="215" customWidth="1"/>
    <col min="5166" max="5166" width="12.7109375" style="215" customWidth="1"/>
    <col min="5167" max="5167" width="20.7109375" style="215" customWidth="1"/>
    <col min="5168" max="5168" width="12.7109375" style="215" customWidth="1"/>
    <col min="5169" max="5169" width="20.7109375" style="215" customWidth="1"/>
    <col min="5170" max="5170" width="12.7109375" style="215" customWidth="1"/>
    <col min="5171" max="5171" width="20.7109375" style="215" customWidth="1"/>
    <col min="5172" max="5172" width="12.7109375" style="215" customWidth="1"/>
    <col min="5173" max="5173" width="20.7109375" style="215" customWidth="1"/>
    <col min="5174" max="5174" width="12.7109375" style="215" customWidth="1"/>
    <col min="5175" max="5175" width="20.7109375" style="215" customWidth="1"/>
    <col min="5176" max="5176" width="12.7109375" style="215" customWidth="1"/>
    <col min="5177" max="5377" width="9.140625" style="215"/>
    <col min="5378" max="5378" width="6.140625" style="215" customWidth="1"/>
    <col min="5379" max="5379" width="5" style="215" customWidth="1"/>
    <col min="5380" max="5380" width="35" style="215" customWidth="1"/>
    <col min="5381" max="5381" width="13.7109375" style="215" customWidth="1"/>
    <col min="5382" max="5382" width="9.7109375" style="215" customWidth="1"/>
    <col min="5383" max="5383" width="13.7109375" style="215" customWidth="1"/>
    <col min="5384" max="5384" width="11.7109375" style="215" customWidth="1"/>
    <col min="5385" max="5385" width="13.7109375" style="215" customWidth="1"/>
    <col min="5386" max="5386" width="8.42578125" style="215" customWidth="1"/>
    <col min="5387" max="5387" width="13.7109375" style="215" customWidth="1"/>
    <col min="5388" max="5388" width="8.7109375" style="215" customWidth="1"/>
    <col min="5389" max="5389" width="13.7109375" style="215" customWidth="1"/>
    <col min="5390" max="5390" width="8.7109375" style="215" customWidth="1"/>
    <col min="5391" max="5391" width="13.7109375" style="215" customWidth="1"/>
    <col min="5392" max="5392" width="8.7109375" style="215" customWidth="1"/>
    <col min="5393" max="5393" width="13.7109375" style="215" customWidth="1"/>
    <col min="5394" max="5394" width="8.42578125" style="215" customWidth="1"/>
    <col min="5395" max="5395" width="13.7109375" style="215" customWidth="1"/>
    <col min="5396" max="5396" width="8.7109375" style="215" customWidth="1"/>
    <col min="5397" max="5397" width="13.7109375" style="215" customWidth="1"/>
    <col min="5398" max="5398" width="8.7109375" style="215" customWidth="1"/>
    <col min="5399" max="5399" width="13.7109375" style="215" customWidth="1"/>
    <col min="5400" max="5400" width="8.7109375" style="215" customWidth="1"/>
    <col min="5401" max="5401" width="13.7109375" style="215" customWidth="1"/>
    <col min="5402" max="5402" width="8.7109375" style="215" customWidth="1"/>
    <col min="5403" max="5403" width="13.7109375" style="215" customWidth="1"/>
    <col min="5404" max="5404" width="8.7109375" style="215" customWidth="1"/>
    <col min="5405" max="5405" width="13.7109375" style="215" customWidth="1"/>
    <col min="5406" max="5406" width="8.7109375" style="215" customWidth="1"/>
    <col min="5407" max="5407" width="13.7109375" style="215" customWidth="1"/>
    <col min="5408" max="5408" width="8.7109375" style="215" customWidth="1"/>
    <col min="5409" max="5409" width="13.7109375" style="215" customWidth="1"/>
    <col min="5410" max="5410" width="9.7109375" style="215" customWidth="1"/>
    <col min="5411" max="5411" width="13.7109375" style="215" customWidth="1"/>
    <col min="5412" max="5412" width="10.7109375" style="215" customWidth="1"/>
    <col min="5413" max="5413" width="13.7109375" style="215" customWidth="1"/>
    <col min="5414" max="5414" width="11.5703125" style="215" customWidth="1"/>
    <col min="5415" max="5415" width="13.7109375" style="215" customWidth="1"/>
    <col min="5416" max="5416" width="10.7109375" style="215" customWidth="1"/>
    <col min="5417" max="5417" width="12.42578125" style="215" bestFit="1" customWidth="1"/>
    <col min="5418" max="5418" width="22.7109375" style="215" customWidth="1"/>
    <col min="5419" max="5419" width="22" style="215" bestFit="1" customWidth="1"/>
    <col min="5420" max="5420" width="12.7109375" style="215" customWidth="1"/>
    <col min="5421" max="5421" width="20.5703125" style="215" customWidth="1"/>
    <col min="5422" max="5422" width="12.7109375" style="215" customWidth="1"/>
    <col min="5423" max="5423" width="20.7109375" style="215" customWidth="1"/>
    <col min="5424" max="5424" width="12.7109375" style="215" customWidth="1"/>
    <col min="5425" max="5425" width="20.7109375" style="215" customWidth="1"/>
    <col min="5426" max="5426" width="12.7109375" style="215" customWidth="1"/>
    <col min="5427" max="5427" width="20.7109375" style="215" customWidth="1"/>
    <col min="5428" max="5428" width="12.7109375" style="215" customWidth="1"/>
    <col min="5429" max="5429" width="20.7109375" style="215" customWidth="1"/>
    <col min="5430" max="5430" width="12.7109375" style="215" customWidth="1"/>
    <col min="5431" max="5431" width="20.7109375" style="215" customWidth="1"/>
    <col min="5432" max="5432" width="12.7109375" style="215" customWidth="1"/>
    <col min="5433" max="5633" width="9.140625" style="215"/>
    <col min="5634" max="5634" width="6.140625" style="215" customWidth="1"/>
    <col min="5635" max="5635" width="5" style="215" customWidth="1"/>
    <col min="5636" max="5636" width="35" style="215" customWidth="1"/>
    <col min="5637" max="5637" width="13.7109375" style="215" customWidth="1"/>
    <col min="5638" max="5638" width="9.7109375" style="215" customWidth="1"/>
    <col min="5639" max="5639" width="13.7109375" style="215" customWidth="1"/>
    <col min="5640" max="5640" width="11.7109375" style="215" customWidth="1"/>
    <col min="5641" max="5641" width="13.7109375" style="215" customWidth="1"/>
    <col min="5642" max="5642" width="8.42578125" style="215" customWidth="1"/>
    <col min="5643" max="5643" width="13.7109375" style="215" customWidth="1"/>
    <col min="5644" max="5644" width="8.7109375" style="215" customWidth="1"/>
    <col min="5645" max="5645" width="13.7109375" style="215" customWidth="1"/>
    <col min="5646" max="5646" width="8.7109375" style="215" customWidth="1"/>
    <col min="5647" max="5647" width="13.7109375" style="215" customWidth="1"/>
    <col min="5648" max="5648" width="8.7109375" style="215" customWidth="1"/>
    <col min="5649" max="5649" width="13.7109375" style="215" customWidth="1"/>
    <col min="5650" max="5650" width="8.42578125" style="215" customWidth="1"/>
    <col min="5651" max="5651" width="13.7109375" style="215" customWidth="1"/>
    <col min="5652" max="5652" width="8.7109375" style="215" customWidth="1"/>
    <col min="5653" max="5653" width="13.7109375" style="215" customWidth="1"/>
    <col min="5654" max="5654" width="8.7109375" style="215" customWidth="1"/>
    <col min="5655" max="5655" width="13.7109375" style="215" customWidth="1"/>
    <col min="5656" max="5656" width="8.7109375" style="215" customWidth="1"/>
    <col min="5657" max="5657" width="13.7109375" style="215" customWidth="1"/>
    <col min="5658" max="5658" width="8.7109375" style="215" customWidth="1"/>
    <col min="5659" max="5659" width="13.7109375" style="215" customWidth="1"/>
    <col min="5660" max="5660" width="8.7109375" style="215" customWidth="1"/>
    <col min="5661" max="5661" width="13.7109375" style="215" customWidth="1"/>
    <col min="5662" max="5662" width="8.7109375" style="215" customWidth="1"/>
    <col min="5663" max="5663" width="13.7109375" style="215" customWidth="1"/>
    <col min="5664" max="5664" width="8.7109375" style="215" customWidth="1"/>
    <col min="5665" max="5665" width="13.7109375" style="215" customWidth="1"/>
    <col min="5666" max="5666" width="9.7109375" style="215" customWidth="1"/>
    <col min="5667" max="5667" width="13.7109375" style="215" customWidth="1"/>
    <col min="5668" max="5668" width="10.7109375" style="215" customWidth="1"/>
    <col min="5669" max="5669" width="13.7109375" style="215" customWidth="1"/>
    <col min="5670" max="5670" width="11.5703125" style="215" customWidth="1"/>
    <col min="5671" max="5671" width="13.7109375" style="215" customWidth="1"/>
    <col min="5672" max="5672" width="10.7109375" style="215" customWidth="1"/>
    <col min="5673" max="5673" width="12.42578125" style="215" bestFit="1" customWidth="1"/>
    <col min="5674" max="5674" width="22.7109375" style="215" customWidth="1"/>
    <col min="5675" max="5675" width="22" style="215" bestFit="1" customWidth="1"/>
    <col min="5676" max="5676" width="12.7109375" style="215" customWidth="1"/>
    <col min="5677" max="5677" width="20.5703125" style="215" customWidth="1"/>
    <col min="5678" max="5678" width="12.7109375" style="215" customWidth="1"/>
    <col min="5679" max="5679" width="20.7109375" style="215" customWidth="1"/>
    <col min="5680" max="5680" width="12.7109375" style="215" customWidth="1"/>
    <col min="5681" max="5681" width="20.7109375" style="215" customWidth="1"/>
    <col min="5682" max="5682" width="12.7109375" style="215" customWidth="1"/>
    <col min="5683" max="5683" width="20.7109375" style="215" customWidth="1"/>
    <col min="5684" max="5684" width="12.7109375" style="215" customWidth="1"/>
    <col min="5685" max="5685" width="20.7109375" style="215" customWidth="1"/>
    <col min="5686" max="5686" width="12.7109375" style="215" customWidth="1"/>
    <col min="5687" max="5687" width="20.7109375" style="215" customWidth="1"/>
    <col min="5688" max="5688" width="12.7109375" style="215" customWidth="1"/>
    <col min="5689" max="5889" width="9.140625" style="215"/>
    <col min="5890" max="5890" width="6.140625" style="215" customWidth="1"/>
    <col min="5891" max="5891" width="5" style="215" customWidth="1"/>
    <col min="5892" max="5892" width="35" style="215" customWidth="1"/>
    <col min="5893" max="5893" width="13.7109375" style="215" customWidth="1"/>
    <col min="5894" max="5894" width="9.7109375" style="215" customWidth="1"/>
    <col min="5895" max="5895" width="13.7109375" style="215" customWidth="1"/>
    <col min="5896" max="5896" width="11.7109375" style="215" customWidth="1"/>
    <col min="5897" max="5897" width="13.7109375" style="215" customWidth="1"/>
    <col min="5898" max="5898" width="8.42578125" style="215" customWidth="1"/>
    <col min="5899" max="5899" width="13.7109375" style="215" customWidth="1"/>
    <col min="5900" max="5900" width="8.7109375" style="215" customWidth="1"/>
    <col min="5901" max="5901" width="13.7109375" style="215" customWidth="1"/>
    <col min="5902" max="5902" width="8.7109375" style="215" customWidth="1"/>
    <col min="5903" max="5903" width="13.7109375" style="215" customWidth="1"/>
    <col min="5904" max="5904" width="8.7109375" style="215" customWidth="1"/>
    <col min="5905" max="5905" width="13.7109375" style="215" customWidth="1"/>
    <col min="5906" max="5906" width="8.42578125" style="215" customWidth="1"/>
    <col min="5907" max="5907" width="13.7109375" style="215" customWidth="1"/>
    <col min="5908" max="5908" width="8.7109375" style="215" customWidth="1"/>
    <col min="5909" max="5909" width="13.7109375" style="215" customWidth="1"/>
    <col min="5910" max="5910" width="8.7109375" style="215" customWidth="1"/>
    <col min="5911" max="5911" width="13.7109375" style="215" customWidth="1"/>
    <col min="5912" max="5912" width="8.7109375" style="215" customWidth="1"/>
    <col min="5913" max="5913" width="13.7109375" style="215" customWidth="1"/>
    <col min="5914" max="5914" width="8.7109375" style="215" customWidth="1"/>
    <col min="5915" max="5915" width="13.7109375" style="215" customWidth="1"/>
    <col min="5916" max="5916" width="8.7109375" style="215" customWidth="1"/>
    <col min="5917" max="5917" width="13.7109375" style="215" customWidth="1"/>
    <col min="5918" max="5918" width="8.7109375" style="215" customWidth="1"/>
    <col min="5919" max="5919" width="13.7109375" style="215" customWidth="1"/>
    <col min="5920" max="5920" width="8.7109375" style="215" customWidth="1"/>
    <col min="5921" max="5921" width="13.7109375" style="215" customWidth="1"/>
    <col min="5922" max="5922" width="9.7109375" style="215" customWidth="1"/>
    <col min="5923" max="5923" width="13.7109375" style="215" customWidth="1"/>
    <col min="5924" max="5924" width="10.7109375" style="215" customWidth="1"/>
    <col min="5925" max="5925" width="13.7109375" style="215" customWidth="1"/>
    <col min="5926" max="5926" width="11.5703125" style="215" customWidth="1"/>
    <col min="5927" max="5927" width="13.7109375" style="215" customWidth="1"/>
    <col min="5928" max="5928" width="10.7109375" style="215" customWidth="1"/>
    <col min="5929" max="5929" width="12.42578125" style="215" bestFit="1" customWidth="1"/>
    <col min="5930" max="5930" width="22.7109375" style="215" customWidth="1"/>
    <col min="5931" max="5931" width="22" style="215" bestFit="1" customWidth="1"/>
    <col min="5932" max="5932" width="12.7109375" style="215" customWidth="1"/>
    <col min="5933" max="5933" width="20.5703125" style="215" customWidth="1"/>
    <col min="5934" max="5934" width="12.7109375" style="215" customWidth="1"/>
    <col min="5935" max="5935" width="20.7109375" style="215" customWidth="1"/>
    <col min="5936" max="5936" width="12.7109375" style="215" customWidth="1"/>
    <col min="5937" max="5937" width="20.7109375" style="215" customWidth="1"/>
    <col min="5938" max="5938" width="12.7109375" style="215" customWidth="1"/>
    <col min="5939" max="5939" width="20.7109375" style="215" customWidth="1"/>
    <col min="5940" max="5940" width="12.7109375" style="215" customWidth="1"/>
    <col min="5941" max="5941" width="20.7109375" style="215" customWidth="1"/>
    <col min="5942" max="5942" width="12.7109375" style="215" customWidth="1"/>
    <col min="5943" max="5943" width="20.7109375" style="215" customWidth="1"/>
    <col min="5944" max="5944" width="12.7109375" style="215" customWidth="1"/>
    <col min="5945" max="6145" width="9.140625" style="215"/>
    <col min="6146" max="6146" width="6.140625" style="215" customWidth="1"/>
    <col min="6147" max="6147" width="5" style="215" customWidth="1"/>
    <col min="6148" max="6148" width="35" style="215" customWidth="1"/>
    <col min="6149" max="6149" width="13.7109375" style="215" customWidth="1"/>
    <col min="6150" max="6150" width="9.7109375" style="215" customWidth="1"/>
    <col min="6151" max="6151" width="13.7109375" style="215" customWidth="1"/>
    <col min="6152" max="6152" width="11.7109375" style="215" customWidth="1"/>
    <col min="6153" max="6153" width="13.7109375" style="215" customWidth="1"/>
    <col min="6154" max="6154" width="8.42578125" style="215" customWidth="1"/>
    <col min="6155" max="6155" width="13.7109375" style="215" customWidth="1"/>
    <col min="6156" max="6156" width="8.7109375" style="215" customWidth="1"/>
    <col min="6157" max="6157" width="13.7109375" style="215" customWidth="1"/>
    <col min="6158" max="6158" width="8.7109375" style="215" customWidth="1"/>
    <col min="6159" max="6159" width="13.7109375" style="215" customWidth="1"/>
    <col min="6160" max="6160" width="8.7109375" style="215" customWidth="1"/>
    <col min="6161" max="6161" width="13.7109375" style="215" customWidth="1"/>
    <col min="6162" max="6162" width="8.42578125" style="215" customWidth="1"/>
    <col min="6163" max="6163" width="13.7109375" style="215" customWidth="1"/>
    <col min="6164" max="6164" width="8.7109375" style="215" customWidth="1"/>
    <col min="6165" max="6165" width="13.7109375" style="215" customWidth="1"/>
    <col min="6166" max="6166" width="8.7109375" style="215" customWidth="1"/>
    <col min="6167" max="6167" width="13.7109375" style="215" customWidth="1"/>
    <col min="6168" max="6168" width="8.7109375" style="215" customWidth="1"/>
    <col min="6169" max="6169" width="13.7109375" style="215" customWidth="1"/>
    <col min="6170" max="6170" width="8.7109375" style="215" customWidth="1"/>
    <col min="6171" max="6171" width="13.7109375" style="215" customWidth="1"/>
    <col min="6172" max="6172" width="8.7109375" style="215" customWidth="1"/>
    <col min="6173" max="6173" width="13.7109375" style="215" customWidth="1"/>
    <col min="6174" max="6174" width="8.7109375" style="215" customWidth="1"/>
    <col min="6175" max="6175" width="13.7109375" style="215" customWidth="1"/>
    <col min="6176" max="6176" width="8.7109375" style="215" customWidth="1"/>
    <col min="6177" max="6177" width="13.7109375" style="215" customWidth="1"/>
    <col min="6178" max="6178" width="9.7109375" style="215" customWidth="1"/>
    <col min="6179" max="6179" width="13.7109375" style="215" customWidth="1"/>
    <col min="6180" max="6180" width="10.7109375" style="215" customWidth="1"/>
    <col min="6181" max="6181" width="13.7109375" style="215" customWidth="1"/>
    <col min="6182" max="6182" width="11.5703125" style="215" customWidth="1"/>
    <col min="6183" max="6183" width="13.7109375" style="215" customWidth="1"/>
    <col min="6184" max="6184" width="10.7109375" style="215" customWidth="1"/>
    <col min="6185" max="6185" width="12.42578125" style="215" bestFit="1" customWidth="1"/>
    <col min="6186" max="6186" width="22.7109375" style="215" customWidth="1"/>
    <col min="6187" max="6187" width="22" style="215" bestFit="1" customWidth="1"/>
    <col min="6188" max="6188" width="12.7109375" style="215" customWidth="1"/>
    <col min="6189" max="6189" width="20.5703125" style="215" customWidth="1"/>
    <col min="6190" max="6190" width="12.7109375" style="215" customWidth="1"/>
    <col min="6191" max="6191" width="20.7109375" style="215" customWidth="1"/>
    <col min="6192" max="6192" width="12.7109375" style="215" customWidth="1"/>
    <col min="6193" max="6193" width="20.7109375" style="215" customWidth="1"/>
    <col min="6194" max="6194" width="12.7109375" style="215" customWidth="1"/>
    <col min="6195" max="6195" width="20.7109375" style="215" customWidth="1"/>
    <col min="6196" max="6196" width="12.7109375" style="215" customWidth="1"/>
    <col min="6197" max="6197" width="20.7109375" style="215" customWidth="1"/>
    <col min="6198" max="6198" width="12.7109375" style="215" customWidth="1"/>
    <col min="6199" max="6199" width="20.7109375" style="215" customWidth="1"/>
    <col min="6200" max="6200" width="12.7109375" style="215" customWidth="1"/>
    <col min="6201" max="6401" width="9.140625" style="215"/>
    <col min="6402" max="6402" width="6.140625" style="215" customWidth="1"/>
    <col min="6403" max="6403" width="5" style="215" customWidth="1"/>
    <col min="6404" max="6404" width="35" style="215" customWidth="1"/>
    <col min="6405" max="6405" width="13.7109375" style="215" customWidth="1"/>
    <col min="6406" max="6406" width="9.7109375" style="215" customWidth="1"/>
    <col min="6407" max="6407" width="13.7109375" style="215" customWidth="1"/>
    <col min="6408" max="6408" width="11.7109375" style="215" customWidth="1"/>
    <col min="6409" max="6409" width="13.7109375" style="215" customWidth="1"/>
    <col min="6410" max="6410" width="8.42578125" style="215" customWidth="1"/>
    <col min="6411" max="6411" width="13.7109375" style="215" customWidth="1"/>
    <col min="6412" max="6412" width="8.7109375" style="215" customWidth="1"/>
    <col min="6413" max="6413" width="13.7109375" style="215" customWidth="1"/>
    <col min="6414" max="6414" width="8.7109375" style="215" customWidth="1"/>
    <col min="6415" max="6415" width="13.7109375" style="215" customWidth="1"/>
    <col min="6416" max="6416" width="8.7109375" style="215" customWidth="1"/>
    <col min="6417" max="6417" width="13.7109375" style="215" customWidth="1"/>
    <col min="6418" max="6418" width="8.42578125" style="215" customWidth="1"/>
    <col min="6419" max="6419" width="13.7109375" style="215" customWidth="1"/>
    <col min="6420" max="6420" width="8.7109375" style="215" customWidth="1"/>
    <col min="6421" max="6421" width="13.7109375" style="215" customWidth="1"/>
    <col min="6422" max="6422" width="8.7109375" style="215" customWidth="1"/>
    <col min="6423" max="6423" width="13.7109375" style="215" customWidth="1"/>
    <col min="6424" max="6424" width="8.7109375" style="215" customWidth="1"/>
    <col min="6425" max="6425" width="13.7109375" style="215" customWidth="1"/>
    <col min="6426" max="6426" width="8.7109375" style="215" customWidth="1"/>
    <col min="6427" max="6427" width="13.7109375" style="215" customWidth="1"/>
    <col min="6428" max="6428" width="8.7109375" style="215" customWidth="1"/>
    <col min="6429" max="6429" width="13.7109375" style="215" customWidth="1"/>
    <col min="6430" max="6430" width="8.7109375" style="215" customWidth="1"/>
    <col min="6431" max="6431" width="13.7109375" style="215" customWidth="1"/>
    <col min="6432" max="6432" width="8.7109375" style="215" customWidth="1"/>
    <col min="6433" max="6433" width="13.7109375" style="215" customWidth="1"/>
    <col min="6434" max="6434" width="9.7109375" style="215" customWidth="1"/>
    <col min="6435" max="6435" width="13.7109375" style="215" customWidth="1"/>
    <col min="6436" max="6436" width="10.7109375" style="215" customWidth="1"/>
    <col min="6437" max="6437" width="13.7109375" style="215" customWidth="1"/>
    <col min="6438" max="6438" width="11.5703125" style="215" customWidth="1"/>
    <col min="6439" max="6439" width="13.7109375" style="215" customWidth="1"/>
    <col min="6440" max="6440" width="10.7109375" style="215" customWidth="1"/>
    <col min="6441" max="6441" width="12.42578125" style="215" bestFit="1" customWidth="1"/>
    <col min="6442" max="6442" width="22.7109375" style="215" customWidth="1"/>
    <col min="6443" max="6443" width="22" style="215" bestFit="1" customWidth="1"/>
    <col min="6444" max="6444" width="12.7109375" style="215" customWidth="1"/>
    <col min="6445" max="6445" width="20.5703125" style="215" customWidth="1"/>
    <col min="6446" max="6446" width="12.7109375" style="215" customWidth="1"/>
    <col min="6447" max="6447" width="20.7109375" style="215" customWidth="1"/>
    <col min="6448" max="6448" width="12.7109375" style="215" customWidth="1"/>
    <col min="6449" max="6449" width="20.7109375" style="215" customWidth="1"/>
    <col min="6450" max="6450" width="12.7109375" style="215" customWidth="1"/>
    <col min="6451" max="6451" width="20.7109375" style="215" customWidth="1"/>
    <col min="6452" max="6452" width="12.7109375" style="215" customWidth="1"/>
    <col min="6453" max="6453" width="20.7109375" style="215" customWidth="1"/>
    <col min="6454" max="6454" width="12.7109375" style="215" customWidth="1"/>
    <col min="6455" max="6455" width="20.7109375" style="215" customWidth="1"/>
    <col min="6456" max="6456" width="12.7109375" style="215" customWidth="1"/>
    <col min="6457" max="6657" width="9.140625" style="215"/>
    <col min="6658" max="6658" width="6.140625" style="215" customWidth="1"/>
    <col min="6659" max="6659" width="5" style="215" customWidth="1"/>
    <col min="6660" max="6660" width="35" style="215" customWidth="1"/>
    <col min="6661" max="6661" width="13.7109375" style="215" customWidth="1"/>
    <col min="6662" max="6662" width="9.7109375" style="215" customWidth="1"/>
    <col min="6663" max="6663" width="13.7109375" style="215" customWidth="1"/>
    <col min="6664" max="6664" width="11.7109375" style="215" customWidth="1"/>
    <col min="6665" max="6665" width="13.7109375" style="215" customWidth="1"/>
    <col min="6666" max="6666" width="8.42578125" style="215" customWidth="1"/>
    <col min="6667" max="6667" width="13.7109375" style="215" customWidth="1"/>
    <col min="6668" max="6668" width="8.7109375" style="215" customWidth="1"/>
    <col min="6669" max="6669" width="13.7109375" style="215" customWidth="1"/>
    <col min="6670" max="6670" width="8.7109375" style="215" customWidth="1"/>
    <col min="6671" max="6671" width="13.7109375" style="215" customWidth="1"/>
    <col min="6672" max="6672" width="8.7109375" style="215" customWidth="1"/>
    <col min="6673" max="6673" width="13.7109375" style="215" customWidth="1"/>
    <col min="6674" max="6674" width="8.42578125" style="215" customWidth="1"/>
    <col min="6675" max="6675" width="13.7109375" style="215" customWidth="1"/>
    <col min="6676" max="6676" width="8.7109375" style="215" customWidth="1"/>
    <col min="6677" max="6677" width="13.7109375" style="215" customWidth="1"/>
    <col min="6678" max="6678" width="8.7109375" style="215" customWidth="1"/>
    <col min="6679" max="6679" width="13.7109375" style="215" customWidth="1"/>
    <col min="6680" max="6680" width="8.7109375" style="215" customWidth="1"/>
    <col min="6681" max="6681" width="13.7109375" style="215" customWidth="1"/>
    <col min="6682" max="6682" width="8.7109375" style="215" customWidth="1"/>
    <col min="6683" max="6683" width="13.7109375" style="215" customWidth="1"/>
    <col min="6684" max="6684" width="8.7109375" style="215" customWidth="1"/>
    <col min="6685" max="6685" width="13.7109375" style="215" customWidth="1"/>
    <col min="6686" max="6686" width="8.7109375" style="215" customWidth="1"/>
    <col min="6687" max="6687" width="13.7109375" style="215" customWidth="1"/>
    <col min="6688" max="6688" width="8.7109375" style="215" customWidth="1"/>
    <col min="6689" max="6689" width="13.7109375" style="215" customWidth="1"/>
    <col min="6690" max="6690" width="9.7109375" style="215" customWidth="1"/>
    <col min="6691" max="6691" width="13.7109375" style="215" customWidth="1"/>
    <col min="6692" max="6692" width="10.7109375" style="215" customWidth="1"/>
    <col min="6693" max="6693" width="13.7109375" style="215" customWidth="1"/>
    <col min="6694" max="6694" width="11.5703125" style="215" customWidth="1"/>
    <col min="6695" max="6695" width="13.7109375" style="215" customWidth="1"/>
    <col min="6696" max="6696" width="10.7109375" style="215" customWidth="1"/>
    <col min="6697" max="6697" width="12.42578125" style="215" bestFit="1" customWidth="1"/>
    <col min="6698" max="6698" width="22.7109375" style="215" customWidth="1"/>
    <col min="6699" max="6699" width="22" style="215" bestFit="1" customWidth="1"/>
    <col min="6700" max="6700" width="12.7109375" style="215" customWidth="1"/>
    <col min="6701" max="6701" width="20.5703125" style="215" customWidth="1"/>
    <col min="6702" max="6702" width="12.7109375" style="215" customWidth="1"/>
    <col min="6703" max="6703" width="20.7109375" style="215" customWidth="1"/>
    <col min="6704" max="6704" width="12.7109375" style="215" customWidth="1"/>
    <col min="6705" max="6705" width="20.7109375" style="215" customWidth="1"/>
    <col min="6706" max="6706" width="12.7109375" style="215" customWidth="1"/>
    <col min="6707" max="6707" width="20.7109375" style="215" customWidth="1"/>
    <col min="6708" max="6708" width="12.7109375" style="215" customWidth="1"/>
    <col min="6709" max="6709" width="20.7109375" style="215" customWidth="1"/>
    <col min="6710" max="6710" width="12.7109375" style="215" customWidth="1"/>
    <col min="6711" max="6711" width="20.7109375" style="215" customWidth="1"/>
    <col min="6712" max="6712" width="12.7109375" style="215" customWidth="1"/>
    <col min="6713" max="6913" width="9.140625" style="215"/>
    <col min="6914" max="6914" width="6.140625" style="215" customWidth="1"/>
    <col min="6915" max="6915" width="5" style="215" customWidth="1"/>
    <col min="6916" max="6916" width="35" style="215" customWidth="1"/>
    <col min="6917" max="6917" width="13.7109375" style="215" customWidth="1"/>
    <col min="6918" max="6918" width="9.7109375" style="215" customWidth="1"/>
    <col min="6919" max="6919" width="13.7109375" style="215" customWidth="1"/>
    <col min="6920" max="6920" width="11.7109375" style="215" customWidth="1"/>
    <col min="6921" max="6921" width="13.7109375" style="215" customWidth="1"/>
    <col min="6922" max="6922" width="8.42578125" style="215" customWidth="1"/>
    <col min="6923" max="6923" width="13.7109375" style="215" customWidth="1"/>
    <col min="6924" max="6924" width="8.7109375" style="215" customWidth="1"/>
    <col min="6925" max="6925" width="13.7109375" style="215" customWidth="1"/>
    <col min="6926" max="6926" width="8.7109375" style="215" customWidth="1"/>
    <col min="6927" max="6927" width="13.7109375" style="215" customWidth="1"/>
    <col min="6928" max="6928" width="8.7109375" style="215" customWidth="1"/>
    <col min="6929" max="6929" width="13.7109375" style="215" customWidth="1"/>
    <col min="6930" max="6930" width="8.42578125" style="215" customWidth="1"/>
    <col min="6931" max="6931" width="13.7109375" style="215" customWidth="1"/>
    <col min="6932" max="6932" width="8.7109375" style="215" customWidth="1"/>
    <col min="6933" max="6933" width="13.7109375" style="215" customWidth="1"/>
    <col min="6934" max="6934" width="8.7109375" style="215" customWidth="1"/>
    <col min="6935" max="6935" width="13.7109375" style="215" customWidth="1"/>
    <col min="6936" max="6936" width="8.7109375" style="215" customWidth="1"/>
    <col min="6937" max="6937" width="13.7109375" style="215" customWidth="1"/>
    <col min="6938" max="6938" width="8.7109375" style="215" customWidth="1"/>
    <col min="6939" max="6939" width="13.7109375" style="215" customWidth="1"/>
    <col min="6940" max="6940" width="8.7109375" style="215" customWidth="1"/>
    <col min="6941" max="6941" width="13.7109375" style="215" customWidth="1"/>
    <col min="6942" max="6942" width="8.7109375" style="215" customWidth="1"/>
    <col min="6943" max="6943" width="13.7109375" style="215" customWidth="1"/>
    <col min="6944" max="6944" width="8.7109375" style="215" customWidth="1"/>
    <col min="6945" max="6945" width="13.7109375" style="215" customWidth="1"/>
    <col min="6946" max="6946" width="9.7109375" style="215" customWidth="1"/>
    <col min="6947" max="6947" width="13.7109375" style="215" customWidth="1"/>
    <col min="6948" max="6948" width="10.7109375" style="215" customWidth="1"/>
    <col min="6949" max="6949" width="13.7109375" style="215" customWidth="1"/>
    <col min="6950" max="6950" width="11.5703125" style="215" customWidth="1"/>
    <col min="6951" max="6951" width="13.7109375" style="215" customWidth="1"/>
    <col min="6952" max="6952" width="10.7109375" style="215" customWidth="1"/>
    <col min="6953" max="6953" width="12.42578125" style="215" bestFit="1" customWidth="1"/>
    <col min="6954" max="6954" width="22.7109375" style="215" customWidth="1"/>
    <col min="6955" max="6955" width="22" style="215" bestFit="1" customWidth="1"/>
    <col min="6956" max="6956" width="12.7109375" style="215" customWidth="1"/>
    <col min="6957" max="6957" width="20.5703125" style="215" customWidth="1"/>
    <col min="6958" max="6958" width="12.7109375" style="215" customWidth="1"/>
    <col min="6959" max="6959" width="20.7109375" style="215" customWidth="1"/>
    <col min="6960" max="6960" width="12.7109375" style="215" customWidth="1"/>
    <col min="6961" max="6961" width="20.7109375" style="215" customWidth="1"/>
    <col min="6962" max="6962" width="12.7109375" style="215" customWidth="1"/>
    <col min="6963" max="6963" width="20.7109375" style="215" customWidth="1"/>
    <col min="6964" max="6964" width="12.7109375" style="215" customWidth="1"/>
    <col min="6965" max="6965" width="20.7109375" style="215" customWidth="1"/>
    <col min="6966" max="6966" width="12.7109375" style="215" customWidth="1"/>
    <col min="6967" max="6967" width="20.7109375" style="215" customWidth="1"/>
    <col min="6968" max="6968" width="12.7109375" style="215" customWidth="1"/>
    <col min="6969" max="7169" width="9.140625" style="215"/>
    <col min="7170" max="7170" width="6.140625" style="215" customWidth="1"/>
    <col min="7171" max="7171" width="5" style="215" customWidth="1"/>
    <col min="7172" max="7172" width="35" style="215" customWidth="1"/>
    <col min="7173" max="7173" width="13.7109375" style="215" customWidth="1"/>
    <col min="7174" max="7174" width="9.7109375" style="215" customWidth="1"/>
    <col min="7175" max="7175" width="13.7109375" style="215" customWidth="1"/>
    <col min="7176" max="7176" width="11.7109375" style="215" customWidth="1"/>
    <col min="7177" max="7177" width="13.7109375" style="215" customWidth="1"/>
    <col min="7178" max="7178" width="8.42578125" style="215" customWidth="1"/>
    <col min="7179" max="7179" width="13.7109375" style="215" customWidth="1"/>
    <col min="7180" max="7180" width="8.7109375" style="215" customWidth="1"/>
    <col min="7181" max="7181" width="13.7109375" style="215" customWidth="1"/>
    <col min="7182" max="7182" width="8.7109375" style="215" customWidth="1"/>
    <col min="7183" max="7183" width="13.7109375" style="215" customWidth="1"/>
    <col min="7184" max="7184" width="8.7109375" style="215" customWidth="1"/>
    <col min="7185" max="7185" width="13.7109375" style="215" customWidth="1"/>
    <col min="7186" max="7186" width="8.42578125" style="215" customWidth="1"/>
    <col min="7187" max="7187" width="13.7109375" style="215" customWidth="1"/>
    <col min="7188" max="7188" width="8.7109375" style="215" customWidth="1"/>
    <col min="7189" max="7189" width="13.7109375" style="215" customWidth="1"/>
    <col min="7190" max="7190" width="8.7109375" style="215" customWidth="1"/>
    <col min="7191" max="7191" width="13.7109375" style="215" customWidth="1"/>
    <col min="7192" max="7192" width="8.7109375" style="215" customWidth="1"/>
    <col min="7193" max="7193" width="13.7109375" style="215" customWidth="1"/>
    <col min="7194" max="7194" width="8.7109375" style="215" customWidth="1"/>
    <col min="7195" max="7195" width="13.7109375" style="215" customWidth="1"/>
    <col min="7196" max="7196" width="8.7109375" style="215" customWidth="1"/>
    <col min="7197" max="7197" width="13.7109375" style="215" customWidth="1"/>
    <col min="7198" max="7198" width="8.7109375" style="215" customWidth="1"/>
    <col min="7199" max="7199" width="13.7109375" style="215" customWidth="1"/>
    <col min="7200" max="7200" width="8.7109375" style="215" customWidth="1"/>
    <col min="7201" max="7201" width="13.7109375" style="215" customWidth="1"/>
    <col min="7202" max="7202" width="9.7109375" style="215" customWidth="1"/>
    <col min="7203" max="7203" width="13.7109375" style="215" customWidth="1"/>
    <col min="7204" max="7204" width="10.7109375" style="215" customWidth="1"/>
    <col min="7205" max="7205" width="13.7109375" style="215" customWidth="1"/>
    <col min="7206" max="7206" width="11.5703125" style="215" customWidth="1"/>
    <col min="7207" max="7207" width="13.7109375" style="215" customWidth="1"/>
    <col min="7208" max="7208" width="10.7109375" style="215" customWidth="1"/>
    <col min="7209" max="7209" width="12.42578125" style="215" bestFit="1" customWidth="1"/>
    <col min="7210" max="7210" width="22.7109375" style="215" customWidth="1"/>
    <col min="7211" max="7211" width="22" style="215" bestFit="1" customWidth="1"/>
    <col min="7212" max="7212" width="12.7109375" style="215" customWidth="1"/>
    <col min="7213" max="7213" width="20.5703125" style="215" customWidth="1"/>
    <col min="7214" max="7214" width="12.7109375" style="215" customWidth="1"/>
    <col min="7215" max="7215" width="20.7109375" style="215" customWidth="1"/>
    <col min="7216" max="7216" width="12.7109375" style="215" customWidth="1"/>
    <col min="7217" max="7217" width="20.7109375" style="215" customWidth="1"/>
    <col min="7218" max="7218" width="12.7109375" style="215" customWidth="1"/>
    <col min="7219" max="7219" width="20.7109375" style="215" customWidth="1"/>
    <col min="7220" max="7220" width="12.7109375" style="215" customWidth="1"/>
    <col min="7221" max="7221" width="20.7109375" style="215" customWidth="1"/>
    <col min="7222" max="7222" width="12.7109375" style="215" customWidth="1"/>
    <col min="7223" max="7223" width="20.7109375" style="215" customWidth="1"/>
    <col min="7224" max="7224" width="12.7109375" style="215" customWidth="1"/>
    <col min="7225" max="7425" width="9.140625" style="215"/>
    <col min="7426" max="7426" width="6.140625" style="215" customWidth="1"/>
    <col min="7427" max="7427" width="5" style="215" customWidth="1"/>
    <col min="7428" max="7428" width="35" style="215" customWidth="1"/>
    <col min="7429" max="7429" width="13.7109375" style="215" customWidth="1"/>
    <col min="7430" max="7430" width="9.7109375" style="215" customWidth="1"/>
    <col min="7431" max="7431" width="13.7109375" style="215" customWidth="1"/>
    <col min="7432" max="7432" width="11.7109375" style="215" customWidth="1"/>
    <col min="7433" max="7433" width="13.7109375" style="215" customWidth="1"/>
    <col min="7434" max="7434" width="8.42578125" style="215" customWidth="1"/>
    <col min="7435" max="7435" width="13.7109375" style="215" customWidth="1"/>
    <col min="7436" max="7436" width="8.7109375" style="215" customWidth="1"/>
    <col min="7437" max="7437" width="13.7109375" style="215" customWidth="1"/>
    <col min="7438" max="7438" width="8.7109375" style="215" customWidth="1"/>
    <col min="7439" max="7439" width="13.7109375" style="215" customWidth="1"/>
    <col min="7440" max="7440" width="8.7109375" style="215" customWidth="1"/>
    <col min="7441" max="7441" width="13.7109375" style="215" customWidth="1"/>
    <col min="7442" max="7442" width="8.42578125" style="215" customWidth="1"/>
    <col min="7443" max="7443" width="13.7109375" style="215" customWidth="1"/>
    <col min="7444" max="7444" width="8.7109375" style="215" customWidth="1"/>
    <col min="7445" max="7445" width="13.7109375" style="215" customWidth="1"/>
    <col min="7446" max="7446" width="8.7109375" style="215" customWidth="1"/>
    <col min="7447" max="7447" width="13.7109375" style="215" customWidth="1"/>
    <col min="7448" max="7448" width="8.7109375" style="215" customWidth="1"/>
    <col min="7449" max="7449" width="13.7109375" style="215" customWidth="1"/>
    <col min="7450" max="7450" width="8.7109375" style="215" customWidth="1"/>
    <col min="7451" max="7451" width="13.7109375" style="215" customWidth="1"/>
    <col min="7452" max="7452" width="8.7109375" style="215" customWidth="1"/>
    <col min="7453" max="7453" width="13.7109375" style="215" customWidth="1"/>
    <col min="7454" max="7454" width="8.7109375" style="215" customWidth="1"/>
    <col min="7455" max="7455" width="13.7109375" style="215" customWidth="1"/>
    <col min="7456" max="7456" width="8.7109375" style="215" customWidth="1"/>
    <col min="7457" max="7457" width="13.7109375" style="215" customWidth="1"/>
    <col min="7458" max="7458" width="9.7109375" style="215" customWidth="1"/>
    <col min="7459" max="7459" width="13.7109375" style="215" customWidth="1"/>
    <col min="7460" max="7460" width="10.7109375" style="215" customWidth="1"/>
    <col min="7461" max="7461" width="13.7109375" style="215" customWidth="1"/>
    <col min="7462" max="7462" width="11.5703125" style="215" customWidth="1"/>
    <col min="7463" max="7463" width="13.7109375" style="215" customWidth="1"/>
    <col min="7464" max="7464" width="10.7109375" style="215" customWidth="1"/>
    <col min="7465" max="7465" width="12.42578125" style="215" bestFit="1" customWidth="1"/>
    <col min="7466" max="7466" width="22.7109375" style="215" customWidth="1"/>
    <col min="7467" max="7467" width="22" style="215" bestFit="1" customWidth="1"/>
    <col min="7468" max="7468" width="12.7109375" style="215" customWidth="1"/>
    <col min="7469" max="7469" width="20.5703125" style="215" customWidth="1"/>
    <col min="7470" max="7470" width="12.7109375" style="215" customWidth="1"/>
    <col min="7471" max="7471" width="20.7109375" style="215" customWidth="1"/>
    <col min="7472" max="7472" width="12.7109375" style="215" customWidth="1"/>
    <col min="7473" max="7473" width="20.7109375" style="215" customWidth="1"/>
    <col min="7474" max="7474" width="12.7109375" style="215" customWidth="1"/>
    <col min="7475" max="7475" width="20.7109375" style="215" customWidth="1"/>
    <col min="7476" max="7476" width="12.7109375" style="215" customWidth="1"/>
    <col min="7477" max="7477" width="20.7109375" style="215" customWidth="1"/>
    <col min="7478" max="7478" width="12.7109375" style="215" customWidth="1"/>
    <col min="7479" max="7479" width="20.7109375" style="215" customWidth="1"/>
    <col min="7480" max="7480" width="12.7109375" style="215" customWidth="1"/>
    <col min="7481" max="7681" width="9.140625" style="215"/>
    <col min="7682" max="7682" width="6.140625" style="215" customWidth="1"/>
    <col min="7683" max="7683" width="5" style="215" customWidth="1"/>
    <col min="7684" max="7684" width="35" style="215" customWidth="1"/>
    <col min="7685" max="7685" width="13.7109375" style="215" customWidth="1"/>
    <col min="7686" max="7686" width="9.7109375" style="215" customWidth="1"/>
    <col min="7687" max="7687" width="13.7109375" style="215" customWidth="1"/>
    <col min="7688" max="7688" width="11.7109375" style="215" customWidth="1"/>
    <col min="7689" max="7689" width="13.7109375" style="215" customWidth="1"/>
    <col min="7690" max="7690" width="8.42578125" style="215" customWidth="1"/>
    <col min="7691" max="7691" width="13.7109375" style="215" customWidth="1"/>
    <col min="7692" max="7692" width="8.7109375" style="215" customWidth="1"/>
    <col min="7693" max="7693" width="13.7109375" style="215" customWidth="1"/>
    <col min="7694" max="7694" width="8.7109375" style="215" customWidth="1"/>
    <col min="7695" max="7695" width="13.7109375" style="215" customWidth="1"/>
    <col min="7696" max="7696" width="8.7109375" style="215" customWidth="1"/>
    <col min="7697" max="7697" width="13.7109375" style="215" customWidth="1"/>
    <col min="7698" max="7698" width="8.42578125" style="215" customWidth="1"/>
    <col min="7699" max="7699" width="13.7109375" style="215" customWidth="1"/>
    <col min="7700" max="7700" width="8.7109375" style="215" customWidth="1"/>
    <col min="7701" max="7701" width="13.7109375" style="215" customWidth="1"/>
    <col min="7702" max="7702" width="8.7109375" style="215" customWidth="1"/>
    <col min="7703" max="7703" width="13.7109375" style="215" customWidth="1"/>
    <col min="7704" max="7704" width="8.7109375" style="215" customWidth="1"/>
    <col min="7705" max="7705" width="13.7109375" style="215" customWidth="1"/>
    <col min="7706" max="7706" width="8.7109375" style="215" customWidth="1"/>
    <col min="7707" max="7707" width="13.7109375" style="215" customWidth="1"/>
    <col min="7708" max="7708" width="8.7109375" style="215" customWidth="1"/>
    <col min="7709" max="7709" width="13.7109375" style="215" customWidth="1"/>
    <col min="7710" max="7710" width="8.7109375" style="215" customWidth="1"/>
    <col min="7711" max="7711" width="13.7109375" style="215" customWidth="1"/>
    <col min="7712" max="7712" width="8.7109375" style="215" customWidth="1"/>
    <col min="7713" max="7713" width="13.7109375" style="215" customWidth="1"/>
    <col min="7714" max="7714" width="9.7109375" style="215" customWidth="1"/>
    <col min="7715" max="7715" width="13.7109375" style="215" customWidth="1"/>
    <col min="7716" max="7716" width="10.7109375" style="215" customWidth="1"/>
    <col min="7717" max="7717" width="13.7109375" style="215" customWidth="1"/>
    <col min="7718" max="7718" width="11.5703125" style="215" customWidth="1"/>
    <col min="7719" max="7719" width="13.7109375" style="215" customWidth="1"/>
    <col min="7720" max="7720" width="10.7109375" style="215" customWidth="1"/>
    <col min="7721" max="7721" width="12.42578125" style="215" bestFit="1" customWidth="1"/>
    <col min="7722" max="7722" width="22.7109375" style="215" customWidth="1"/>
    <col min="7723" max="7723" width="22" style="215" bestFit="1" customWidth="1"/>
    <col min="7724" max="7724" width="12.7109375" style="215" customWidth="1"/>
    <col min="7725" max="7725" width="20.5703125" style="215" customWidth="1"/>
    <col min="7726" max="7726" width="12.7109375" style="215" customWidth="1"/>
    <col min="7727" max="7727" width="20.7109375" style="215" customWidth="1"/>
    <col min="7728" max="7728" width="12.7109375" style="215" customWidth="1"/>
    <col min="7729" max="7729" width="20.7109375" style="215" customWidth="1"/>
    <col min="7730" max="7730" width="12.7109375" style="215" customWidth="1"/>
    <col min="7731" max="7731" width="20.7109375" style="215" customWidth="1"/>
    <col min="7732" max="7732" width="12.7109375" style="215" customWidth="1"/>
    <col min="7733" max="7733" width="20.7109375" style="215" customWidth="1"/>
    <col min="7734" max="7734" width="12.7109375" style="215" customWidth="1"/>
    <col min="7735" max="7735" width="20.7109375" style="215" customWidth="1"/>
    <col min="7736" max="7736" width="12.7109375" style="215" customWidth="1"/>
    <col min="7737" max="7937" width="9.140625" style="215"/>
    <col min="7938" max="7938" width="6.140625" style="215" customWidth="1"/>
    <col min="7939" max="7939" width="5" style="215" customWidth="1"/>
    <col min="7940" max="7940" width="35" style="215" customWidth="1"/>
    <col min="7941" max="7941" width="13.7109375" style="215" customWidth="1"/>
    <col min="7942" max="7942" width="9.7109375" style="215" customWidth="1"/>
    <col min="7943" max="7943" width="13.7109375" style="215" customWidth="1"/>
    <col min="7944" max="7944" width="11.7109375" style="215" customWidth="1"/>
    <col min="7945" max="7945" width="13.7109375" style="215" customWidth="1"/>
    <col min="7946" max="7946" width="8.42578125" style="215" customWidth="1"/>
    <col min="7947" max="7947" width="13.7109375" style="215" customWidth="1"/>
    <col min="7948" max="7948" width="8.7109375" style="215" customWidth="1"/>
    <col min="7949" max="7949" width="13.7109375" style="215" customWidth="1"/>
    <col min="7950" max="7950" width="8.7109375" style="215" customWidth="1"/>
    <col min="7951" max="7951" width="13.7109375" style="215" customWidth="1"/>
    <col min="7952" max="7952" width="8.7109375" style="215" customWidth="1"/>
    <col min="7953" max="7953" width="13.7109375" style="215" customWidth="1"/>
    <col min="7954" max="7954" width="8.42578125" style="215" customWidth="1"/>
    <col min="7955" max="7955" width="13.7109375" style="215" customWidth="1"/>
    <col min="7956" max="7956" width="8.7109375" style="215" customWidth="1"/>
    <col min="7957" max="7957" width="13.7109375" style="215" customWidth="1"/>
    <col min="7958" max="7958" width="8.7109375" style="215" customWidth="1"/>
    <col min="7959" max="7959" width="13.7109375" style="215" customWidth="1"/>
    <col min="7960" max="7960" width="8.7109375" style="215" customWidth="1"/>
    <col min="7961" max="7961" width="13.7109375" style="215" customWidth="1"/>
    <col min="7962" max="7962" width="8.7109375" style="215" customWidth="1"/>
    <col min="7963" max="7963" width="13.7109375" style="215" customWidth="1"/>
    <col min="7964" max="7964" width="8.7109375" style="215" customWidth="1"/>
    <col min="7965" max="7965" width="13.7109375" style="215" customWidth="1"/>
    <col min="7966" max="7966" width="8.7109375" style="215" customWidth="1"/>
    <col min="7967" max="7967" width="13.7109375" style="215" customWidth="1"/>
    <col min="7968" max="7968" width="8.7109375" style="215" customWidth="1"/>
    <col min="7969" max="7969" width="13.7109375" style="215" customWidth="1"/>
    <col min="7970" max="7970" width="9.7109375" style="215" customWidth="1"/>
    <col min="7971" max="7971" width="13.7109375" style="215" customWidth="1"/>
    <col min="7972" max="7972" width="10.7109375" style="215" customWidth="1"/>
    <col min="7973" max="7973" width="13.7109375" style="215" customWidth="1"/>
    <col min="7974" max="7974" width="11.5703125" style="215" customWidth="1"/>
    <col min="7975" max="7975" width="13.7109375" style="215" customWidth="1"/>
    <col min="7976" max="7976" width="10.7109375" style="215" customWidth="1"/>
    <col min="7977" max="7977" width="12.42578125" style="215" bestFit="1" customWidth="1"/>
    <col min="7978" max="7978" width="22.7109375" style="215" customWidth="1"/>
    <col min="7979" max="7979" width="22" style="215" bestFit="1" customWidth="1"/>
    <col min="7980" max="7980" width="12.7109375" style="215" customWidth="1"/>
    <col min="7981" max="7981" width="20.5703125" style="215" customWidth="1"/>
    <col min="7982" max="7982" width="12.7109375" style="215" customWidth="1"/>
    <col min="7983" max="7983" width="20.7109375" style="215" customWidth="1"/>
    <col min="7984" max="7984" width="12.7109375" style="215" customWidth="1"/>
    <col min="7985" max="7985" width="20.7109375" style="215" customWidth="1"/>
    <col min="7986" max="7986" width="12.7109375" style="215" customWidth="1"/>
    <col min="7987" max="7987" width="20.7109375" style="215" customWidth="1"/>
    <col min="7988" max="7988" width="12.7109375" style="215" customWidth="1"/>
    <col min="7989" max="7989" width="20.7109375" style="215" customWidth="1"/>
    <col min="7990" max="7990" width="12.7109375" style="215" customWidth="1"/>
    <col min="7991" max="7991" width="20.7109375" style="215" customWidth="1"/>
    <col min="7992" max="7992" width="12.7109375" style="215" customWidth="1"/>
    <col min="7993" max="8193" width="9.140625" style="215"/>
    <col min="8194" max="8194" width="6.140625" style="215" customWidth="1"/>
    <col min="8195" max="8195" width="5" style="215" customWidth="1"/>
    <col min="8196" max="8196" width="35" style="215" customWidth="1"/>
    <col min="8197" max="8197" width="13.7109375" style="215" customWidth="1"/>
    <col min="8198" max="8198" width="9.7109375" style="215" customWidth="1"/>
    <col min="8199" max="8199" width="13.7109375" style="215" customWidth="1"/>
    <col min="8200" max="8200" width="11.7109375" style="215" customWidth="1"/>
    <col min="8201" max="8201" width="13.7109375" style="215" customWidth="1"/>
    <col min="8202" max="8202" width="8.42578125" style="215" customWidth="1"/>
    <col min="8203" max="8203" width="13.7109375" style="215" customWidth="1"/>
    <col min="8204" max="8204" width="8.7109375" style="215" customWidth="1"/>
    <col min="8205" max="8205" width="13.7109375" style="215" customWidth="1"/>
    <col min="8206" max="8206" width="8.7109375" style="215" customWidth="1"/>
    <col min="8207" max="8207" width="13.7109375" style="215" customWidth="1"/>
    <col min="8208" max="8208" width="8.7109375" style="215" customWidth="1"/>
    <col min="8209" max="8209" width="13.7109375" style="215" customWidth="1"/>
    <col min="8210" max="8210" width="8.42578125" style="215" customWidth="1"/>
    <col min="8211" max="8211" width="13.7109375" style="215" customWidth="1"/>
    <col min="8212" max="8212" width="8.7109375" style="215" customWidth="1"/>
    <col min="8213" max="8213" width="13.7109375" style="215" customWidth="1"/>
    <col min="8214" max="8214" width="8.7109375" style="215" customWidth="1"/>
    <col min="8215" max="8215" width="13.7109375" style="215" customWidth="1"/>
    <col min="8216" max="8216" width="8.7109375" style="215" customWidth="1"/>
    <col min="8217" max="8217" width="13.7109375" style="215" customWidth="1"/>
    <col min="8218" max="8218" width="8.7109375" style="215" customWidth="1"/>
    <col min="8219" max="8219" width="13.7109375" style="215" customWidth="1"/>
    <col min="8220" max="8220" width="8.7109375" style="215" customWidth="1"/>
    <col min="8221" max="8221" width="13.7109375" style="215" customWidth="1"/>
    <col min="8222" max="8222" width="8.7109375" style="215" customWidth="1"/>
    <col min="8223" max="8223" width="13.7109375" style="215" customWidth="1"/>
    <col min="8224" max="8224" width="8.7109375" style="215" customWidth="1"/>
    <col min="8225" max="8225" width="13.7109375" style="215" customWidth="1"/>
    <col min="8226" max="8226" width="9.7109375" style="215" customWidth="1"/>
    <col min="8227" max="8227" width="13.7109375" style="215" customWidth="1"/>
    <col min="8228" max="8228" width="10.7109375" style="215" customWidth="1"/>
    <col min="8229" max="8229" width="13.7109375" style="215" customWidth="1"/>
    <col min="8230" max="8230" width="11.5703125" style="215" customWidth="1"/>
    <col min="8231" max="8231" width="13.7109375" style="215" customWidth="1"/>
    <col min="8232" max="8232" width="10.7109375" style="215" customWidth="1"/>
    <col min="8233" max="8233" width="12.42578125" style="215" bestFit="1" customWidth="1"/>
    <col min="8234" max="8234" width="22.7109375" style="215" customWidth="1"/>
    <col min="8235" max="8235" width="22" style="215" bestFit="1" customWidth="1"/>
    <col min="8236" max="8236" width="12.7109375" style="215" customWidth="1"/>
    <col min="8237" max="8237" width="20.5703125" style="215" customWidth="1"/>
    <col min="8238" max="8238" width="12.7109375" style="215" customWidth="1"/>
    <col min="8239" max="8239" width="20.7109375" style="215" customWidth="1"/>
    <col min="8240" max="8240" width="12.7109375" style="215" customWidth="1"/>
    <col min="8241" max="8241" width="20.7109375" style="215" customWidth="1"/>
    <col min="8242" max="8242" width="12.7109375" style="215" customWidth="1"/>
    <col min="8243" max="8243" width="20.7109375" style="215" customWidth="1"/>
    <col min="8244" max="8244" width="12.7109375" style="215" customWidth="1"/>
    <col min="8245" max="8245" width="20.7109375" style="215" customWidth="1"/>
    <col min="8246" max="8246" width="12.7109375" style="215" customWidth="1"/>
    <col min="8247" max="8247" width="20.7109375" style="215" customWidth="1"/>
    <col min="8248" max="8248" width="12.7109375" style="215" customWidth="1"/>
    <col min="8249" max="8449" width="9.140625" style="215"/>
    <col min="8450" max="8450" width="6.140625" style="215" customWidth="1"/>
    <col min="8451" max="8451" width="5" style="215" customWidth="1"/>
    <col min="8452" max="8452" width="35" style="215" customWidth="1"/>
    <col min="8453" max="8453" width="13.7109375" style="215" customWidth="1"/>
    <col min="8454" max="8454" width="9.7109375" style="215" customWidth="1"/>
    <col min="8455" max="8455" width="13.7109375" style="215" customWidth="1"/>
    <col min="8456" max="8456" width="11.7109375" style="215" customWidth="1"/>
    <col min="8457" max="8457" width="13.7109375" style="215" customWidth="1"/>
    <col min="8458" max="8458" width="8.42578125" style="215" customWidth="1"/>
    <col min="8459" max="8459" width="13.7109375" style="215" customWidth="1"/>
    <col min="8460" max="8460" width="8.7109375" style="215" customWidth="1"/>
    <col min="8461" max="8461" width="13.7109375" style="215" customWidth="1"/>
    <col min="8462" max="8462" width="8.7109375" style="215" customWidth="1"/>
    <col min="8463" max="8463" width="13.7109375" style="215" customWidth="1"/>
    <col min="8464" max="8464" width="8.7109375" style="215" customWidth="1"/>
    <col min="8465" max="8465" width="13.7109375" style="215" customWidth="1"/>
    <col min="8466" max="8466" width="8.42578125" style="215" customWidth="1"/>
    <col min="8467" max="8467" width="13.7109375" style="215" customWidth="1"/>
    <col min="8468" max="8468" width="8.7109375" style="215" customWidth="1"/>
    <col min="8469" max="8469" width="13.7109375" style="215" customWidth="1"/>
    <col min="8470" max="8470" width="8.7109375" style="215" customWidth="1"/>
    <col min="8471" max="8471" width="13.7109375" style="215" customWidth="1"/>
    <col min="8472" max="8472" width="8.7109375" style="215" customWidth="1"/>
    <col min="8473" max="8473" width="13.7109375" style="215" customWidth="1"/>
    <col min="8474" max="8474" width="8.7109375" style="215" customWidth="1"/>
    <col min="8475" max="8475" width="13.7109375" style="215" customWidth="1"/>
    <col min="8476" max="8476" width="8.7109375" style="215" customWidth="1"/>
    <col min="8477" max="8477" width="13.7109375" style="215" customWidth="1"/>
    <col min="8478" max="8478" width="8.7109375" style="215" customWidth="1"/>
    <col min="8479" max="8479" width="13.7109375" style="215" customWidth="1"/>
    <col min="8480" max="8480" width="8.7109375" style="215" customWidth="1"/>
    <col min="8481" max="8481" width="13.7109375" style="215" customWidth="1"/>
    <col min="8482" max="8482" width="9.7109375" style="215" customWidth="1"/>
    <col min="8483" max="8483" width="13.7109375" style="215" customWidth="1"/>
    <col min="8484" max="8484" width="10.7109375" style="215" customWidth="1"/>
    <col min="8485" max="8485" width="13.7109375" style="215" customWidth="1"/>
    <col min="8486" max="8486" width="11.5703125" style="215" customWidth="1"/>
    <col min="8487" max="8487" width="13.7109375" style="215" customWidth="1"/>
    <col min="8488" max="8488" width="10.7109375" style="215" customWidth="1"/>
    <col min="8489" max="8489" width="12.42578125" style="215" bestFit="1" customWidth="1"/>
    <col min="8490" max="8490" width="22.7109375" style="215" customWidth="1"/>
    <col min="8491" max="8491" width="22" style="215" bestFit="1" customWidth="1"/>
    <col min="8492" max="8492" width="12.7109375" style="215" customWidth="1"/>
    <col min="8493" max="8493" width="20.5703125" style="215" customWidth="1"/>
    <col min="8494" max="8494" width="12.7109375" style="215" customWidth="1"/>
    <col min="8495" max="8495" width="20.7109375" style="215" customWidth="1"/>
    <col min="8496" max="8496" width="12.7109375" style="215" customWidth="1"/>
    <col min="8497" max="8497" width="20.7109375" style="215" customWidth="1"/>
    <col min="8498" max="8498" width="12.7109375" style="215" customWidth="1"/>
    <col min="8499" max="8499" width="20.7109375" style="215" customWidth="1"/>
    <col min="8500" max="8500" width="12.7109375" style="215" customWidth="1"/>
    <col min="8501" max="8501" width="20.7109375" style="215" customWidth="1"/>
    <col min="8502" max="8502" width="12.7109375" style="215" customWidth="1"/>
    <col min="8503" max="8503" width="20.7109375" style="215" customWidth="1"/>
    <col min="8504" max="8504" width="12.7109375" style="215" customWidth="1"/>
    <col min="8505" max="8705" width="9.140625" style="215"/>
    <col min="8706" max="8706" width="6.140625" style="215" customWidth="1"/>
    <col min="8707" max="8707" width="5" style="215" customWidth="1"/>
    <col min="8708" max="8708" width="35" style="215" customWidth="1"/>
    <col min="8709" max="8709" width="13.7109375" style="215" customWidth="1"/>
    <col min="8710" max="8710" width="9.7109375" style="215" customWidth="1"/>
    <col min="8711" max="8711" width="13.7109375" style="215" customWidth="1"/>
    <col min="8712" max="8712" width="11.7109375" style="215" customWidth="1"/>
    <col min="8713" max="8713" width="13.7109375" style="215" customWidth="1"/>
    <col min="8714" max="8714" width="8.42578125" style="215" customWidth="1"/>
    <col min="8715" max="8715" width="13.7109375" style="215" customWidth="1"/>
    <col min="8716" max="8716" width="8.7109375" style="215" customWidth="1"/>
    <col min="8717" max="8717" width="13.7109375" style="215" customWidth="1"/>
    <col min="8718" max="8718" width="8.7109375" style="215" customWidth="1"/>
    <col min="8719" max="8719" width="13.7109375" style="215" customWidth="1"/>
    <col min="8720" max="8720" width="8.7109375" style="215" customWidth="1"/>
    <col min="8721" max="8721" width="13.7109375" style="215" customWidth="1"/>
    <col min="8722" max="8722" width="8.42578125" style="215" customWidth="1"/>
    <col min="8723" max="8723" width="13.7109375" style="215" customWidth="1"/>
    <col min="8724" max="8724" width="8.7109375" style="215" customWidth="1"/>
    <col min="8725" max="8725" width="13.7109375" style="215" customWidth="1"/>
    <col min="8726" max="8726" width="8.7109375" style="215" customWidth="1"/>
    <col min="8727" max="8727" width="13.7109375" style="215" customWidth="1"/>
    <col min="8728" max="8728" width="8.7109375" style="215" customWidth="1"/>
    <col min="8729" max="8729" width="13.7109375" style="215" customWidth="1"/>
    <col min="8730" max="8730" width="8.7109375" style="215" customWidth="1"/>
    <col min="8731" max="8731" width="13.7109375" style="215" customWidth="1"/>
    <col min="8732" max="8732" width="8.7109375" style="215" customWidth="1"/>
    <col min="8733" max="8733" width="13.7109375" style="215" customWidth="1"/>
    <col min="8734" max="8734" width="8.7109375" style="215" customWidth="1"/>
    <col min="8735" max="8735" width="13.7109375" style="215" customWidth="1"/>
    <col min="8736" max="8736" width="8.7109375" style="215" customWidth="1"/>
    <col min="8737" max="8737" width="13.7109375" style="215" customWidth="1"/>
    <col min="8738" max="8738" width="9.7109375" style="215" customWidth="1"/>
    <col min="8739" max="8739" width="13.7109375" style="215" customWidth="1"/>
    <col min="8740" max="8740" width="10.7109375" style="215" customWidth="1"/>
    <col min="8741" max="8741" width="13.7109375" style="215" customWidth="1"/>
    <col min="8742" max="8742" width="11.5703125" style="215" customWidth="1"/>
    <col min="8743" max="8743" width="13.7109375" style="215" customWidth="1"/>
    <col min="8744" max="8744" width="10.7109375" style="215" customWidth="1"/>
    <col min="8745" max="8745" width="12.42578125" style="215" bestFit="1" customWidth="1"/>
    <col min="8746" max="8746" width="22.7109375" style="215" customWidth="1"/>
    <col min="8747" max="8747" width="22" style="215" bestFit="1" customWidth="1"/>
    <col min="8748" max="8748" width="12.7109375" style="215" customWidth="1"/>
    <col min="8749" max="8749" width="20.5703125" style="215" customWidth="1"/>
    <col min="8750" max="8750" width="12.7109375" style="215" customWidth="1"/>
    <col min="8751" max="8751" width="20.7109375" style="215" customWidth="1"/>
    <col min="8752" max="8752" width="12.7109375" style="215" customWidth="1"/>
    <col min="8753" max="8753" width="20.7109375" style="215" customWidth="1"/>
    <col min="8754" max="8754" width="12.7109375" style="215" customWidth="1"/>
    <col min="8755" max="8755" width="20.7109375" style="215" customWidth="1"/>
    <col min="8756" max="8756" width="12.7109375" style="215" customWidth="1"/>
    <col min="8757" max="8757" width="20.7109375" style="215" customWidth="1"/>
    <col min="8758" max="8758" width="12.7109375" style="215" customWidth="1"/>
    <col min="8759" max="8759" width="20.7109375" style="215" customWidth="1"/>
    <col min="8760" max="8760" width="12.7109375" style="215" customWidth="1"/>
    <col min="8761" max="8961" width="9.140625" style="215"/>
    <col min="8962" max="8962" width="6.140625" style="215" customWidth="1"/>
    <col min="8963" max="8963" width="5" style="215" customWidth="1"/>
    <col min="8964" max="8964" width="35" style="215" customWidth="1"/>
    <col min="8965" max="8965" width="13.7109375" style="215" customWidth="1"/>
    <col min="8966" max="8966" width="9.7109375" style="215" customWidth="1"/>
    <col min="8967" max="8967" width="13.7109375" style="215" customWidth="1"/>
    <col min="8968" max="8968" width="11.7109375" style="215" customWidth="1"/>
    <col min="8969" max="8969" width="13.7109375" style="215" customWidth="1"/>
    <col min="8970" max="8970" width="8.42578125" style="215" customWidth="1"/>
    <col min="8971" max="8971" width="13.7109375" style="215" customWidth="1"/>
    <col min="8972" max="8972" width="8.7109375" style="215" customWidth="1"/>
    <col min="8973" max="8973" width="13.7109375" style="215" customWidth="1"/>
    <col min="8974" max="8974" width="8.7109375" style="215" customWidth="1"/>
    <col min="8975" max="8975" width="13.7109375" style="215" customWidth="1"/>
    <col min="8976" max="8976" width="8.7109375" style="215" customWidth="1"/>
    <col min="8977" max="8977" width="13.7109375" style="215" customWidth="1"/>
    <col min="8978" max="8978" width="8.42578125" style="215" customWidth="1"/>
    <col min="8979" max="8979" width="13.7109375" style="215" customWidth="1"/>
    <col min="8980" max="8980" width="8.7109375" style="215" customWidth="1"/>
    <col min="8981" max="8981" width="13.7109375" style="215" customWidth="1"/>
    <col min="8982" max="8982" width="8.7109375" style="215" customWidth="1"/>
    <col min="8983" max="8983" width="13.7109375" style="215" customWidth="1"/>
    <col min="8984" max="8984" width="8.7109375" style="215" customWidth="1"/>
    <col min="8985" max="8985" width="13.7109375" style="215" customWidth="1"/>
    <col min="8986" max="8986" width="8.7109375" style="215" customWidth="1"/>
    <col min="8987" max="8987" width="13.7109375" style="215" customWidth="1"/>
    <col min="8988" max="8988" width="8.7109375" style="215" customWidth="1"/>
    <col min="8989" max="8989" width="13.7109375" style="215" customWidth="1"/>
    <col min="8990" max="8990" width="8.7109375" style="215" customWidth="1"/>
    <col min="8991" max="8991" width="13.7109375" style="215" customWidth="1"/>
    <col min="8992" max="8992" width="8.7109375" style="215" customWidth="1"/>
    <col min="8993" max="8993" width="13.7109375" style="215" customWidth="1"/>
    <col min="8994" max="8994" width="9.7109375" style="215" customWidth="1"/>
    <col min="8995" max="8995" width="13.7109375" style="215" customWidth="1"/>
    <col min="8996" max="8996" width="10.7109375" style="215" customWidth="1"/>
    <col min="8997" max="8997" width="13.7109375" style="215" customWidth="1"/>
    <col min="8998" max="8998" width="11.5703125" style="215" customWidth="1"/>
    <col min="8999" max="8999" width="13.7109375" style="215" customWidth="1"/>
    <col min="9000" max="9000" width="10.7109375" style="215" customWidth="1"/>
    <col min="9001" max="9001" width="12.42578125" style="215" bestFit="1" customWidth="1"/>
    <col min="9002" max="9002" width="22.7109375" style="215" customWidth="1"/>
    <col min="9003" max="9003" width="22" style="215" bestFit="1" customWidth="1"/>
    <col min="9004" max="9004" width="12.7109375" style="215" customWidth="1"/>
    <col min="9005" max="9005" width="20.5703125" style="215" customWidth="1"/>
    <col min="9006" max="9006" width="12.7109375" style="215" customWidth="1"/>
    <col min="9007" max="9007" width="20.7109375" style="215" customWidth="1"/>
    <col min="9008" max="9008" width="12.7109375" style="215" customWidth="1"/>
    <col min="9009" max="9009" width="20.7109375" style="215" customWidth="1"/>
    <col min="9010" max="9010" width="12.7109375" style="215" customWidth="1"/>
    <col min="9011" max="9011" width="20.7109375" style="215" customWidth="1"/>
    <col min="9012" max="9012" width="12.7109375" style="215" customWidth="1"/>
    <col min="9013" max="9013" width="20.7109375" style="215" customWidth="1"/>
    <col min="9014" max="9014" width="12.7109375" style="215" customWidth="1"/>
    <col min="9015" max="9015" width="20.7109375" style="215" customWidth="1"/>
    <col min="9016" max="9016" width="12.7109375" style="215" customWidth="1"/>
    <col min="9017" max="9217" width="9.140625" style="215"/>
    <col min="9218" max="9218" width="6.140625" style="215" customWidth="1"/>
    <col min="9219" max="9219" width="5" style="215" customWidth="1"/>
    <col min="9220" max="9220" width="35" style="215" customWidth="1"/>
    <col min="9221" max="9221" width="13.7109375" style="215" customWidth="1"/>
    <col min="9222" max="9222" width="9.7109375" style="215" customWidth="1"/>
    <col min="9223" max="9223" width="13.7109375" style="215" customWidth="1"/>
    <col min="9224" max="9224" width="11.7109375" style="215" customWidth="1"/>
    <col min="9225" max="9225" width="13.7109375" style="215" customWidth="1"/>
    <col min="9226" max="9226" width="8.42578125" style="215" customWidth="1"/>
    <col min="9227" max="9227" width="13.7109375" style="215" customWidth="1"/>
    <col min="9228" max="9228" width="8.7109375" style="215" customWidth="1"/>
    <col min="9229" max="9229" width="13.7109375" style="215" customWidth="1"/>
    <col min="9230" max="9230" width="8.7109375" style="215" customWidth="1"/>
    <col min="9231" max="9231" width="13.7109375" style="215" customWidth="1"/>
    <col min="9232" max="9232" width="8.7109375" style="215" customWidth="1"/>
    <col min="9233" max="9233" width="13.7109375" style="215" customWidth="1"/>
    <col min="9234" max="9234" width="8.42578125" style="215" customWidth="1"/>
    <col min="9235" max="9235" width="13.7109375" style="215" customWidth="1"/>
    <col min="9236" max="9236" width="8.7109375" style="215" customWidth="1"/>
    <col min="9237" max="9237" width="13.7109375" style="215" customWidth="1"/>
    <col min="9238" max="9238" width="8.7109375" style="215" customWidth="1"/>
    <col min="9239" max="9239" width="13.7109375" style="215" customWidth="1"/>
    <col min="9240" max="9240" width="8.7109375" style="215" customWidth="1"/>
    <col min="9241" max="9241" width="13.7109375" style="215" customWidth="1"/>
    <col min="9242" max="9242" width="8.7109375" style="215" customWidth="1"/>
    <col min="9243" max="9243" width="13.7109375" style="215" customWidth="1"/>
    <col min="9244" max="9244" width="8.7109375" style="215" customWidth="1"/>
    <col min="9245" max="9245" width="13.7109375" style="215" customWidth="1"/>
    <col min="9246" max="9246" width="8.7109375" style="215" customWidth="1"/>
    <col min="9247" max="9247" width="13.7109375" style="215" customWidth="1"/>
    <col min="9248" max="9248" width="8.7109375" style="215" customWidth="1"/>
    <col min="9249" max="9249" width="13.7109375" style="215" customWidth="1"/>
    <col min="9250" max="9250" width="9.7109375" style="215" customWidth="1"/>
    <col min="9251" max="9251" width="13.7109375" style="215" customWidth="1"/>
    <col min="9252" max="9252" width="10.7109375" style="215" customWidth="1"/>
    <col min="9253" max="9253" width="13.7109375" style="215" customWidth="1"/>
    <col min="9254" max="9254" width="11.5703125" style="215" customWidth="1"/>
    <col min="9255" max="9255" width="13.7109375" style="215" customWidth="1"/>
    <col min="9256" max="9256" width="10.7109375" style="215" customWidth="1"/>
    <col min="9257" max="9257" width="12.42578125" style="215" bestFit="1" customWidth="1"/>
    <col min="9258" max="9258" width="22.7109375" style="215" customWidth="1"/>
    <col min="9259" max="9259" width="22" style="215" bestFit="1" customWidth="1"/>
    <col min="9260" max="9260" width="12.7109375" style="215" customWidth="1"/>
    <col min="9261" max="9261" width="20.5703125" style="215" customWidth="1"/>
    <col min="9262" max="9262" width="12.7109375" style="215" customWidth="1"/>
    <col min="9263" max="9263" width="20.7109375" style="215" customWidth="1"/>
    <col min="9264" max="9264" width="12.7109375" style="215" customWidth="1"/>
    <col min="9265" max="9265" width="20.7109375" style="215" customWidth="1"/>
    <col min="9266" max="9266" width="12.7109375" style="215" customWidth="1"/>
    <col min="9267" max="9267" width="20.7109375" style="215" customWidth="1"/>
    <col min="9268" max="9268" width="12.7109375" style="215" customWidth="1"/>
    <col min="9269" max="9269" width="20.7109375" style="215" customWidth="1"/>
    <col min="9270" max="9270" width="12.7109375" style="215" customWidth="1"/>
    <col min="9271" max="9271" width="20.7109375" style="215" customWidth="1"/>
    <col min="9272" max="9272" width="12.7109375" style="215" customWidth="1"/>
    <col min="9273" max="9473" width="9.140625" style="215"/>
    <col min="9474" max="9474" width="6.140625" style="215" customWidth="1"/>
    <col min="9475" max="9475" width="5" style="215" customWidth="1"/>
    <col min="9476" max="9476" width="35" style="215" customWidth="1"/>
    <col min="9477" max="9477" width="13.7109375" style="215" customWidth="1"/>
    <col min="9478" max="9478" width="9.7109375" style="215" customWidth="1"/>
    <col min="9479" max="9479" width="13.7109375" style="215" customWidth="1"/>
    <col min="9480" max="9480" width="11.7109375" style="215" customWidth="1"/>
    <col min="9481" max="9481" width="13.7109375" style="215" customWidth="1"/>
    <col min="9482" max="9482" width="8.42578125" style="215" customWidth="1"/>
    <col min="9483" max="9483" width="13.7109375" style="215" customWidth="1"/>
    <col min="9484" max="9484" width="8.7109375" style="215" customWidth="1"/>
    <col min="9485" max="9485" width="13.7109375" style="215" customWidth="1"/>
    <col min="9486" max="9486" width="8.7109375" style="215" customWidth="1"/>
    <col min="9487" max="9487" width="13.7109375" style="215" customWidth="1"/>
    <col min="9488" max="9488" width="8.7109375" style="215" customWidth="1"/>
    <col min="9489" max="9489" width="13.7109375" style="215" customWidth="1"/>
    <col min="9490" max="9490" width="8.42578125" style="215" customWidth="1"/>
    <col min="9491" max="9491" width="13.7109375" style="215" customWidth="1"/>
    <col min="9492" max="9492" width="8.7109375" style="215" customWidth="1"/>
    <col min="9493" max="9493" width="13.7109375" style="215" customWidth="1"/>
    <col min="9494" max="9494" width="8.7109375" style="215" customWidth="1"/>
    <col min="9495" max="9495" width="13.7109375" style="215" customWidth="1"/>
    <col min="9496" max="9496" width="8.7109375" style="215" customWidth="1"/>
    <col min="9497" max="9497" width="13.7109375" style="215" customWidth="1"/>
    <col min="9498" max="9498" width="8.7109375" style="215" customWidth="1"/>
    <col min="9499" max="9499" width="13.7109375" style="215" customWidth="1"/>
    <col min="9500" max="9500" width="8.7109375" style="215" customWidth="1"/>
    <col min="9501" max="9501" width="13.7109375" style="215" customWidth="1"/>
    <col min="9502" max="9502" width="8.7109375" style="215" customWidth="1"/>
    <col min="9503" max="9503" width="13.7109375" style="215" customWidth="1"/>
    <col min="9504" max="9504" width="8.7109375" style="215" customWidth="1"/>
    <col min="9505" max="9505" width="13.7109375" style="215" customWidth="1"/>
    <col min="9506" max="9506" width="9.7109375" style="215" customWidth="1"/>
    <col min="9507" max="9507" width="13.7109375" style="215" customWidth="1"/>
    <col min="9508" max="9508" width="10.7109375" style="215" customWidth="1"/>
    <col min="9509" max="9509" width="13.7109375" style="215" customWidth="1"/>
    <col min="9510" max="9510" width="11.5703125" style="215" customWidth="1"/>
    <col min="9511" max="9511" width="13.7109375" style="215" customWidth="1"/>
    <col min="9512" max="9512" width="10.7109375" style="215" customWidth="1"/>
    <col min="9513" max="9513" width="12.42578125" style="215" bestFit="1" customWidth="1"/>
    <col min="9514" max="9514" width="22.7109375" style="215" customWidth="1"/>
    <col min="9515" max="9515" width="22" style="215" bestFit="1" customWidth="1"/>
    <col min="9516" max="9516" width="12.7109375" style="215" customWidth="1"/>
    <col min="9517" max="9517" width="20.5703125" style="215" customWidth="1"/>
    <col min="9518" max="9518" width="12.7109375" style="215" customWidth="1"/>
    <col min="9519" max="9519" width="20.7109375" style="215" customWidth="1"/>
    <col min="9520" max="9520" width="12.7109375" style="215" customWidth="1"/>
    <col min="9521" max="9521" width="20.7109375" style="215" customWidth="1"/>
    <col min="9522" max="9522" width="12.7109375" style="215" customWidth="1"/>
    <col min="9523" max="9523" width="20.7109375" style="215" customWidth="1"/>
    <col min="9524" max="9524" width="12.7109375" style="215" customWidth="1"/>
    <col min="9525" max="9525" width="20.7109375" style="215" customWidth="1"/>
    <col min="9526" max="9526" width="12.7109375" style="215" customWidth="1"/>
    <col min="9527" max="9527" width="20.7109375" style="215" customWidth="1"/>
    <col min="9528" max="9528" width="12.7109375" style="215" customWidth="1"/>
    <col min="9529" max="9729" width="9.140625" style="215"/>
    <col min="9730" max="9730" width="6.140625" style="215" customWidth="1"/>
    <col min="9731" max="9731" width="5" style="215" customWidth="1"/>
    <col min="9732" max="9732" width="35" style="215" customWidth="1"/>
    <col min="9733" max="9733" width="13.7109375" style="215" customWidth="1"/>
    <col min="9734" max="9734" width="9.7109375" style="215" customWidth="1"/>
    <col min="9735" max="9735" width="13.7109375" style="215" customWidth="1"/>
    <col min="9736" max="9736" width="11.7109375" style="215" customWidth="1"/>
    <col min="9737" max="9737" width="13.7109375" style="215" customWidth="1"/>
    <col min="9738" max="9738" width="8.42578125" style="215" customWidth="1"/>
    <col min="9739" max="9739" width="13.7109375" style="215" customWidth="1"/>
    <col min="9740" max="9740" width="8.7109375" style="215" customWidth="1"/>
    <col min="9741" max="9741" width="13.7109375" style="215" customWidth="1"/>
    <col min="9742" max="9742" width="8.7109375" style="215" customWidth="1"/>
    <col min="9743" max="9743" width="13.7109375" style="215" customWidth="1"/>
    <col min="9744" max="9744" width="8.7109375" style="215" customWidth="1"/>
    <col min="9745" max="9745" width="13.7109375" style="215" customWidth="1"/>
    <col min="9746" max="9746" width="8.42578125" style="215" customWidth="1"/>
    <col min="9747" max="9747" width="13.7109375" style="215" customWidth="1"/>
    <col min="9748" max="9748" width="8.7109375" style="215" customWidth="1"/>
    <col min="9749" max="9749" width="13.7109375" style="215" customWidth="1"/>
    <col min="9750" max="9750" width="8.7109375" style="215" customWidth="1"/>
    <col min="9751" max="9751" width="13.7109375" style="215" customWidth="1"/>
    <col min="9752" max="9752" width="8.7109375" style="215" customWidth="1"/>
    <col min="9753" max="9753" width="13.7109375" style="215" customWidth="1"/>
    <col min="9754" max="9754" width="8.7109375" style="215" customWidth="1"/>
    <col min="9755" max="9755" width="13.7109375" style="215" customWidth="1"/>
    <col min="9756" max="9756" width="8.7109375" style="215" customWidth="1"/>
    <col min="9757" max="9757" width="13.7109375" style="215" customWidth="1"/>
    <col min="9758" max="9758" width="8.7109375" style="215" customWidth="1"/>
    <col min="9759" max="9759" width="13.7109375" style="215" customWidth="1"/>
    <col min="9760" max="9760" width="8.7109375" style="215" customWidth="1"/>
    <col min="9761" max="9761" width="13.7109375" style="215" customWidth="1"/>
    <col min="9762" max="9762" width="9.7109375" style="215" customWidth="1"/>
    <col min="9763" max="9763" width="13.7109375" style="215" customWidth="1"/>
    <col min="9764" max="9764" width="10.7109375" style="215" customWidth="1"/>
    <col min="9765" max="9765" width="13.7109375" style="215" customWidth="1"/>
    <col min="9766" max="9766" width="11.5703125" style="215" customWidth="1"/>
    <col min="9767" max="9767" width="13.7109375" style="215" customWidth="1"/>
    <col min="9768" max="9768" width="10.7109375" style="215" customWidth="1"/>
    <col min="9769" max="9769" width="12.42578125" style="215" bestFit="1" customWidth="1"/>
    <col min="9770" max="9770" width="22.7109375" style="215" customWidth="1"/>
    <col min="9771" max="9771" width="22" style="215" bestFit="1" customWidth="1"/>
    <col min="9772" max="9772" width="12.7109375" style="215" customWidth="1"/>
    <col min="9773" max="9773" width="20.5703125" style="215" customWidth="1"/>
    <col min="9774" max="9774" width="12.7109375" style="215" customWidth="1"/>
    <col min="9775" max="9775" width="20.7109375" style="215" customWidth="1"/>
    <col min="9776" max="9776" width="12.7109375" style="215" customWidth="1"/>
    <col min="9777" max="9777" width="20.7109375" style="215" customWidth="1"/>
    <col min="9778" max="9778" width="12.7109375" style="215" customWidth="1"/>
    <col min="9779" max="9779" width="20.7109375" style="215" customWidth="1"/>
    <col min="9780" max="9780" width="12.7109375" style="215" customWidth="1"/>
    <col min="9781" max="9781" width="20.7109375" style="215" customWidth="1"/>
    <col min="9782" max="9782" width="12.7109375" style="215" customWidth="1"/>
    <col min="9783" max="9783" width="20.7109375" style="215" customWidth="1"/>
    <col min="9784" max="9784" width="12.7109375" style="215" customWidth="1"/>
    <col min="9785" max="9985" width="9.140625" style="215"/>
    <col min="9986" max="9986" width="6.140625" style="215" customWidth="1"/>
    <col min="9987" max="9987" width="5" style="215" customWidth="1"/>
    <col min="9988" max="9988" width="35" style="215" customWidth="1"/>
    <col min="9989" max="9989" width="13.7109375" style="215" customWidth="1"/>
    <col min="9990" max="9990" width="9.7109375" style="215" customWidth="1"/>
    <col min="9991" max="9991" width="13.7109375" style="215" customWidth="1"/>
    <col min="9992" max="9992" width="11.7109375" style="215" customWidth="1"/>
    <col min="9993" max="9993" width="13.7109375" style="215" customWidth="1"/>
    <col min="9994" max="9994" width="8.42578125" style="215" customWidth="1"/>
    <col min="9995" max="9995" width="13.7109375" style="215" customWidth="1"/>
    <col min="9996" max="9996" width="8.7109375" style="215" customWidth="1"/>
    <col min="9997" max="9997" width="13.7109375" style="215" customWidth="1"/>
    <col min="9998" max="9998" width="8.7109375" style="215" customWidth="1"/>
    <col min="9999" max="9999" width="13.7109375" style="215" customWidth="1"/>
    <col min="10000" max="10000" width="8.7109375" style="215" customWidth="1"/>
    <col min="10001" max="10001" width="13.7109375" style="215" customWidth="1"/>
    <col min="10002" max="10002" width="8.42578125" style="215" customWidth="1"/>
    <col min="10003" max="10003" width="13.7109375" style="215" customWidth="1"/>
    <col min="10004" max="10004" width="8.7109375" style="215" customWidth="1"/>
    <col min="10005" max="10005" width="13.7109375" style="215" customWidth="1"/>
    <col min="10006" max="10006" width="8.7109375" style="215" customWidth="1"/>
    <col min="10007" max="10007" width="13.7109375" style="215" customWidth="1"/>
    <col min="10008" max="10008" width="8.7109375" style="215" customWidth="1"/>
    <col min="10009" max="10009" width="13.7109375" style="215" customWidth="1"/>
    <col min="10010" max="10010" width="8.7109375" style="215" customWidth="1"/>
    <col min="10011" max="10011" width="13.7109375" style="215" customWidth="1"/>
    <col min="10012" max="10012" width="8.7109375" style="215" customWidth="1"/>
    <col min="10013" max="10013" width="13.7109375" style="215" customWidth="1"/>
    <col min="10014" max="10014" width="8.7109375" style="215" customWidth="1"/>
    <col min="10015" max="10015" width="13.7109375" style="215" customWidth="1"/>
    <col min="10016" max="10016" width="8.7109375" style="215" customWidth="1"/>
    <col min="10017" max="10017" width="13.7109375" style="215" customWidth="1"/>
    <col min="10018" max="10018" width="9.7109375" style="215" customWidth="1"/>
    <col min="10019" max="10019" width="13.7109375" style="215" customWidth="1"/>
    <col min="10020" max="10020" width="10.7109375" style="215" customWidth="1"/>
    <col min="10021" max="10021" width="13.7109375" style="215" customWidth="1"/>
    <col min="10022" max="10022" width="11.5703125" style="215" customWidth="1"/>
    <col min="10023" max="10023" width="13.7109375" style="215" customWidth="1"/>
    <col min="10024" max="10024" width="10.7109375" style="215" customWidth="1"/>
    <col min="10025" max="10025" width="12.42578125" style="215" bestFit="1" customWidth="1"/>
    <col min="10026" max="10026" width="22.7109375" style="215" customWidth="1"/>
    <col min="10027" max="10027" width="22" style="215" bestFit="1" customWidth="1"/>
    <col min="10028" max="10028" width="12.7109375" style="215" customWidth="1"/>
    <col min="10029" max="10029" width="20.5703125" style="215" customWidth="1"/>
    <col min="10030" max="10030" width="12.7109375" style="215" customWidth="1"/>
    <col min="10031" max="10031" width="20.7109375" style="215" customWidth="1"/>
    <col min="10032" max="10032" width="12.7109375" style="215" customWidth="1"/>
    <col min="10033" max="10033" width="20.7109375" style="215" customWidth="1"/>
    <col min="10034" max="10034" width="12.7109375" style="215" customWidth="1"/>
    <col min="10035" max="10035" width="20.7109375" style="215" customWidth="1"/>
    <col min="10036" max="10036" width="12.7109375" style="215" customWidth="1"/>
    <col min="10037" max="10037" width="20.7109375" style="215" customWidth="1"/>
    <col min="10038" max="10038" width="12.7109375" style="215" customWidth="1"/>
    <col min="10039" max="10039" width="20.7109375" style="215" customWidth="1"/>
    <col min="10040" max="10040" width="12.7109375" style="215" customWidth="1"/>
    <col min="10041" max="10241" width="9.140625" style="215"/>
    <col min="10242" max="10242" width="6.140625" style="215" customWidth="1"/>
    <col min="10243" max="10243" width="5" style="215" customWidth="1"/>
    <col min="10244" max="10244" width="35" style="215" customWidth="1"/>
    <col min="10245" max="10245" width="13.7109375" style="215" customWidth="1"/>
    <col min="10246" max="10246" width="9.7109375" style="215" customWidth="1"/>
    <col min="10247" max="10247" width="13.7109375" style="215" customWidth="1"/>
    <col min="10248" max="10248" width="11.7109375" style="215" customWidth="1"/>
    <col min="10249" max="10249" width="13.7109375" style="215" customWidth="1"/>
    <col min="10250" max="10250" width="8.42578125" style="215" customWidth="1"/>
    <col min="10251" max="10251" width="13.7109375" style="215" customWidth="1"/>
    <col min="10252" max="10252" width="8.7109375" style="215" customWidth="1"/>
    <col min="10253" max="10253" width="13.7109375" style="215" customWidth="1"/>
    <col min="10254" max="10254" width="8.7109375" style="215" customWidth="1"/>
    <col min="10255" max="10255" width="13.7109375" style="215" customWidth="1"/>
    <col min="10256" max="10256" width="8.7109375" style="215" customWidth="1"/>
    <col min="10257" max="10257" width="13.7109375" style="215" customWidth="1"/>
    <col min="10258" max="10258" width="8.42578125" style="215" customWidth="1"/>
    <col min="10259" max="10259" width="13.7109375" style="215" customWidth="1"/>
    <col min="10260" max="10260" width="8.7109375" style="215" customWidth="1"/>
    <col min="10261" max="10261" width="13.7109375" style="215" customWidth="1"/>
    <col min="10262" max="10262" width="8.7109375" style="215" customWidth="1"/>
    <col min="10263" max="10263" width="13.7109375" style="215" customWidth="1"/>
    <col min="10264" max="10264" width="8.7109375" style="215" customWidth="1"/>
    <col min="10265" max="10265" width="13.7109375" style="215" customWidth="1"/>
    <col min="10266" max="10266" width="8.7109375" style="215" customWidth="1"/>
    <col min="10267" max="10267" width="13.7109375" style="215" customWidth="1"/>
    <col min="10268" max="10268" width="8.7109375" style="215" customWidth="1"/>
    <col min="10269" max="10269" width="13.7109375" style="215" customWidth="1"/>
    <col min="10270" max="10270" width="8.7109375" style="215" customWidth="1"/>
    <col min="10271" max="10271" width="13.7109375" style="215" customWidth="1"/>
    <col min="10272" max="10272" width="8.7109375" style="215" customWidth="1"/>
    <col min="10273" max="10273" width="13.7109375" style="215" customWidth="1"/>
    <col min="10274" max="10274" width="9.7109375" style="215" customWidth="1"/>
    <col min="10275" max="10275" width="13.7109375" style="215" customWidth="1"/>
    <col min="10276" max="10276" width="10.7109375" style="215" customWidth="1"/>
    <col min="10277" max="10277" width="13.7109375" style="215" customWidth="1"/>
    <col min="10278" max="10278" width="11.5703125" style="215" customWidth="1"/>
    <col min="10279" max="10279" width="13.7109375" style="215" customWidth="1"/>
    <col min="10280" max="10280" width="10.7109375" style="215" customWidth="1"/>
    <col min="10281" max="10281" width="12.42578125" style="215" bestFit="1" customWidth="1"/>
    <col min="10282" max="10282" width="22.7109375" style="215" customWidth="1"/>
    <col min="10283" max="10283" width="22" style="215" bestFit="1" customWidth="1"/>
    <col min="10284" max="10284" width="12.7109375" style="215" customWidth="1"/>
    <col min="10285" max="10285" width="20.5703125" style="215" customWidth="1"/>
    <col min="10286" max="10286" width="12.7109375" style="215" customWidth="1"/>
    <col min="10287" max="10287" width="20.7109375" style="215" customWidth="1"/>
    <col min="10288" max="10288" width="12.7109375" style="215" customWidth="1"/>
    <col min="10289" max="10289" width="20.7109375" style="215" customWidth="1"/>
    <col min="10290" max="10290" width="12.7109375" style="215" customWidth="1"/>
    <col min="10291" max="10291" width="20.7109375" style="215" customWidth="1"/>
    <col min="10292" max="10292" width="12.7109375" style="215" customWidth="1"/>
    <col min="10293" max="10293" width="20.7109375" style="215" customWidth="1"/>
    <col min="10294" max="10294" width="12.7109375" style="215" customWidth="1"/>
    <col min="10295" max="10295" width="20.7109375" style="215" customWidth="1"/>
    <col min="10296" max="10296" width="12.7109375" style="215" customWidth="1"/>
    <col min="10297" max="10497" width="9.140625" style="215"/>
    <col min="10498" max="10498" width="6.140625" style="215" customWidth="1"/>
    <col min="10499" max="10499" width="5" style="215" customWidth="1"/>
    <col min="10500" max="10500" width="35" style="215" customWidth="1"/>
    <col min="10501" max="10501" width="13.7109375" style="215" customWidth="1"/>
    <col min="10502" max="10502" width="9.7109375" style="215" customWidth="1"/>
    <col min="10503" max="10503" width="13.7109375" style="215" customWidth="1"/>
    <col min="10504" max="10504" width="11.7109375" style="215" customWidth="1"/>
    <col min="10505" max="10505" width="13.7109375" style="215" customWidth="1"/>
    <col min="10506" max="10506" width="8.42578125" style="215" customWidth="1"/>
    <col min="10507" max="10507" width="13.7109375" style="215" customWidth="1"/>
    <col min="10508" max="10508" width="8.7109375" style="215" customWidth="1"/>
    <col min="10509" max="10509" width="13.7109375" style="215" customWidth="1"/>
    <col min="10510" max="10510" width="8.7109375" style="215" customWidth="1"/>
    <col min="10511" max="10511" width="13.7109375" style="215" customWidth="1"/>
    <col min="10512" max="10512" width="8.7109375" style="215" customWidth="1"/>
    <col min="10513" max="10513" width="13.7109375" style="215" customWidth="1"/>
    <col min="10514" max="10514" width="8.42578125" style="215" customWidth="1"/>
    <col min="10515" max="10515" width="13.7109375" style="215" customWidth="1"/>
    <col min="10516" max="10516" width="8.7109375" style="215" customWidth="1"/>
    <col min="10517" max="10517" width="13.7109375" style="215" customWidth="1"/>
    <col min="10518" max="10518" width="8.7109375" style="215" customWidth="1"/>
    <col min="10519" max="10519" width="13.7109375" style="215" customWidth="1"/>
    <col min="10520" max="10520" width="8.7109375" style="215" customWidth="1"/>
    <col min="10521" max="10521" width="13.7109375" style="215" customWidth="1"/>
    <col min="10522" max="10522" width="8.7109375" style="215" customWidth="1"/>
    <col min="10523" max="10523" width="13.7109375" style="215" customWidth="1"/>
    <col min="10524" max="10524" width="8.7109375" style="215" customWidth="1"/>
    <col min="10525" max="10525" width="13.7109375" style="215" customWidth="1"/>
    <col min="10526" max="10526" width="8.7109375" style="215" customWidth="1"/>
    <col min="10527" max="10527" width="13.7109375" style="215" customWidth="1"/>
    <col min="10528" max="10528" width="8.7109375" style="215" customWidth="1"/>
    <col min="10529" max="10529" width="13.7109375" style="215" customWidth="1"/>
    <col min="10530" max="10530" width="9.7109375" style="215" customWidth="1"/>
    <col min="10531" max="10531" width="13.7109375" style="215" customWidth="1"/>
    <col min="10532" max="10532" width="10.7109375" style="215" customWidth="1"/>
    <col min="10533" max="10533" width="13.7109375" style="215" customWidth="1"/>
    <col min="10534" max="10534" width="11.5703125" style="215" customWidth="1"/>
    <col min="10535" max="10535" width="13.7109375" style="215" customWidth="1"/>
    <col min="10536" max="10536" width="10.7109375" style="215" customWidth="1"/>
    <col min="10537" max="10537" width="12.42578125" style="215" bestFit="1" customWidth="1"/>
    <col min="10538" max="10538" width="22.7109375" style="215" customWidth="1"/>
    <col min="10539" max="10539" width="22" style="215" bestFit="1" customWidth="1"/>
    <col min="10540" max="10540" width="12.7109375" style="215" customWidth="1"/>
    <col min="10541" max="10541" width="20.5703125" style="215" customWidth="1"/>
    <col min="10542" max="10542" width="12.7109375" style="215" customWidth="1"/>
    <col min="10543" max="10543" width="20.7109375" style="215" customWidth="1"/>
    <col min="10544" max="10544" width="12.7109375" style="215" customWidth="1"/>
    <col min="10545" max="10545" width="20.7109375" style="215" customWidth="1"/>
    <col min="10546" max="10546" width="12.7109375" style="215" customWidth="1"/>
    <col min="10547" max="10547" width="20.7109375" style="215" customWidth="1"/>
    <col min="10548" max="10548" width="12.7109375" style="215" customWidth="1"/>
    <col min="10549" max="10549" width="20.7109375" style="215" customWidth="1"/>
    <col min="10550" max="10550" width="12.7109375" style="215" customWidth="1"/>
    <col min="10551" max="10551" width="20.7109375" style="215" customWidth="1"/>
    <col min="10552" max="10552" width="12.7109375" style="215" customWidth="1"/>
    <col min="10553" max="10753" width="9.140625" style="215"/>
    <col min="10754" max="10754" width="6.140625" style="215" customWidth="1"/>
    <col min="10755" max="10755" width="5" style="215" customWidth="1"/>
    <col min="10756" max="10756" width="35" style="215" customWidth="1"/>
    <col min="10757" max="10757" width="13.7109375" style="215" customWidth="1"/>
    <col min="10758" max="10758" width="9.7109375" style="215" customWidth="1"/>
    <col min="10759" max="10759" width="13.7109375" style="215" customWidth="1"/>
    <col min="10760" max="10760" width="11.7109375" style="215" customWidth="1"/>
    <col min="10761" max="10761" width="13.7109375" style="215" customWidth="1"/>
    <col min="10762" max="10762" width="8.42578125" style="215" customWidth="1"/>
    <col min="10763" max="10763" width="13.7109375" style="215" customWidth="1"/>
    <col min="10764" max="10764" width="8.7109375" style="215" customWidth="1"/>
    <col min="10765" max="10765" width="13.7109375" style="215" customWidth="1"/>
    <col min="10766" max="10766" width="8.7109375" style="215" customWidth="1"/>
    <col min="10767" max="10767" width="13.7109375" style="215" customWidth="1"/>
    <col min="10768" max="10768" width="8.7109375" style="215" customWidth="1"/>
    <col min="10769" max="10769" width="13.7109375" style="215" customWidth="1"/>
    <col min="10770" max="10770" width="8.42578125" style="215" customWidth="1"/>
    <col min="10771" max="10771" width="13.7109375" style="215" customWidth="1"/>
    <col min="10772" max="10772" width="8.7109375" style="215" customWidth="1"/>
    <col min="10773" max="10773" width="13.7109375" style="215" customWidth="1"/>
    <col min="10774" max="10774" width="8.7109375" style="215" customWidth="1"/>
    <col min="10775" max="10775" width="13.7109375" style="215" customWidth="1"/>
    <col min="10776" max="10776" width="8.7109375" style="215" customWidth="1"/>
    <col min="10777" max="10777" width="13.7109375" style="215" customWidth="1"/>
    <col min="10778" max="10778" width="8.7109375" style="215" customWidth="1"/>
    <col min="10779" max="10779" width="13.7109375" style="215" customWidth="1"/>
    <col min="10780" max="10780" width="8.7109375" style="215" customWidth="1"/>
    <col min="10781" max="10781" width="13.7109375" style="215" customWidth="1"/>
    <col min="10782" max="10782" width="8.7109375" style="215" customWidth="1"/>
    <col min="10783" max="10783" width="13.7109375" style="215" customWidth="1"/>
    <col min="10784" max="10784" width="8.7109375" style="215" customWidth="1"/>
    <col min="10785" max="10785" width="13.7109375" style="215" customWidth="1"/>
    <col min="10786" max="10786" width="9.7109375" style="215" customWidth="1"/>
    <col min="10787" max="10787" width="13.7109375" style="215" customWidth="1"/>
    <col min="10788" max="10788" width="10.7109375" style="215" customWidth="1"/>
    <col min="10789" max="10789" width="13.7109375" style="215" customWidth="1"/>
    <col min="10790" max="10790" width="11.5703125" style="215" customWidth="1"/>
    <col min="10791" max="10791" width="13.7109375" style="215" customWidth="1"/>
    <col min="10792" max="10792" width="10.7109375" style="215" customWidth="1"/>
    <col min="10793" max="10793" width="12.42578125" style="215" bestFit="1" customWidth="1"/>
    <col min="10794" max="10794" width="22.7109375" style="215" customWidth="1"/>
    <col min="10795" max="10795" width="22" style="215" bestFit="1" customWidth="1"/>
    <col min="10796" max="10796" width="12.7109375" style="215" customWidth="1"/>
    <col min="10797" max="10797" width="20.5703125" style="215" customWidth="1"/>
    <col min="10798" max="10798" width="12.7109375" style="215" customWidth="1"/>
    <col min="10799" max="10799" width="20.7109375" style="215" customWidth="1"/>
    <col min="10800" max="10800" width="12.7109375" style="215" customWidth="1"/>
    <col min="10801" max="10801" width="20.7109375" style="215" customWidth="1"/>
    <col min="10802" max="10802" width="12.7109375" style="215" customWidth="1"/>
    <col min="10803" max="10803" width="20.7109375" style="215" customWidth="1"/>
    <col min="10804" max="10804" width="12.7109375" style="215" customWidth="1"/>
    <col min="10805" max="10805" width="20.7109375" style="215" customWidth="1"/>
    <col min="10806" max="10806" width="12.7109375" style="215" customWidth="1"/>
    <col min="10807" max="10807" width="20.7109375" style="215" customWidth="1"/>
    <col min="10808" max="10808" width="12.7109375" style="215" customWidth="1"/>
    <col min="10809" max="11009" width="9.140625" style="215"/>
    <col min="11010" max="11010" width="6.140625" style="215" customWidth="1"/>
    <col min="11011" max="11011" width="5" style="215" customWidth="1"/>
    <col min="11012" max="11012" width="35" style="215" customWidth="1"/>
    <col min="11013" max="11013" width="13.7109375" style="215" customWidth="1"/>
    <col min="11014" max="11014" width="9.7109375" style="215" customWidth="1"/>
    <col min="11015" max="11015" width="13.7109375" style="215" customWidth="1"/>
    <col min="11016" max="11016" width="11.7109375" style="215" customWidth="1"/>
    <col min="11017" max="11017" width="13.7109375" style="215" customWidth="1"/>
    <col min="11018" max="11018" width="8.42578125" style="215" customWidth="1"/>
    <col min="11019" max="11019" width="13.7109375" style="215" customWidth="1"/>
    <col min="11020" max="11020" width="8.7109375" style="215" customWidth="1"/>
    <col min="11021" max="11021" width="13.7109375" style="215" customWidth="1"/>
    <col min="11022" max="11022" width="8.7109375" style="215" customWidth="1"/>
    <col min="11023" max="11023" width="13.7109375" style="215" customWidth="1"/>
    <col min="11024" max="11024" width="8.7109375" style="215" customWidth="1"/>
    <col min="11025" max="11025" width="13.7109375" style="215" customWidth="1"/>
    <col min="11026" max="11026" width="8.42578125" style="215" customWidth="1"/>
    <col min="11027" max="11027" width="13.7109375" style="215" customWidth="1"/>
    <col min="11028" max="11028" width="8.7109375" style="215" customWidth="1"/>
    <col min="11029" max="11029" width="13.7109375" style="215" customWidth="1"/>
    <col min="11030" max="11030" width="8.7109375" style="215" customWidth="1"/>
    <col min="11031" max="11031" width="13.7109375" style="215" customWidth="1"/>
    <col min="11032" max="11032" width="8.7109375" style="215" customWidth="1"/>
    <col min="11033" max="11033" width="13.7109375" style="215" customWidth="1"/>
    <col min="11034" max="11034" width="8.7109375" style="215" customWidth="1"/>
    <col min="11035" max="11035" width="13.7109375" style="215" customWidth="1"/>
    <col min="11036" max="11036" width="8.7109375" style="215" customWidth="1"/>
    <col min="11037" max="11037" width="13.7109375" style="215" customWidth="1"/>
    <col min="11038" max="11038" width="8.7109375" style="215" customWidth="1"/>
    <col min="11039" max="11039" width="13.7109375" style="215" customWidth="1"/>
    <col min="11040" max="11040" width="8.7109375" style="215" customWidth="1"/>
    <col min="11041" max="11041" width="13.7109375" style="215" customWidth="1"/>
    <col min="11042" max="11042" width="9.7109375" style="215" customWidth="1"/>
    <col min="11043" max="11043" width="13.7109375" style="215" customWidth="1"/>
    <col min="11044" max="11044" width="10.7109375" style="215" customWidth="1"/>
    <col min="11045" max="11045" width="13.7109375" style="215" customWidth="1"/>
    <col min="11046" max="11046" width="11.5703125" style="215" customWidth="1"/>
    <col min="11047" max="11047" width="13.7109375" style="215" customWidth="1"/>
    <col min="11048" max="11048" width="10.7109375" style="215" customWidth="1"/>
    <col min="11049" max="11049" width="12.42578125" style="215" bestFit="1" customWidth="1"/>
    <col min="11050" max="11050" width="22.7109375" style="215" customWidth="1"/>
    <col min="11051" max="11051" width="22" style="215" bestFit="1" customWidth="1"/>
    <col min="11052" max="11052" width="12.7109375" style="215" customWidth="1"/>
    <col min="11053" max="11053" width="20.5703125" style="215" customWidth="1"/>
    <col min="11054" max="11054" width="12.7109375" style="215" customWidth="1"/>
    <col min="11055" max="11055" width="20.7109375" style="215" customWidth="1"/>
    <col min="11056" max="11056" width="12.7109375" style="215" customWidth="1"/>
    <col min="11057" max="11057" width="20.7109375" style="215" customWidth="1"/>
    <col min="11058" max="11058" width="12.7109375" style="215" customWidth="1"/>
    <col min="11059" max="11059" width="20.7109375" style="215" customWidth="1"/>
    <col min="11060" max="11060" width="12.7109375" style="215" customWidth="1"/>
    <col min="11061" max="11061" width="20.7109375" style="215" customWidth="1"/>
    <col min="11062" max="11062" width="12.7109375" style="215" customWidth="1"/>
    <col min="11063" max="11063" width="20.7109375" style="215" customWidth="1"/>
    <col min="11064" max="11064" width="12.7109375" style="215" customWidth="1"/>
    <col min="11065" max="11265" width="9.140625" style="215"/>
    <col min="11266" max="11266" width="6.140625" style="215" customWidth="1"/>
    <col min="11267" max="11267" width="5" style="215" customWidth="1"/>
    <col min="11268" max="11268" width="35" style="215" customWidth="1"/>
    <col min="11269" max="11269" width="13.7109375" style="215" customWidth="1"/>
    <col min="11270" max="11270" width="9.7109375" style="215" customWidth="1"/>
    <col min="11271" max="11271" width="13.7109375" style="215" customWidth="1"/>
    <col min="11272" max="11272" width="11.7109375" style="215" customWidth="1"/>
    <col min="11273" max="11273" width="13.7109375" style="215" customWidth="1"/>
    <col min="11274" max="11274" width="8.42578125" style="215" customWidth="1"/>
    <col min="11275" max="11275" width="13.7109375" style="215" customWidth="1"/>
    <col min="11276" max="11276" width="8.7109375" style="215" customWidth="1"/>
    <col min="11277" max="11277" width="13.7109375" style="215" customWidth="1"/>
    <col min="11278" max="11278" width="8.7109375" style="215" customWidth="1"/>
    <col min="11279" max="11279" width="13.7109375" style="215" customWidth="1"/>
    <col min="11280" max="11280" width="8.7109375" style="215" customWidth="1"/>
    <col min="11281" max="11281" width="13.7109375" style="215" customWidth="1"/>
    <col min="11282" max="11282" width="8.42578125" style="215" customWidth="1"/>
    <col min="11283" max="11283" width="13.7109375" style="215" customWidth="1"/>
    <col min="11284" max="11284" width="8.7109375" style="215" customWidth="1"/>
    <col min="11285" max="11285" width="13.7109375" style="215" customWidth="1"/>
    <col min="11286" max="11286" width="8.7109375" style="215" customWidth="1"/>
    <col min="11287" max="11287" width="13.7109375" style="215" customWidth="1"/>
    <col min="11288" max="11288" width="8.7109375" style="215" customWidth="1"/>
    <col min="11289" max="11289" width="13.7109375" style="215" customWidth="1"/>
    <col min="11290" max="11290" width="8.7109375" style="215" customWidth="1"/>
    <col min="11291" max="11291" width="13.7109375" style="215" customWidth="1"/>
    <col min="11292" max="11292" width="8.7109375" style="215" customWidth="1"/>
    <col min="11293" max="11293" width="13.7109375" style="215" customWidth="1"/>
    <col min="11294" max="11294" width="8.7109375" style="215" customWidth="1"/>
    <col min="11295" max="11295" width="13.7109375" style="215" customWidth="1"/>
    <col min="11296" max="11296" width="8.7109375" style="215" customWidth="1"/>
    <col min="11297" max="11297" width="13.7109375" style="215" customWidth="1"/>
    <col min="11298" max="11298" width="9.7109375" style="215" customWidth="1"/>
    <col min="11299" max="11299" width="13.7109375" style="215" customWidth="1"/>
    <col min="11300" max="11300" width="10.7109375" style="215" customWidth="1"/>
    <col min="11301" max="11301" width="13.7109375" style="215" customWidth="1"/>
    <col min="11302" max="11302" width="11.5703125" style="215" customWidth="1"/>
    <col min="11303" max="11303" width="13.7109375" style="215" customWidth="1"/>
    <col min="11304" max="11304" width="10.7109375" style="215" customWidth="1"/>
    <col min="11305" max="11305" width="12.42578125" style="215" bestFit="1" customWidth="1"/>
    <col min="11306" max="11306" width="22.7109375" style="215" customWidth="1"/>
    <col min="11307" max="11307" width="22" style="215" bestFit="1" customWidth="1"/>
    <col min="11308" max="11308" width="12.7109375" style="215" customWidth="1"/>
    <col min="11309" max="11309" width="20.5703125" style="215" customWidth="1"/>
    <col min="11310" max="11310" width="12.7109375" style="215" customWidth="1"/>
    <col min="11311" max="11311" width="20.7109375" style="215" customWidth="1"/>
    <col min="11312" max="11312" width="12.7109375" style="215" customWidth="1"/>
    <col min="11313" max="11313" width="20.7109375" style="215" customWidth="1"/>
    <col min="11314" max="11314" width="12.7109375" style="215" customWidth="1"/>
    <col min="11315" max="11315" width="20.7109375" style="215" customWidth="1"/>
    <col min="11316" max="11316" width="12.7109375" style="215" customWidth="1"/>
    <col min="11317" max="11317" width="20.7109375" style="215" customWidth="1"/>
    <col min="11318" max="11318" width="12.7109375" style="215" customWidth="1"/>
    <col min="11319" max="11319" width="20.7109375" style="215" customWidth="1"/>
    <col min="11320" max="11320" width="12.7109375" style="215" customWidth="1"/>
    <col min="11321" max="11521" width="9.140625" style="215"/>
    <col min="11522" max="11522" width="6.140625" style="215" customWidth="1"/>
    <col min="11523" max="11523" width="5" style="215" customWidth="1"/>
    <col min="11524" max="11524" width="35" style="215" customWidth="1"/>
    <col min="11525" max="11525" width="13.7109375" style="215" customWidth="1"/>
    <col min="11526" max="11526" width="9.7109375" style="215" customWidth="1"/>
    <col min="11527" max="11527" width="13.7109375" style="215" customWidth="1"/>
    <col min="11528" max="11528" width="11.7109375" style="215" customWidth="1"/>
    <col min="11529" max="11529" width="13.7109375" style="215" customWidth="1"/>
    <col min="11530" max="11530" width="8.42578125" style="215" customWidth="1"/>
    <col min="11531" max="11531" width="13.7109375" style="215" customWidth="1"/>
    <col min="11532" max="11532" width="8.7109375" style="215" customWidth="1"/>
    <col min="11533" max="11533" width="13.7109375" style="215" customWidth="1"/>
    <col min="11534" max="11534" width="8.7109375" style="215" customWidth="1"/>
    <col min="11535" max="11535" width="13.7109375" style="215" customWidth="1"/>
    <col min="11536" max="11536" width="8.7109375" style="215" customWidth="1"/>
    <col min="11537" max="11537" width="13.7109375" style="215" customWidth="1"/>
    <col min="11538" max="11538" width="8.42578125" style="215" customWidth="1"/>
    <col min="11539" max="11539" width="13.7109375" style="215" customWidth="1"/>
    <col min="11540" max="11540" width="8.7109375" style="215" customWidth="1"/>
    <col min="11541" max="11541" width="13.7109375" style="215" customWidth="1"/>
    <col min="11542" max="11542" width="8.7109375" style="215" customWidth="1"/>
    <col min="11543" max="11543" width="13.7109375" style="215" customWidth="1"/>
    <col min="11544" max="11544" width="8.7109375" style="215" customWidth="1"/>
    <col min="11545" max="11545" width="13.7109375" style="215" customWidth="1"/>
    <col min="11546" max="11546" width="8.7109375" style="215" customWidth="1"/>
    <col min="11547" max="11547" width="13.7109375" style="215" customWidth="1"/>
    <col min="11548" max="11548" width="8.7109375" style="215" customWidth="1"/>
    <col min="11549" max="11549" width="13.7109375" style="215" customWidth="1"/>
    <col min="11550" max="11550" width="8.7109375" style="215" customWidth="1"/>
    <col min="11551" max="11551" width="13.7109375" style="215" customWidth="1"/>
    <col min="11552" max="11552" width="8.7109375" style="215" customWidth="1"/>
    <col min="11553" max="11553" width="13.7109375" style="215" customWidth="1"/>
    <col min="11554" max="11554" width="9.7109375" style="215" customWidth="1"/>
    <col min="11555" max="11555" width="13.7109375" style="215" customWidth="1"/>
    <col min="11556" max="11556" width="10.7109375" style="215" customWidth="1"/>
    <col min="11557" max="11557" width="13.7109375" style="215" customWidth="1"/>
    <col min="11558" max="11558" width="11.5703125" style="215" customWidth="1"/>
    <col min="11559" max="11559" width="13.7109375" style="215" customWidth="1"/>
    <col min="11560" max="11560" width="10.7109375" style="215" customWidth="1"/>
    <col min="11561" max="11561" width="12.42578125" style="215" bestFit="1" customWidth="1"/>
    <col min="11562" max="11562" width="22.7109375" style="215" customWidth="1"/>
    <col min="11563" max="11563" width="22" style="215" bestFit="1" customWidth="1"/>
    <col min="11564" max="11564" width="12.7109375" style="215" customWidth="1"/>
    <col min="11565" max="11565" width="20.5703125" style="215" customWidth="1"/>
    <col min="11566" max="11566" width="12.7109375" style="215" customWidth="1"/>
    <col min="11567" max="11567" width="20.7109375" style="215" customWidth="1"/>
    <col min="11568" max="11568" width="12.7109375" style="215" customWidth="1"/>
    <col min="11569" max="11569" width="20.7109375" style="215" customWidth="1"/>
    <col min="11570" max="11570" width="12.7109375" style="215" customWidth="1"/>
    <col min="11571" max="11571" width="20.7109375" style="215" customWidth="1"/>
    <col min="11572" max="11572" width="12.7109375" style="215" customWidth="1"/>
    <col min="11573" max="11573" width="20.7109375" style="215" customWidth="1"/>
    <col min="11574" max="11574" width="12.7109375" style="215" customWidth="1"/>
    <col min="11575" max="11575" width="20.7109375" style="215" customWidth="1"/>
    <col min="11576" max="11576" width="12.7109375" style="215" customWidth="1"/>
    <col min="11577" max="11777" width="9.140625" style="215"/>
    <col min="11778" max="11778" width="6.140625" style="215" customWidth="1"/>
    <col min="11779" max="11779" width="5" style="215" customWidth="1"/>
    <col min="11780" max="11780" width="35" style="215" customWidth="1"/>
    <col min="11781" max="11781" width="13.7109375" style="215" customWidth="1"/>
    <col min="11782" max="11782" width="9.7109375" style="215" customWidth="1"/>
    <col min="11783" max="11783" width="13.7109375" style="215" customWidth="1"/>
    <col min="11784" max="11784" width="11.7109375" style="215" customWidth="1"/>
    <col min="11785" max="11785" width="13.7109375" style="215" customWidth="1"/>
    <col min="11786" max="11786" width="8.42578125" style="215" customWidth="1"/>
    <col min="11787" max="11787" width="13.7109375" style="215" customWidth="1"/>
    <col min="11788" max="11788" width="8.7109375" style="215" customWidth="1"/>
    <col min="11789" max="11789" width="13.7109375" style="215" customWidth="1"/>
    <col min="11790" max="11790" width="8.7109375" style="215" customWidth="1"/>
    <col min="11791" max="11791" width="13.7109375" style="215" customWidth="1"/>
    <col min="11792" max="11792" width="8.7109375" style="215" customWidth="1"/>
    <col min="11793" max="11793" width="13.7109375" style="215" customWidth="1"/>
    <col min="11794" max="11794" width="8.42578125" style="215" customWidth="1"/>
    <col min="11795" max="11795" width="13.7109375" style="215" customWidth="1"/>
    <col min="11796" max="11796" width="8.7109375" style="215" customWidth="1"/>
    <col min="11797" max="11797" width="13.7109375" style="215" customWidth="1"/>
    <col min="11798" max="11798" width="8.7109375" style="215" customWidth="1"/>
    <col min="11799" max="11799" width="13.7109375" style="215" customWidth="1"/>
    <col min="11800" max="11800" width="8.7109375" style="215" customWidth="1"/>
    <col min="11801" max="11801" width="13.7109375" style="215" customWidth="1"/>
    <col min="11802" max="11802" width="8.7109375" style="215" customWidth="1"/>
    <col min="11803" max="11803" width="13.7109375" style="215" customWidth="1"/>
    <col min="11804" max="11804" width="8.7109375" style="215" customWidth="1"/>
    <col min="11805" max="11805" width="13.7109375" style="215" customWidth="1"/>
    <col min="11806" max="11806" width="8.7109375" style="215" customWidth="1"/>
    <col min="11807" max="11807" width="13.7109375" style="215" customWidth="1"/>
    <col min="11808" max="11808" width="8.7109375" style="215" customWidth="1"/>
    <col min="11809" max="11809" width="13.7109375" style="215" customWidth="1"/>
    <col min="11810" max="11810" width="9.7109375" style="215" customWidth="1"/>
    <col min="11811" max="11811" width="13.7109375" style="215" customWidth="1"/>
    <col min="11812" max="11812" width="10.7109375" style="215" customWidth="1"/>
    <col min="11813" max="11813" width="13.7109375" style="215" customWidth="1"/>
    <col min="11814" max="11814" width="11.5703125" style="215" customWidth="1"/>
    <col min="11815" max="11815" width="13.7109375" style="215" customWidth="1"/>
    <col min="11816" max="11816" width="10.7109375" style="215" customWidth="1"/>
    <col min="11817" max="11817" width="12.42578125" style="215" bestFit="1" customWidth="1"/>
    <col min="11818" max="11818" width="22.7109375" style="215" customWidth="1"/>
    <col min="11819" max="11819" width="22" style="215" bestFit="1" customWidth="1"/>
    <col min="11820" max="11820" width="12.7109375" style="215" customWidth="1"/>
    <col min="11821" max="11821" width="20.5703125" style="215" customWidth="1"/>
    <col min="11822" max="11822" width="12.7109375" style="215" customWidth="1"/>
    <col min="11823" max="11823" width="20.7109375" style="215" customWidth="1"/>
    <col min="11824" max="11824" width="12.7109375" style="215" customWidth="1"/>
    <col min="11825" max="11825" width="20.7109375" style="215" customWidth="1"/>
    <col min="11826" max="11826" width="12.7109375" style="215" customWidth="1"/>
    <col min="11827" max="11827" width="20.7109375" style="215" customWidth="1"/>
    <col min="11828" max="11828" width="12.7109375" style="215" customWidth="1"/>
    <col min="11829" max="11829" width="20.7109375" style="215" customWidth="1"/>
    <col min="11830" max="11830" width="12.7109375" style="215" customWidth="1"/>
    <col min="11831" max="11831" width="20.7109375" style="215" customWidth="1"/>
    <col min="11832" max="11832" width="12.7109375" style="215" customWidth="1"/>
    <col min="11833" max="12033" width="9.140625" style="215"/>
    <col min="12034" max="12034" width="6.140625" style="215" customWidth="1"/>
    <col min="12035" max="12035" width="5" style="215" customWidth="1"/>
    <col min="12036" max="12036" width="35" style="215" customWidth="1"/>
    <col min="12037" max="12037" width="13.7109375" style="215" customWidth="1"/>
    <col min="12038" max="12038" width="9.7109375" style="215" customWidth="1"/>
    <col min="12039" max="12039" width="13.7109375" style="215" customWidth="1"/>
    <col min="12040" max="12040" width="11.7109375" style="215" customWidth="1"/>
    <col min="12041" max="12041" width="13.7109375" style="215" customWidth="1"/>
    <col min="12042" max="12042" width="8.42578125" style="215" customWidth="1"/>
    <col min="12043" max="12043" width="13.7109375" style="215" customWidth="1"/>
    <col min="12044" max="12044" width="8.7109375" style="215" customWidth="1"/>
    <col min="12045" max="12045" width="13.7109375" style="215" customWidth="1"/>
    <col min="12046" max="12046" width="8.7109375" style="215" customWidth="1"/>
    <col min="12047" max="12047" width="13.7109375" style="215" customWidth="1"/>
    <col min="12048" max="12048" width="8.7109375" style="215" customWidth="1"/>
    <col min="12049" max="12049" width="13.7109375" style="215" customWidth="1"/>
    <col min="12050" max="12050" width="8.42578125" style="215" customWidth="1"/>
    <col min="12051" max="12051" width="13.7109375" style="215" customWidth="1"/>
    <col min="12052" max="12052" width="8.7109375" style="215" customWidth="1"/>
    <col min="12053" max="12053" width="13.7109375" style="215" customWidth="1"/>
    <col min="12054" max="12054" width="8.7109375" style="215" customWidth="1"/>
    <col min="12055" max="12055" width="13.7109375" style="215" customWidth="1"/>
    <col min="12056" max="12056" width="8.7109375" style="215" customWidth="1"/>
    <col min="12057" max="12057" width="13.7109375" style="215" customWidth="1"/>
    <col min="12058" max="12058" width="8.7109375" style="215" customWidth="1"/>
    <col min="12059" max="12059" width="13.7109375" style="215" customWidth="1"/>
    <col min="12060" max="12060" width="8.7109375" style="215" customWidth="1"/>
    <col min="12061" max="12061" width="13.7109375" style="215" customWidth="1"/>
    <col min="12062" max="12062" width="8.7109375" style="215" customWidth="1"/>
    <col min="12063" max="12063" width="13.7109375" style="215" customWidth="1"/>
    <col min="12064" max="12064" width="8.7109375" style="215" customWidth="1"/>
    <col min="12065" max="12065" width="13.7109375" style="215" customWidth="1"/>
    <col min="12066" max="12066" width="9.7109375" style="215" customWidth="1"/>
    <col min="12067" max="12067" width="13.7109375" style="215" customWidth="1"/>
    <col min="12068" max="12068" width="10.7109375" style="215" customWidth="1"/>
    <col min="12069" max="12069" width="13.7109375" style="215" customWidth="1"/>
    <col min="12070" max="12070" width="11.5703125" style="215" customWidth="1"/>
    <col min="12071" max="12071" width="13.7109375" style="215" customWidth="1"/>
    <col min="12072" max="12072" width="10.7109375" style="215" customWidth="1"/>
    <col min="12073" max="12073" width="12.42578125" style="215" bestFit="1" customWidth="1"/>
    <col min="12074" max="12074" width="22.7109375" style="215" customWidth="1"/>
    <col min="12075" max="12075" width="22" style="215" bestFit="1" customWidth="1"/>
    <col min="12076" max="12076" width="12.7109375" style="215" customWidth="1"/>
    <col min="12077" max="12077" width="20.5703125" style="215" customWidth="1"/>
    <col min="12078" max="12078" width="12.7109375" style="215" customWidth="1"/>
    <col min="12079" max="12079" width="20.7109375" style="215" customWidth="1"/>
    <col min="12080" max="12080" width="12.7109375" style="215" customWidth="1"/>
    <col min="12081" max="12081" width="20.7109375" style="215" customWidth="1"/>
    <col min="12082" max="12082" width="12.7109375" style="215" customWidth="1"/>
    <col min="12083" max="12083" width="20.7109375" style="215" customWidth="1"/>
    <col min="12084" max="12084" width="12.7109375" style="215" customWidth="1"/>
    <col min="12085" max="12085" width="20.7109375" style="215" customWidth="1"/>
    <col min="12086" max="12086" width="12.7109375" style="215" customWidth="1"/>
    <col min="12087" max="12087" width="20.7109375" style="215" customWidth="1"/>
    <col min="12088" max="12088" width="12.7109375" style="215" customWidth="1"/>
    <col min="12089" max="12289" width="9.140625" style="215"/>
    <col min="12290" max="12290" width="6.140625" style="215" customWidth="1"/>
    <col min="12291" max="12291" width="5" style="215" customWidth="1"/>
    <col min="12292" max="12292" width="35" style="215" customWidth="1"/>
    <col min="12293" max="12293" width="13.7109375" style="215" customWidth="1"/>
    <col min="12294" max="12294" width="9.7109375" style="215" customWidth="1"/>
    <col min="12295" max="12295" width="13.7109375" style="215" customWidth="1"/>
    <col min="12296" max="12296" width="11.7109375" style="215" customWidth="1"/>
    <col min="12297" max="12297" width="13.7109375" style="215" customWidth="1"/>
    <col min="12298" max="12298" width="8.42578125" style="215" customWidth="1"/>
    <col min="12299" max="12299" width="13.7109375" style="215" customWidth="1"/>
    <col min="12300" max="12300" width="8.7109375" style="215" customWidth="1"/>
    <col min="12301" max="12301" width="13.7109375" style="215" customWidth="1"/>
    <col min="12302" max="12302" width="8.7109375" style="215" customWidth="1"/>
    <col min="12303" max="12303" width="13.7109375" style="215" customWidth="1"/>
    <col min="12304" max="12304" width="8.7109375" style="215" customWidth="1"/>
    <col min="12305" max="12305" width="13.7109375" style="215" customWidth="1"/>
    <col min="12306" max="12306" width="8.42578125" style="215" customWidth="1"/>
    <col min="12307" max="12307" width="13.7109375" style="215" customWidth="1"/>
    <col min="12308" max="12308" width="8.7109375" style="215" customWidth="1"/>
    <col min="12309" max="12309" width="13.7109375" style="215" customWidth="1"/>
    <col min="12310" max="12310" width="8.7109375" style="215" customWidth="1"/>
    <col min="12311" max="12311" width="13.7109375" style="215" customWidth="1"/>
    <col min="12312" max="12312" width="8.7109375" style="215" customWidth="1"/>
    <col min="12313" max="12313" width="13.7109375" style="215" customWidth="1"/>
    <col min="12314" max="12314" width="8.7109375" style="215" customWidth="1"/>
    <col min="12315" max="12315" width="13.7109375" style="215" customWidth="1"/>
    <col min="12316" max="12316" width="8.7109375" style="215" customWidth="1"/>
    <col min="12317" max="12317" width="13.7109375" style="215" customWidth="1"/>
    <col min="12318" max="12318" width="8.7109375" style="215" customWidth="1"/>
    <col min="12319" max="12319" width="13.7109375" style="215" customWidth="1"/>
    <col min="12320" max="12320" width="8.7109375" style="215" customWidth="1"/>
    <col min="12321" max="12321" width="13.7109375" style="215" customWidth="1"/>
    <col min="12322" max="12322" width="9.7109375" style="215" customWidth="1"/>
    <col min="12323" max="12323" width="13.7109375" style="215" customWidth="1"/>
    <col min="12324" max="12324" width="10.7109375" style="215" customWidth="1"/>
    <col min="12325" max="12325" width="13.7109375" style="215" customWidth="1"/>
    <col min="12326" max="12326" width="11.5703125" style="215" customWidth="1"/>
    <col min="12327" max="12327" width="13.7109375" style="215" customWidth="1"/>
    <col min="12328" max="12328" width="10.7109375" style="215" customWidth="1"/>
    <col min="12329" max="12329" width="12.42578125" style="215" bestFit="1" customWidth="1"/>
    <col min="12330" max="12330" width="22.7109375" style="215" customWidth="1"/>
    <col min="12331" max="12331" width="22" style="215" bestFit="1" customWidth="1"/>
    <col min="12332" max="12332" width="12.7109375" style="215" customWidth="1"/>
    <col min="12333" max="12333" width="20.5703125" style="215" customWidth="1"/>
    <col min="12334" max="12334" width="12.7109375" style="215" customWidth="1"/>
    <col min="12335" max="12335" width="20.7109375" style="215" customWidth="1"/>
    <col min="12336" max="12336" width="12.7109375" style="215" customWidth="1"/>
    <col min="12337" max="12337" width="20.7109375" style="215" customWidth="1"/>
    <col min="12338" max="12338" width="12.7109375" style="215" customWidth="1"/>
    <col min="12339" max="12339" width="20.7109375" style="215" customWidth="1"/>
    <col min="12340" max="12340" width="12.7109375" style="215" customWidth="1"/>
    <col min="12341" max="12341" width="20.7109375" style="215" customWidth="1"/>
    <col min="12342" max="12342" width="12.7109375" style="215" customWidth="1"/>
    <col min="12343" max="12343" width="20.7109375" style="215" customWidth="1"/>
    <col min="12344" max="12344" width="12.7109375" style="215" customWidth="1"/>
    <col min="12345" max="12545" width="9.140625" style="215"/>
    <col min="12546" max="12546" width="6.140625" style="215" customWidth="1"/>
    <col min="12547" max="12547" width="5" style="215" customWidth="1"/>
    <col min="12548" max="12548" width="35" style="215" customWidth="1"/>
    <col min="12549" max="12549" width="13.7109375" style="215" customWidth="1"/>
    <col min="12550" max="12550" width="9.7109375" style="215" customWidth="1"/>
    <col min="12551" max="12551" width="13.7109375" style="215" customWidth="1"/>
    <col min="12552" max="12552" width="11.7109375" style="215" customWidth="1"/>
    <col min="12553" max="12553" width="13.7109375" style="215" customWidth="1"/>
    <col min="12554" max="12554" width="8.42578125" style="215" customWidth="1"/>
    <col min="12555" max="12555" width="13.7109375" style="215" customWidth="1"/>
    <col min="12556" max="12556" width="8.7109375" style="215" customWidth="1"/>
    <col min="12557" max="12557" width="13.7109375" style="215" customWidth="1"/>
    <col min="12558" max="12558" width="8.7109375" style="215" customWidth="1"/>
    <col min="12559" max="12559" width="13.7109375" style="215" customWidth="1"/>
    <col min="12560" max="12560" width="8.7109375" style="215" customWidth="1"/>
    <col min="12561" max="12561" width="13.7109375" style="215" customWidth="1"/>
    <col min="12562" max="12562" width="8.42578125" style="215" customWidth="1"/>
    <col min="12563" max="12563" width="13.7109375" style="215" customWidth="1"/>
    <col min="12564" max="12564" width="8.7109375" style="215" customWidth="1"/>
    <col min="12565" max="12565" width="13.7109375" style="215" customWidth="1"/>
    <col min="12566" max="12566" width="8.7109375" style="215" customWidth="1"/>
    <col min="12567" max="12567" width="13.7109375" style="215" customWidth="1"/>
    <col min="12568" max="12568" width="8.7109375" style="215" customWidth="1"/>
    <col min="12569" max="12569" width="13.7109375" style="215" customWidth="1"/>
    <col min="12570" max="12570" width="8.7109375" style="215" customWidth="1"/>
    <col min="12571" max="12571" width="13.7109375" style="215" customWidth="1"/>
    <col min="12572" max="12572" width="8.7109375" style="215" customWidth="1"/>
    <col min="12573" max="12573" width="13.7109375" style="215" customWidth="1"/>
    <col min="12574" max="12574" width="8.7109375" style="215" customWidth="1"/>
    <col min="12575" max="12575" width="13.7109375" style="215" customWidth="1"/>
    <col min="12576" max="12576" width="8.7109375" style="215" customWidth="1"/>
    <col min="12577" max="12577" width="13.7109375" style="215" customWidth="1"/>
    <col min="12578" max="12578" width="9.7109375" style="215" customWidth="1"/>
    <col min="12579" max="12579" width="13.7109375" style="215" customWidth="1"/>
    <col min="12580" max="12580" width="10.7109375" style="215" customWidth="1"/>
    <col min="12581" max="12581" width="13.7109375" style="215" customWidth="1"/>
    <col min="12582" max="12582" width="11.5703125" style="215" customWidth="1"/>
    <col min="12583" max="12583" width="13.7109375" style="215" customWidth="1"/>
    <col min="12584" max="12584" width="10.7109375" style="215" customWidth="1"/>
    <col min="12585" max="12585" width="12.42578125" style="215" bestFit="1" customWidth="1"/>
    <col min="12586" max="12586" width="22.7109375" style="215" customWidth="1"/>
    <col min="12587" max="12587" width="22" style="215" bestFit="1" customWidth="1"/>
    <col min="12588" max="12588" width="12.7109375" style="215" customWidth="1"/>
    <col min="12589" max="12589" width="20.5703125" style="215" customWidth="1"/>
    <col min="12590" max="12590" width="12.7109375" style="215" customWidth="1"/>
    <col min="12591" max="12591" width="20.7109375" style="215" customWidth="1"/>
    <col min="12592" max="12592" width="12.7109375" style="215" customWidth="1"/>
    <col min="12593" max="12593" width="20.7109375" style="215" customWidth="1"/>
    <col min="12594" max="12594" width="12.7109375" style="215" customWidth="1"/>
    <col min="12595" max="12595" width="20.7109375" style="215" customWidth="1"/>
    <col min="12596" max="12596" width="12.7109375" style="215" customWidth="1"/>
    <col min="12597" max="12597" width="20.7109375" style="215" customWidth="1"/>
    <col min="12598" max="12598" width="12.7109375" style="215" customWidth="1"/>
    <col min="12599" max="12599" width="20.7109375" style="215" customWidth="1"/>
    <col min="12600" max="12600" width="12.7109375" style="215" customWidth="1"/>
    <col min="12601" max="12801" width="9.140625" style="215"/>
    <col min="12802" max="12802" width="6.140625" style="215" customWidth="1"/>
    <col min="12803" max="12803" width="5" style="215" customWidth="1"/>
    <col min="12804" max="12804" width="35" style="215" customWidth="1"/>
    <col min="12805" max="12805" width="13.7109375" style="215" customWidth="1"/>
    <col min="12806" max="12806" width="9.7109375" style="215" customWidth="1"/>
    <col min="12807" max="12807" width="13.7109375" style="215" customWidth="1"/>
    <col min="12808" max="12808" width="11.7109375" style="215" customWidth="1"/>
    <col min="12809" max="12809" width="13.7109375" style="215" customWidth="1"/>
    <col min="12810" max="12810" width="8.42578125" style="215" customWidth="1"/>
    <col min="12811" max="12811" width="13.7109375" style="215" customWidth="1"/>
    <col min="12812" max="12812" width="8.7109375" style="215" customWidth="1"/>
    <col min="12813" max="12813" width="13.7109375" style="215" customWidth="1"/>
    <col min="12814" max="12814" width="8.7109375" style="215" customWidth="1"/>
    <col min="12815" max="12815" width="13.7109375" style="215" customWidth="1"/>
    <col min="12816" max="12816" width="8.7109375" style="215" customWidth="1"/>
    <col min="12817" max="12817" width="13.7109375" style="215" customWidth="1"/>
    <col min="12818" max="12818" width="8.42578125" style="215" customWidth="1"/>
    <col min="12819" max="12819" width="13.7109375" style="215" customWidth="1"/>
    <col min="12820" max="12820" width="8.7109375" style="215" customWidth="1"/>
    <col min="12821" max="12821" width="13.7109375" style="215" customWidth="1"/>
    <col min="12822" max="12822" width="8.7109375" style="215" customWidth="1"/>
    <col min="12823" max="12823" width="13.7109375" style="215" customWidth="1"/>
    <col min="12824" max="12824" width="8.7109375" style="215" customWidth="1"/>
    <col min="12825" max="12825" width="13.7109375" style="215" customWidth="1"/>
    <col min="12826" max="12826" width="8.7109375" style="215" customWidth="1"/>
    <col min="12827" max="12827" width="13.7109375" style="215" customWidth="1"/>
    <col min="12828" max="12828" width="8.7109375" style="215" customWidth="1"/>
    <col min="12829" max="12829" width="13.7109375" style="215" customWidth="1"/>
    <col min="12830" max="12830" width="8.7109375" style="215" customWidth="1"/>
    <col min="12831" max="12831" width="13.7109375" style="215" customWidth="1"/>
    <col min="12832" max="12832" width="8.7109375" style="215" customWidth="1"/>
    <col min="12833" max="12833" width="13.7109375" style="215" customWidth="1"/>
    <col min="12834" max="12834" width="9.7109375" style="215" customWidth="1"/>
    <col min="12835" max="12835" width="13.7109375" style="215" customWidth="1"/>
    <col min="12836" max="12836" width="10.7109375" style="215" customWidth="1"/>
    <col min="12837" max="12837" width="13.7109375" style="215" customWidth="1"/>
    <col min="12838" max="12838" width="11.5703125" style="215" customWidth="1"/>
    <col min="12839" max="12839" width="13.7109375" style="215" customWidth="1"/>
    <col min="12840" max="12840" width="10.7109375" style="215" customWidth="1"/>
    <col min="12841" max="12841" width="12.42578125" style="215" bestFit="1" customWidth="1"/>
    <col min="12842" max="12842" width="22.7109375" style="215" customWidth="1"/>
    <col min="12843" max="12843" width="22" style="215" bestFit="1" customWidth="1"/>
    <col min="12844" max="12844" width="12.7109375" style="215" customWidth="1"/>
    <col min="12845" max="12845" width="20.5703125" style="215" customWidth="1"/>
    <col min="12846" max="12846" width="12.7109375" style="215" customWidth="1"/>
    <col min="12847" max="12847" width="20.7109375" style="215" customWidth="1"/>
    <col min="12848" max="12848" width="12.7109375" style="215" customWidth="1"/>
    <col min="12849" max="12849" width="20.7109375" style="215" customWidth="1"/>
    <col min="12850" max="12850" width="12.7109375" style="215" customWidth="1"/>
    <col min="12851" max="12851" width="20.7109375" style="215" customWidth="1"/>
    <col min="12852" max="12852" width="12.7109375" style="215" customWidth="1"/>
    <col min="12853" max="12853" width="20.7109375" style="215" customWidth="1"/>
    <col min="12854" max="12854" width="12.7109375" style="215" customWidth="1"/>
    <col min="12855" max="12855" width="20.7109375" style="215" customWidth="1"/>
    <col min="12856" max="12856" width="12.7109375" style="215" customWidth="1"/>
    <col min="12857" max="13057" width="9.140625" style="215"/>
    <col min="13058" max="13058" width="6.140625" style="215" customWidth="1"/>
    <col min="13059" max="13059" width="5" style="215" customWidth="1"/>
    <col min="13060" max="13060" width="35" style="215" customWidth="1"/>
    <col min="13061" max="13061" width="13.7109375" style="215" customWidth="1"/>
    <col min="13062" max="13062" width="9.7109375" style="215" customWidth="1"/>
    <col min="13063" max="13063" width="13.7109375" style="215" customWidth="1"/>
    <col min="13064" max="13064" width="11.7109375" style="215" customWidth="1"/>
    <col min="13065" max="13065" width="13.7109375" style="215" customWidth="1"/>
    <col min="13066" max="13066" width="8.42578125" style="215" customWidth="1"/>
    <col min="13067" max="13067" width="13.7109375" style="215" customWidth="1"/>
    <col min="13068" max="13068" width="8.7109375" style="215" customWidth="1"/>
    <col min="13069" max="13069" width="13.7109375" style="215" customWidth="1"/>
    <col min="13070" max="13070" width="8.7109375" style="215" customWidth="1"/>
    <col min="13071" max="13071" width="13.7109375" style="215" customWidth="1"/>
    <col min="13072" max="13072" width="8.7109375" style="215" customWidth="1"/>
    <col min="13073" max="13073" width="13.7109375" style="215" customWidth="1"/>
    <col min="13074" max="13074" width="8.42578125" style="215" customWidth="1"/>
    <col min="13075" max="13075" width="13.7109375" style="215" customWidth="1"/>
    <col min="13076" max="13076" width="8.7109375" style="215" customWidth="1"/>
    <col min="13077" max="13077" width="13.7109375" style="215" customWidth="1"/>
    <col min="13078" max="13078" width="8.7109375" style="215" customWidth="1"/>
    <col min="13079" max="13079" width="13.7109375" style="215" customWidth="1"/>
    <col min="13080" max="13080" width="8.7109375" style="215" customWidth="1"/>
    <col min="13081" max="13081" width="13.7109375" style="215" customWidth="1"/>
    <col min="13082" max="13082" width="8.7109375" style="215" customWidth="1"/>
    <col min="13083" max="13083" width="13.7109375" style="215" customWidth="1"/>
    <col min="13084" max="13084" width="8.7109375" style="215" customWidth="1"/>
    <col min="13085" max="13085" width="13.7109375" style="215" customWidth="1"/>
    <col min="13086" max="13086" width="8.7109375" style="215" customWidth="1"/>
    <col min="13087" max="13087" width="13.7109375" style="215" customWidth="1"/>
    <col min="13088" max="13088" width="8.7109375" style="215" customWidth="1"/>
    <col min="13089" max="13089" width="13.7109375" style="215" customWidth="1"/>
    <col min="13090" max="13090" width="9.7109375" style="215" customWidth="1"/>
    <col min="13091" max="13091" width="13.7109375" style="215" customWidth="1"/>
    <col min="13092" max="13092" width="10.7109375" style="215" customWidth="1"/>
    <col min="13093" max="13093" width="13.7109375" style="215" customWidth="1"/>
    <col min="13094" max="13094" width="11.5703125" style="215" customWidth="1"/>
    <col min="13095" max="13095" width="13.7109375" style="215" customWidth="1"/>
    <col min="13096" max="13096" width="10.7109375" style="215" customWidth="1"/>
    <col min="13097" max="13097" width="12.42578125" style="215" bestFit="1" customWidth="1"/>
    <col min="13098" max="13098" width="22.7109375" style="215" customWidth="1"/>
    <col min="13099" max="13099" width="22" style="215" bestFit="1" customWidth="1"/>
    <col min="13100" max="13100" width="12.7109375" style="215" customWidth="1"/>
    <col min="13101" max="13101" width="20.5703125" style="215" customWidth="1"/>
    <col min="13102" max="13102" width="12.7109375" style="215" customWidth="1"/>
    <col min="13103" max="13103" width="20.7109375" style="215" customWidth="1"/>
    <col min="13104" max="13104" width="12.7109375" style="215" customWidth="1"/>
    <col min="13105" max="13105" width="20.7109375" style="215" customWidth="1"/>
    <col min="13106" max="13106" width="12.7109375" style="215" customWidth="1"/>
    <col min="13107" max="13107" width="20.7109375" style="215" customWidth="1"/>
    <col min="13108" max="13108" width="12.7109375" style="215" customWidth="1"/>
    <col min="13109" max="13109" width="20.7109375" style="215" customWidth="1"/>
    <col min="13110" max="13110" width="12.7109375" style="215" customWidth="1"/>
    <col min="13111" max="13111" width="20.7109375" style="215" customWidth="1"/>
    <col min="13112" max="13112" width="12.7109375" style="215" customWidth="1"/>
    <col min="13113" max="13313" width="9.140625" style="215"/>
    <col min="13314" max="13314" width="6.140625" style="215" customWidth="1"/>
    <col min="13315" max="13315" width="5" style="215" customWidth="1"/>
    <col min="13316" max="13316" width="35" style="215" customWidth="1"/>
    <col min="13317" max="13317" width="13.7109375" style="215" customWidth="1"/>
    <col min="13318" max="13318" width="9.7109375" style="215" customWidth="1"/>
    <col min="13319" max="13319" width="13.7109375" style="215" customWidth="1"/>
    <col min="13320" max="13320" width="11.7109375" style="215" customWidth="1"/>
    <col min="13321" max="13321" width="13.7109375" style="215" customWidth="1"/>
    <col min="13322" max="13322" width="8.42578125" style="215" customWidth="1"/>
    <col min="13323" max="13323" width="13.7109375" style="215" customWidth="1"/>
    <col min="13324" max="13324" width="8.7109375" style="215" customWidth="1"/>
    <col min="13325" max="13325" width="13.7109375" style="215" customWidth="1"/>
    <col min="13326" max="13326" width="8.7109375" style="215" customWidth="1"/>
    <col min="13327" max="13327" width="13.7109375" style="215" customWidth="1"/>
    <col min="13328" max="13328" width="8.7109375" style="215" customWidth="1"/>
    <col min="13329" max="13329" width="13.7109375" style="215" customWidth="1"/>
    <col min="13330" max="13330" width="8.42578125" style="215" customWidth="1"/>
    <col min="13331" max="13331" width="13.7109375" style="215" customWidth="1"/>
    <col min="13332" max="13332" width="8.7109375" style="215" customWidth="1"/>
    <col min="13333" max="13333" width="13.7109375" style="215" customWidth="1"/>
    <col min="13334" max="13334" width="8.7109375" style="215" customWidth="1"/>
    <col min="13335" max="13335" width="13.7109375" style="215" customWidth="1"/>
    <col min="13336" max="13336" width="8.7109375" style="215" customWidth="1"/>
    <col min="13337" max="13337" width="13.7109375" style="215" customWidth="1"/>
    <col min="13338" max="13338" width="8.7109375" style="215" customWidth="1"/>
    <col min="13339" max="13339" width="13.7109375" style="215" customWidth="1"/>
    <col min="13340" max="13340" width="8.7109375" style="215" customWidth="1"/>
    <col min="13341" max="13341" width="13.7109375" style="215" customWidth="1"/>
    <col min="13342" max="13342" width="8.7109375" style="215" customWidth="1"/>
    <col min="13343" max="13343" width="13.7109375" style="215" customWidth="1"/>
    <col min="13344" max="13344" width="8.7109375" style="215" customWidth="1"/>
    <col min="13345" max="13345" width="13.7109375" style="215" customWidth="1"/>
    <col min="13346" max="13346" width="9.7109375" style="215" customWidth="1"/>
    <col min="13347" max="13347" width="13.7109375" style="215" customWidth="1"/>
    <col min="13348" max="13348" width="10.7109375" style="215" customWidth="1"/>
    <col min="13349" max="13349" width="13.7109375" style="215" customWidth="1"/>
    <col min="13350" max="13350" width="11.5703125" style="215" customWidth="1"/>
    <col min="13351" max="13351" width="13.7109375" style="215" customWidth="1"/>
    <col min="13352" max="13352" width="10.7109375" style="215" customWidth="1"/>
    <col min="13353" max="13353" width="12.42578125" style="215" bestFit="1" customWidth="1"/>
    <col min="13354" max="13354" width="22.7109375" style="215" customWidth="1"/>
    <col min="13355" max="13355" width="22" style="215" bestFit="1" customWidth="1"/>
    <col min="13356" max="13356" width="12.7109375" style="215" customWidth="1"/>
    <col min="13357" max="13357" width="20.5703125" style="215" customWidth="1"/>
    <col min="13358" max="13358" width="12.7109375" style="215" customWidth="1"/>
    <col min="13359" max="13359" width="20.7109375" style="215" customWidth="1"/>
    <col min="13360" max="13360" width="12.7109375" style="215" customWidth="1"/>
    <col min="13361" max="13361" width="20.7109375" style="215" customWidth="1"/>
    <col min="13362" max="13362" width="12.7109375" style="215" customWidth="1"/>
    <col min="13363" max="13363" width="20.7109375" style="215" customWidth="1"/>
    <col min="13364" max="13364" width="12.7109375" style="215" customWidth="1"/>
    <col min="13365" max="13365" width="20.7109375" style="215" customWidth="1"/>
    <col min="13366" max="13366" width="12.7109375" style="215" customWidth="1"/>
    <col min="13367" max="13367" width="20.7109375" style="215" customWidth="1"/>
    <col min="13368" max="13368" width="12.7109375" style="215" customWidth="1"/>
    <col min="13369" max="13569" width="9.140625" style="215"/>
    <col min="13570" max="13570" width="6.140625" style="215" customWidth="1"/>
    <col min="13571" max="13571" width="5" style="215" customWidth="1"/>
    <col min="13572" max="13572" width="35" style="215" customWidth="1"/>
    <col min="13573" max="13573" width="13.7109375" style="215" customWidth="1"/>
    <col min="13574" max="13574" width="9.7109375" style="215" customWidth="1"/>
    <col min="13575" max="13575" width="13.7109375" style="215" customWidth="1"/>
    <col min="13576" max="13576" width="11.7109375" style="215" customWidth="1"/>
    <col min="13577" max="13577" width="13.7109375" style="215" customWidth="1"/>
    <col min="13578" max="13578" width="8.42578125" style="215" customWidth="1"/>
    <col min="13579" max="13579" width="13.7109375" style="215" customWidth="1"/>
    <col min="13580" max="13580" width="8.7109375" style="215" customWidth="1"/>
    <col min="13581" max="13581" width="13.7109375" style="215" customWidth="1"/>
    <col min="13582" max="13582" width="8.7109375" style="215" customWidth="1"/>
    <col min="13583" max="13583" width="13.7109375" style="215" customWidth="1"/>
    <col min="13584" max="13584" width="8.7109375" style="215" customWidth="1"/>
    <col min="13585" max="13585" width="13.7109375" style="215" customWidth="1"/>
    <col min="13586" max="13586" width="8.42578125" style="215" customWidth="1"/>
    <col min="13587" max="13587" width="13.7109375" style="215" customWidth="1"/>
    <col min="13588" max="13588" width="8.7109375" style="215" customWidth="1"/>
    <col min="13589" max="13589" width="13.7109375" style="215" customWidth="1"/>
    <col min="13590" max="13590" width="8.7109375" style="215" customWidth="1"/>
    <col min="13591" max="13591" width="13.7109375" style="215" customWidth="1"/>
    <col min="13592" max="13592" width="8.7109375" style="215" customWidth="1"/>
    <col min="13593" max="13593" width="13.7109375" style="215" customWidth="1"/>
    <col min="13594" max="13594" width="8.7109375" style="215" customWidth="1"/>
    <col min="13595" max="13595" width="13.7109375" style="215" customWidth="1"/>
    <col min="13596" max="13596" width="8.7109375" style="215" customWidth="1"/>
    <col min="13597" max="13597" width="13.7109375" style="215" customWidth="1"/>
    <col min="13598" max="13598" width="8.7109375" style="215" customWidth="1"/>
    <col min="13599" max="13599" width="13.7109375" style="215" customWidth="1"/>
    <col min="13600" max="13600" width="8.7109375" style="215" customWidth="1"/>
    <col min="13601" max="13601" width="13.7109375" style="215" customWidth="1"/>
    <col min="13602" max="13602" width="9.7109375" style="215" customWidth="1"/>
    <col min="13603" max="13603" width="13.7109375" style="215" customWidth="1"/>
    <col min="13604" max="13604" width="10.7109375" style="215" customWidth="1"/>
    <col min="13605" max="13605" width="13.7109375" style="215" customWidth="1"/>
    <col min="13606" max="13606" width="11.5703125" style="215" customWidth="1"/>
    <col min="13607" max="13607" width="13.7109375" style="215" customWidth="1"/>
    <col min="13608" max="13608" width="10.7109375" style="215" customWidth="1"/>
    <col min="13609" max="13609" width="12.42578125" style="215" bestFit="1" customWidth="1"/>
    <col min="13610" max="13610" width="22.7109375" style="215" customWidth="1"/>
    <col min="13611" max="13611" width="22" style="215" bestFit="1" customWidth="1"/>
    <col min="13612" max="13612" width="12.7109375" style="215" customWidth="1"/>
    <col min="13613" max="13613" width="20.5703125" style="215" customWidth="1"/>
    <col min="13614" max="13614" width="12.7109375" style="215" customWidth="1"/>
    <col min="13615" max="13615" width="20.7109375" style="215" customWidth="1"/>
    <col min="13616" max="13616" width="12.7109375" style="215" customWidth="1"/>
    <col min="13617" max="13617" width="20.7109375" style="215" customWidth="1"/>
    <col min="13618" max="13618" width="12.7109375" style="215" customWidth="1"/>
    <col min="13619" max="13619" width="20.7109375" style="215" customWidth="1"/>
    <col min="13620" max="13620" width="12.7109375" style="215" customWidth="1"/>
    <col min="13621" max="13621" width="20.7109375" style="215" customWidth="1"/>
    <col min="13622" max="13622" width="12.7109375" style="215" customWidth="1"/>
    <col min="13623" max="13623" width="20.7109375" style="215" customWidth="1"/>
    <col min="13624" max="13624" width="12.7109375" style="215" customWidth="1"/>
    <col min="13625" max="13825" width="9.140625" style="215"/>
    <col min="13826" max="13826" width="6.140625" style="215" customWidth="1"/>
    <col min="13827" max="13827" width="5" style="215" customWidth="1"/>
    <col min="13828" max="13828" width="35" style="215" customWidth="1"/>
    <col min="13829" max="13829" width="13.7109375" style="215" customWidth="1"/>
    <col min="13830" max="13830" width="9.7109375" style="215" customWidth="1"/>
    <col min="13831" max="13831" width="13.7109375" style="215" customWidth="1"/>
    <col min="13832" max="13832" width="11.7109375" style="215" customWidth="1"/>
    <col min="13833" max="13833" width="13.7109375" style="215" customWidth="1"/>
    <col min="13834" max="13834" width="8.42578125" style="215" customWidth="1"/>
    <col min="13835" max="13835" width="13.7109375" style="215" customWidth="1"/>
    <col min="13836" max="13836" width="8.7109375" style="215" customWidth="1"/>
    <col min="13837" max="13837" width="13.7109375" style="215" customWidth="1"/>
    <col min="13838" max="13838" width="8.7109375" style="215" customWidth="1"/>
    <col min="13839" max="13839" width="13.7109375" style="215" customWidth="1"/>
    <col min="13840" max="13840" width="8.7109375" style="215" customWidth="1"/>
    <col min="13841" max="13841" width="13.7109375" style="215" customWidth="1"/>
    <col min="13842" max="13842" width="8.42578125" style="215" customWidth="1"/>
    <col min="13843" max="13843" width="13.7109375" style="215" customWidth="1"/>
    <col min="13844" max="13844" width="8.7109375" style="215" customWidth="1"/>
    <col min="13845" max="13845" width="13.7109375" style="215" customWidth="1"/>
    <col min="13846" max="13846" width="8.7109375" style="215" customWidth="1"/>
    <col min="13847" max="13847" width="13.7109375" style="215" customWidth="1"/>
    <col min="13848" max="13848" width="8.7109375" style="215" customWidth="1"/>
    <col min="13849" max="13849" width="13.7109375" style="215" customWidth="1"/>
    <col min="13850" max="13850" width="8.7109375" style="215" customWidth="1"/>
    <col min="13851" max="13851" width="13.7109375" style="215" customWidth="1"/>
    <col min="13852" max="13852" width="8.7109375" style="215" customWidth="1"/>
    <col min="13853" max="13853" width="13.7109375" style="215" customWidth="1"/>
    <col min="13854" max="13854" width="8.7109375" style="215" customWidth="1"/>
    <col min="13855" max="13855" width="13.7109375" style="215" customWidth="1"/>
    <col min="13856" max="13856" width="8.7109375" style="215" customWidth="1"/>
    <col min="13857" max="13857" width="13.7109375" style="215" customWidth="1"/>
    <col min="13858" max="13858" width="9.7109375" style="215" customWidth="1"/>
    <col min="13859" max="13859" width="13.7109375" style="215" customWidth="1"/>
    <col min="13860" max="13860" width="10.7109375" style="215" customWidth="1"/>
    <col min="13861" max="13861" width="13.7109375" style="215" customWidth="1"/>
    <col min="13862" max="13862" width="11.5703125" style="215" customWidth="1"/>
    <col min="13863" max="13863" width="13.7109375" style="215" customWidth="1"/>
    <col min="13864" max="13864" width="10.7109375" style="215" customWidth="1"/>
    <col min="13865" max="13865" width="12.42578125" style="215" bestFit="1" customWidth="1"/>
    <col min="13866" max="13866" width="22.7109375" style="215" customWidth="1"/>
    <col min="13867" max="13867" width="22" style="215" bestFit="1" customWidth="1"/>
    <col min="13868" max="13868" width="12.7109375" style="215" customWidth="1"/>
    <col min="13869" max="13869" width="20.5703125" style="215" customWidth="1"/>
    <col min="13870" max="13870" width="12.7109375" style="215" customWidth="1"/>
    <col min="13871" max="13871" width="20.7109375" style="215" customWidth="1"/>
    <col min="13872" max="13872" width="12.7109375" style="215" customWidth="1"/>
    <col min="13873" max="13873" width="20.7109375" style="215" customWidth="1"/>
    <col min="13874" max="13874" width="12.7109375" style="215" customWidth="1"/>
    <col min="13875" max="13875" width="20.7109375" style="215" customWidth="1"/>
    <col min="13876" max="13876" width="12.7109375" style="215" customWidth="1"/>
    <col min="13877" max="13877" width="20.7109375" style="215" customWidth="1"/>
    <col min="13878" max="13878" width="12.7109375" style="215" customWidth="1"/>
    <col min="13879" max="13879" width="20.7109375" style="215" customWidth="1"/>
    <col min="13880" max="13880" width="12.7109375" style="215" customWidth="1"/>
    <col min="13881" max="14081" width="9.140625" style="215"/>
    <col min="14082" max="14082" width="6.140625" style="215" customWidth="1"/>
    <col min="14083" max="14083" width="5" style="215" customWidth="1"/>
    <col min="14084" max="14084" width="35" style="215" customWidth="1"/>
    <col min="14085" max="14085" width="13.7109375" style="215" customWidth="1"/>
    <col min="14086" max="14086" width="9.7109375" style="215" customWidth="1"/>
    <col min="14087" max="14087" width="13.7109375" style="215" customWidth="1"/>
    <col min="14088" max="14088" width="11.7109375" style="215" customWidth="1"/>
    <col min="14089" max="14089" width="13.7109375" style="215" customWidth="1"/>
    <col min="14090" max="14090" width="8.42578125" style="215" customWidth="1"/>
    <col min="14091" max="14091" width="13.7109375" style="215" customWidth="1"/>
    <col min="14092" max="14092" width="8.7109375" style="215" customWidth="1"/>
    <col min="14093" max="14093" width="13.7109375" style="215" customWidth="1"/>
    <col min="14094" max="14094" width="8.7109375" style="215" customWidth="1"/>
    <col min="14095" max="14095" width="13.7109375" style="215" customWidth="1"/>
    <col min="14096" max="14096" width="8.7109375" style="215" customWidth="1"/>
    <col min="14097" max="14097" width="13.7109375" style="215" customWidth="1"/>
    <col min="14098" max="14098" width="8.42578125" style="215" customWidth="1"/>
    <col min="14099" max="14099" width="13.7109375" style="215" customWidth="1"/>
    <col min="14100" max="14100" width="8.7109375" style="215" customWidth="1"/>
    <col min="14101" max="14101" width="13.7109375" style="215" customWidth="1"/>
    <col min="14102" max="14102" width="8.7109375" style="215" customWidth="1"/>
    <col min="14103" max="14103" width="13.7109375" style="215" customWidth="1"/>
    <col min="14104" max="14104" width="8.7109375" style="215" customWidth="1"/>
    <col min="14105" max="14105" width="13.7109375" style="215" customWidth="1"/>
    <col min="14106" max="14106" width="8.7109375" style="215" customWidth="1"/>
    <col min="14107" max="14107" width="13.7109375" style="215" customWidth="1"/>
    <col min="14108" max="14108" width="8.7109375" style="215" customWidth="1"/>
    <col min="14109" max="14109" width="13.7109375" style="215" customWidth="1"/>
    <col min="14110" max="14110" width="8.7109375" style="215" customWidth="1"/>
    <col min="14111" max="14111" width="13.7109375" style="215" customWidth="1"/>
    <col min="14112" max="14112" width="8.7109375" style="215" customWidth="1"/>
    <col min="14113" max="14113" width="13.7109375" style="215" customWidth="1"/>
    <col min="14114" max="14114" width="9.7109375" style="215" customWidth="1"/>
    <col min="14115" max="14115" width="13.7109375" style="215" customWidth="1"/>
    <col min="14116" max="14116" width="10.7109375" style="215" customWidth="1"/>
    <col min="14117" max="14117" width="13.7109375" style="215" customWidth="1"/>
    <col min="14118" max="14118" width="11.5703125" style="215" customWidth="1"/>
    <col min="14119" max="14119" width="13.7109375" style="215" customWidth="1"/>
    <col min="14120" max="14120" width="10.7109375" style="215" customWidth="1"/>
    <col min="14121" max="14121" width="12.42578125" style="215" bestFit="1" customWidth="1"/>
    <col min="14122" max="14122" width="22.7109375" style="215" customWidth="1"/>
    <col min="14123" max="14123" width="22" style="215" bestFit="1" customWidth="1"/>
    <col min="14124" max="14124" width="12.7109375" style="215" customWidth="1"/>
    <col min="14125" max="14125" width="20.5703125" style="215" customWidth="1"/>
    <col min="14126" max="14126" width="12.7109375" style="215" customWidth="1"/>
    <col min="14127" max="14127" width="20.7109375" style="215" customWidth="1"/>
    <col min="14128" max="14128" width="12.7109375" style="215" customWidth="1"/>
    <col min="14129" max="14129" width="20.7109375" style="215" customWidth="1"/>
    <col min="14130" max="14130" width="12.7109375" style="215" customWidth="1"/>
    <col min="14131" max="14131" width="20.7109375" style="215" customWidth="1"/>
    <col min="14132" max="14132" width="12.7109375" style="215" customWidth="1"/>
    <col min="14133" max="14133" width="20.7109375" style="215" customWidth="1"/>
    <col min="14134" max="14134" width="12.7109375" style="215" customWidth="1"/>
    <col min="14135" max="14135" width="20.7109375" style="215" customWidth="1"/>
    <col min="14136" max="14136" width="12.7109375" style="215" customWidth="1"/>
    <col min="14137" max="14337" width="9.140625" style="215"/>
    <col min="14338" max="14338" width="6.140625" style="215" customWidth="1"/>
    <col min="14339" max="14339" width="5" style="215" customWidth="1"/>
    <col min="14340" max="14340" width="35" style="215" customWidth="1"/>
    <col min="14341" max="14341" width="13.7109375" style="215" customWidth="1"/>
    <col min="14342" max="14342" width="9.7109375" style="215" customWidth="1"/>
    <col min="14343" max="14343" width="13.7109375" style="215" customWidth="1"/>
    <col min="14344" max="14344" width="11.7109375" style="215" customWidth="1"/>
    <col min="14345" max="14345" width="13.7109375" style="215" customWidth="1"/>
    <col min="14346" max="14346" width="8.42578125" style="215" customWidth="1"/>
    <col min="14347" max="14347" width="13.7109375" style="215" customWidth="1"/>
    <col min="14348" max="14348" width="8.7109375" style="215" customWidth="1"/>
    <col min="14349" max="14349" width="13.7109375" style="215" customWidth="1"/>
    <col min="14350" max="14350" width="8.7109375" style="215" customWidth="1"/>
    <col min="14351" max="14351" width="13.7109375" style="215" customWidth="1"/>
    <col min="14352" max="14352" width="8.7109375" style="215" customWidth="1"/>
    <col min="14353" max="14353" width="13.7109375" style="215" customWidth="1"/>
    <col min="14354" max="14354" width="8.42578125" style="215" customWidth="1"/>
    <col min="14355" max="14355" width="13.7109375" style="215" customWidth="1"/>
    <col min="14356" max="14356" width="8.7109375" style="215" customWidth="1"/>
    <col min="14357" max="14357" width="13.7109375" style="215" customWidth="1"/>
    <col min="14358" max="14358" width="8.7109375" style="215" customWidth="1"/>
    <col min="14359" max="14359" width="13.7109375" style="215" customWidth="1"/>
    <col min="14360" max="14360" width="8.7109375" style="215" customWidth="1"/>
    <col min="14361" max="14361" width="13.7109375" style="215" customWidth="1"/>
    <col min="14362" max="14362" width="8.7109375" style="215" customWidth="1"/>
    <col min="14363" max="14363" width="13.7109375" style="215" customWidth="1"/>
    <col min="14364" max="14364" width="8.7109375" style="215" customWidth="1"/>
    <col min="14365" max="14365" width="13.7109375" style="215" customWidth="1"/>
    <col min="14366" max="14366" width="8.7109375" style="215" customWidth="1"/>
    <col min="14367" max="14367" width="13.7109375" style="215" customWidth="1"/>
    <col min="14368" max="14368" width="8.7109375" style="215" customWidth="1"/>
    <col min="14369" max="14369" width="13.7109375" style="215" customWidth="1"/>
    <col min="14370" max="14370" width="9.7109375" style="215" customWidth="1"/>
    <col min="14371" max="14371" width="13.7109375" style="215" customWidth="1"/>
    <col min="14372" max="14372" width="10.7109375" style="215" customWidth="1"/>
    <col min="14373" max="14373" width="13.7109375" style="215" customWidth="1"/>
    <col min="14374" max="14374" width="11.5703125" style="215" customWidth="1"/>
    <col min="14375" max="14375" width="13.7109375" style="215" customWidth="1"/>
    <col min="14376" max="14376" width="10.7109375" style="215" customWidth="1"/>
    <col min="14377" max="14377" width="12.42578125" style="215" bestFit="1" customWidth="1"/>
    <col min="14378" max="14378" width="22.7109375" style="215" customWidth="1"/>
    <col min="14379" max="14379" width="22" style="215" bestFit="1" customWidth="1"/>
    <col min="14380" max="14380" width="12.7109375" style="215" customWidth="1"/>
    <col min="14381" max="14381" width="20.5703125" style="215" customWidth="1"/>
    <col min="14382" max="14382" width="12.7109375" style="215" customWidth="1"/>
    <col min="14383" max="14383" width="20.7109375" style="215" customWidth="1"/>
    <col min="14384" max="14384" width="12.7109375" style="215" customWidth="1"/>
    <col min="14385" max="14385" width="20.7109375" style="215" customWidth="1"/>
    <col min="14386" max="14386" width="12.7109375" style="215" customWidth="1"/>
    <col min="14387" max="14387" width="20.7109375" style="215" customWidth="1"/>
    <col min="14388" max="14388" width="12.7109375" style="215" customWidth="1"/>
    <col min="14389" max="14389" width="20.7109375" style="215" customWidth="1"/>
    <col min="14390" max="14390" width="12.7109375" style="215" customWidth="1"/>
    <col min="14391" max="14391" width="20.7109375" style="215" customWidth="1"/>
    <col min="14392" max="14392" width="12.7109375" style="215" customWidth="1"/>
    <col min="14393" max="14593" width="9.140625" style="215"/>
    <col min="14594" max="14594" width="6.140625" style="215" customWidth="1"/>
    <col min="14595" max="14595" width="5" style="215" customWidth="1"/>
    <col min="14596" max="14596" width="35" style="215" customWidth="1"/>
    <col min="14597" max="14597" width="13.7109375" style="215" customWidth="1"/>
    <col min="14598" max="14598" width="9.7109375" style="215" customWidth="1"/>
    <col min="14599" max="14599" width="13.7109375" style="215" customWidth="1"/>
    <col min="14600" max="14600" width="11.7109375" style="215" customWidth="1"/>
    <col min="14601" max="14601" width="13.7109375" style="215" customWidth="1"/>
    <col min="14602" max="14602" width="8.42578125" style="215" customWidth="1"/>
    <col min="14603" max="14603" width="13.7109375" style="215" customWidth="1"/>
    <col min="14604" max="14604" width="8.7109375" style="215" customWidth="1"/>
    <col min="14605" max="14605" width="13.7109375" style="215" customWidth="1"/>
    <col min="14606" max="14606" width="8.7109375" style="215" customWidth="1"/>
    <col min="14607" max="14607" width="13.7109375" style="215" customWidth="1"/>
    <col min="14608" max="14608" width="8.7109375" style="215" customWidth="1"/>
    <col min="14609" max="14609" width="13.7109375" style="215" customWidth="1"/>
    <col min="14610" max="14610" width="8.42578125" style="215" customWidth="1"/>
    <col min="14611" max="14611" width="13.7109375" style="215" customWidth="1"/>
    <col min="14612" max="14612" width="8.7109375" style="215" customWidth="1"/>
    <col min="14613" max="14613" width="13.7109375" style="215" customWidth="1"/>
    <col min="14614" max="14614" width="8.7109375" style="215" customWidth="1"/>
    <col min="14615" max="14615" width="13.7109375" style="215" customWidth="1"/>
    <col min="14616" max="14616" width="8.7109375" style="215" customWidth="1"/>
    <col min="14617" max="14617" width="13.7109375" style="215" customWidth="1"/>
    <col min="14618" max="14618" width="8.7109375" style="215" customWidth="1"/>
    <col min="14619" max="14619" width="13.7109375" style="215" customWidth="1"/>
    <col min="14620" max="14620" width="8.7109375" style="215" customWidth="1"/>
    <col min="14621" max="14621" width="13.7109375" style="215" customWidth="1"/>
    <col min="14622" max="14622" width="8.7109375" style="215" customWidth="1"/>
    <col min="14623" max="14623" width="13.7109375" style="215" customWidth="1"/>
    <col min="14624" max="14624" width="8.7109375" style="215" customWidth="1"/>
    <col min="14625" max="14625" width="13.7109375" style="215" customWidth="1"/>
    <col min="14626" max="14626" width="9.7109375" style="215" customWidth="1"/>
    <col min="14627" max="14627" width="13.7109375" style="215" customWidth="1"/>
    <col min="14628" max="14628" width="10.7109375" style="215" customWidth="1"/>
    <col min="14629" max="14629" width="13.7109375" style="215" customWidth="1"/>
    <col min="14630" max="14630" width="11.5703125" style="215" customWidth="1"/>
    <col min="14631" max="14631" width="13.7109375" style="215" customWidth="1"/>
    <col min="14632" max="14632" width="10.7109375" style="215" customWidth="1"/>
    <col min="14633" max="14633" width="12.42578125" style="215" bestFit="1" customWidth="1"/>
    <col min="14634" max="14634" width="22.7109375" style="215" customWidth="1"/>
    <col min="14635" max="14635" width="22" style="215" bestFit="1" customWidth="1"/>
    <col min="14636" max="14636" width="12.7109375" style="215" customWidth="1"/>
    <col min="14637" max="14637" width="20.5703125" style="215" customWidth="1"/>
    <col min="14638" max="14638" width="12.7109375" style="215" customWidth="1"/>
    <col min="14639" max="14639" width="20.7109375" style="215" customWidth="1"/>
    <col min="14640" max="14640" width="12.7109375" style="215" customWidth="1"/>
    <col min="14641" max="14641" width="20.7109375" style="215" customWidth="1"/>
    <col min="14642" max="14642" width="12.7109375" style="215" customWidth="1"/>
    <col min="14643" max="14643" width="20.7109375" style="215" customWidth="1"/>
    <col min="14644" max="14644" width="12.7109375" style="215" customWidth="1"/>
    <col min="14645" max="14645" width="20.7109375" style="215" customWidth="1"/>
    <col min="14646" max="14646" width="12.7109375" style="215" customWidth="1"/>
    <col min="14647" max="14647" width="20.7109375" style="215" customWidth="1"/>
    <col min="14648" max="14648" width="12.7109375" style="215" customWidth="1"/>
    <col min="14649" max="14849" width="9.140625" style="215"/>
    <col min="14850" max="14850" width="6.140625" style="215" customWidth="1"/>
    <col min="14851" max="14851" width="5" style="215" customWidth="1"/>
    <col min="14852" max="14852" width="35" style="215" customWidth="1"/>
    <col min="14853" max="14853" width="13.7109375" style="215" customWidth="1"/>
    <col min="14854" max="14854" width="9.7109375" style="215" customWidth="1"/>
    <col min="14855" max="14855" width="13.7109375" style="215" customWidth="1"/>
    <col min="14856" max="14856" width="11.7109375" style="215" customWidth="1"/>
    <col min="14857" max="14857" width="13.7109375" style="215" customWidth="1"/>
    <col min="14858" max="14858" width="8.42578125" style="215" customWidth="1"/>
    <col min="14859" max="14859" width="13.7109375" style="215" customWidth="1"/>
    <col min="14860" max="14860" width="8.7109375" style="215" customWidth="1"/>
    <col min="14861" max="14861" width="13.7109375" style="215" customWidth="1"/>
    <col min="14862" max="14862" width="8.7109375" style="215" customWidth="1"/>
    <col min="14863" max="14863" width="13.7109375" style="215" customWidth="1"/>
    <col min="14864" max="14864" width="8.7109375" style="215" customWidth="1"/>
    <col min="14865" max="14865" width="13.7109375" style="215" customWidth="1"/>
    <col min="14866" max="14866" width="8.42578125" style="215" customWidth="1"/>
    <col min="14867" max="14867" width="13.7109375" style="215" customWidth="1"/>
    <col min="14868" max="14868" width="8.7109375" style="215" customWidth="1"/>
    <col min="14869" max="14869" width="13.7109375" style="215" customWidth="1"/>
    <col min="14870" max="14870" width="8.7109375" style="215" customWidth="1"/>
    <col min="14871" max="14871" width="13.7109375" style="215" customWidth="1"/>
    <col min="14872" max="14872" width="8.7109375" style="215" customWidth="1"/>
    <col min="14873" max="14873" width="13.7109375" style="215" customWidth="1"/>
    <col min="14874" max="14874" width="8.7109375" style="215" customWidth="1"/>
    <col min="14875" max="14875" width="13.7109375" style="215" customWidth="1"/>
    <col min="14876" max="14876" width="8.7109375" style="215" customWidth="1"/>
    <col min="14877" max="14877" width="13.7109375" style="215" customWidth="1"/>
    <col min="14878" max="14878" width="8.7109375" style="215" customWidth="1"/>
    <col min="14879" max="14879" width="13.7109375" style="215" customWidth="1"/>
    <col min="14880" max="14880" width="8.7109375" style="215" customWidth="1"/>
    <col min="14881" max="14881" width="13.7109375" style="215" customWidth="1"/>
    <col min="14882" max="14882" width="9.7109375" style="215" customWidth="1"/>
    <col min="14883" max="14883" width="13.7109375" style="215" customWidth="1"/>
    <col min="14884" max="14884" width="10.7109375" style="215" customWidth="1"/>
    <col min="14885" max="14885" width="13.7109375" style="215" customWidth="1"/>
    <col min="14886" max="14886" width="11.5703125" style="215" customWidth="1"/>
    <col min="14887" max="14887" width="13.7109375" style="215" customWidth="1"/>
    <col min="14888" max="14888" width="10.7109375" style="215" customWidth="1"/>
    <col min="14889" max="14889" width="12.42578125" style="215" bestFit="1" customWidth="1"/>
    <col min="14890" max="14890" width="22.7109375" style="215" customWidth="1"/>
    <col min="14891" max="14891" width="22" style="215" bestFit="1" customWidth="1"/>
    <col min="14892" max="14892" width="12.7109375" style="215" customWidth="1"/>
    <col min="14893" max="14893" width="20.5703125" style="215" customWidth="1"/>
    <col min="14894" max="14894" width="12.7109375" style="215" customWidth="1"/>
    <col min="14895" max="14895" width="20.7109375" style="215" customWidth="1"/>
    <col min="14896" max="14896" width="12.7109375" style="215" customWidth="1"/>
    <col min="14897" max="14897" width="20.7109375" style="215" customWidth="1"/>
    <col min="14898" max="14898" width="12.7109375" style="215" customWidth="1"/>
    <col min="14899" max="14899" width="20.7109375" style="215" customWidth="1"/>
    <col min="14900" max="14900" width="12.7109375" style="215" customWidth="1"/>
    <col min="14901" max="14901" width="20.7109375" style="215" customWidth="1"/>
    <col min="14902" max="14902" width="12.7109375" style="215" customWidth="1"/>
    <col min="14903" max="14903" width="20.7109375" style="215" customWidth="1"/>
    <col min="14904" max="14904" width="12.7109375" style="215" customWidth="1"/>
    <col min="14905" max="15105" width="9.140625" style="215"/>
    <col min="15106" max="15106" width="6.140625" style="215" customWidth="1"/>
    <col min="15107" max="15107" width="5" style="215" customWidth="1"/>
    <col min="15108" max="15108" width="35" style="215" customWidth="1"/>
    <col min="15109" max="15109" width="13.7109375" style="215" customWidth="1"/>
    <col min="15110" max="15110" width="9.7109375" style="215" customWidth="1"/>
    <col min="15111" max="15111" width="13.7109375" style="215" customWidth="1"/>
    <col min="15112" max="15112" width="11.7109375" style="215" customWidth="1"/>
    <col min="15113" max="15113" width="13.7109375" style="215" customWidth="1"/>
    <col min="15114" max="15114" width="8.42578125" style="215" customWidth="1"/>
    <col min="15115" max="15115" width="13.7109375" style="215" customWidth="1"/>
    <col min="15116" max="15116" width="8.7109375" style="215" customWidth="1"/>
    <col min="15117" max="15117" width="13.7109375" style="215" customWidth="1"/>
    <col min="15118" max="15118" width="8.7109375" style="215" customWidth="1"/>
    <col min="15119" max="15119" width="13.7109375" style="215" customWidth="1"/>
    <col min="15120" max="15120" width="8.7109375" style="215" customWidth="1"/>
    <col min="15121" max="15121" width="13.7109375" style="215" customWidth="1"/>
    <col min="15122" max="15122" width="8.42578125" style="215" customWidth="1"/>
    <col min="15123" max="15123" width="13.7109375" style="215" customWidth="1"/>
    <col min="15124" max="15124" width="8.7109375" style="215" customWidth="1"/>
    <col min="15125" max="15125" width="13.7109375" style="215" customWidth="1"/>
    <col min="15126" max="15126" width="8.7109375" style="215" customWidth="1"/>
    <col min="15127" max="15127" width="13.7109375" style="215" customWidth="1"/>
    <col min="15128" max="15128" width="8.7109375" style="215" customWidth="1"/>
    <col min="15129" max="15129" width="13.7109375" style="215" customWidth="1"/>
    <col min="15130" max="15130" width="8.7109375" style="215" customWidth="1"/>
    <col min="15131" max="15131" width="13.7109375" style="215" customWidth="1"/>
    <col min="15132" max="15132" width="8.7109375" style="215" customWidth="1"/>
    <col min="15133" max="15133" width="13.7109375" style="215" customWidth="1"/>
    <col min="15134" max="15134" width="8.7109375" style="215" customWidth="1"/>
    <col min="15135" max="15135" width="13.7109375" style="215" customWidth="1"/>
    <col min="15136" max="15136" width="8.7109375" style="215" customWidth="1"/>
    <col min="15137" max="15137" width="13.7109375" style="215" customWidth="1"/>
    <col min="15138" max="15138" width="9.7109375" style="215" customWidth="1"/>
    <col min="15139" max="15139" width="13.7109375" style="215" customWidth="1"/>
    <col min="15140" max="15140" width="10.7109375" style="215" customWidth="1"/>
    <col min="15141" max="15141" width="13.7109375" style="215" customWidth="1"/>
    <col min="15142" max="15142" width="11.5703125" style="215" customWidth="1"/>
    <col min="15143" max="15143" width="13.7109375" style="215" customWidth="1"/>
    <col min="15144" max="15144" width="10.7109375" style="215" customWidth="1"/>
    <col min="15145" max="15145" width="12.42578125" style="215" bestFit="1" customWidth="1"/>
    <col min="15146" max="15146" width="22.7109375" style="215" customWidth="1"/>
    <col min="15147" max="15147" width="22" style="215" bestFit="1" customWidth="1"/>
    <col min="15148" max="15148" width="12.7109375" style="215" customWidth="1"/>
    <col min="15149" max="15149" width="20.5703125" style="215" customWidth="1"/>
    <col min="15150" max="15150" width="12.7109375" style="215" customWidth="1"/>
    <col min="15151" max="15151" width="20.7109375" style="215" customWidth="1"/>
    <col min="15152" max="15152" width="12.7109375" style="215" customWidth="1"/>
    <col min="15153" max="15153" width="20.7109375" style="215" customWidth="1"/>
    <col min="15154" max="15154" width="12.7109375" style="215" customWidth="1"/>
    <col min="15155" max="15155" width="20.7109375" style="215" customWidth="1"/>
    <col min="15156" max="15156" width="12.7109375" style="215" customWidth="1"/>
    <col min="15157" max="15157" width="20.7109375" style="215" customWidth="1"/>
    <col min="15158" max="15158" width="12.7109375" style="215" customWidth="1"/>
    <col min="15159" max="15159" width="20.7109375" style="215" customWidth="1"/>
    <col min="15160" max="15160" width="12.7109375" style="215" customWidth="1"/>
    <col min="15161" max="15361" width="9.140625" style="215"/>
    <col min="15362" max="15362" width="6.140625" style="215" customWidth="1"/>
    <col min="15363" max="15363" width="5" style="215" customWidth="1"/>
    <col min="15364" max="15364" width="35" style="215" customWidth="1"/>
    <col min="15365" max="15365" width="13.7109375" style="215" customWidth="1"/>
    <col min="15366" max="15366" width="9.7109375" style="215" customWidth="1"/>
    <col min="15367" max="15367" width="13.7109375" style="215" customWidth="1"/>
    <col min="15368" max="15368" width="11.7109375" style="215" customWidth="1"/>
    <col min="15369" max="15369" width="13.7109375" style="215" customWidth="1"/>
    <col min="15370" max="15370" width="8.42578125" style="215" customWidth="1"/>
    <col min="15371" max="15371" width="13.7109375" style="215" customWidth="1"/>
    <col min="15372" max="15372" width="8.7109375" style="215" customWidth="1"/>
    <col min="15373" max="15373" width="13.7109375" style="215" customWidth="1"/>
    <col min="15374" max="15374" width="8.7109375" style="215" customWidth="1"/>
    <col min="15375" max="15375" width="13.7109375" style="215" customWidth="1"/>
    <col min="15376" max="15376" width="8.7109375" style="215" customWidth="1"/>
    <col min="15377" max="15377" width="13.7109375" style="215" customWidth="1"/>
    <col min="15378" max="15378" width="8.42578125" style="215" customWidth="1"/>
    <col min="15379" max="15379" width="13.7109375" style="215" customWidth="1"/>
    <col min="15380" max="15380" width="8.7109375" style="215" customWidth="1"/>
    <col min="15381" max="15381" width="13.7109375" style="215" customWidth="1"/>
    <col min="15382" max="15382" width="8.7109375" style="215" customWidth="1"/>
    <col min="15383" max="15383" width="13.7109375" style="215" customWidth="1"/>
    <col min="15384" max="15384" width="8.7109375" style="215" customWidth="1"/>
    <col min="15385" max="15385" width="13.7109375" style="215" customWidth="1"/>
    <col min="15386" max="15386" width="8.7109375" style="215" customWidth="1"/>
    <col min="15387" max="15387" width="13.7109375" style="215" customWidth="1"/>
    <col min="15388" max="15388" width="8.7109375" style="215" customWidth="1"/>
    <col min="15389" max="15389" width="13.7109375" style="215" customWidth="1"/>
    <col min="15390" max="15390" width="8.7109375" style="215" customWidth="1"/>
    <col min="15391" max="15391" width="13.7109375" style="215" customWidth="1"/>
    <col min="15392" max="15392" width="8.7109375" style="215" customWidth="1"/>
    <col min="15393" max="15393" width="13.7109375" style="215" customWidth="1"/>
    <col min="15394" max="15394" width="9.7109375" style="215" customWidth="1"/>
    <col min="15395" max="15395" width="13.7109375" style="215" customWidth="1"/>
    <col min="15396" max="15396" width="10.7109375" style="215" customWidth="1"/>
    <col min="15397" max="15397" width="13.7109375" style="215" customWidth="1"/>
    <col min="15398" max="15398" width="11.5703125" style="215" customWidth="1"/>
    <col min="15399" max="15399" width="13.7109375" style="215" customWidth="1"/>
    <col min="15400" max="15400" width="10.7109375" style="215" customWidth="1"/>
    <col min="15401" max="15401" width="12.42578125" style="215" bestFit="1" customWidth="1"/>
    <col min="15402" max="15402" width="22.7109375" style="215" customWidth="1"/>
    <col min="15403" max="15403" width="22" style="215" bestFit="1" customWidth="1"/>
    <col min="15404" max="15404" width="12.7109375" style="215" customWidth="1"/>
    <col min="15405" max="15405" width="20.5703125" style="215" customWidth="1"/>
    <col min="15406" max="15406" width="12.7109375" style="215" customWidth="1"/>
    <col min="15407" max="15407" width="20.7109375" style="215" customWidth="1"/>
    <col min="15408" max="15408" width="12.7109375" style="215" customWidth="1"/>
    <col min="15409" max="15409" width="20.7109375" style="215" customWidth="1"/>
    <col min="15410" max="15410" width="12.7109375" style="215" customWidth="1"/>
    <col min="15411" max="15411" width="20.7109375" style="215" customWidth="1"/>
    <col min="15412" max="15412" width="12.7109375" style="215" customWidth="1"/>
    <col min="15413" max="15413" width="20.7109375" style="215" customWidth="1"/>
    <col min="15414" max="15414" width="12.7109375" style="215" customWidth="1"/>
    <col min="15415" max="15415" width="20.7109375" style="215" customWidth="1"/>
    <col min="15416" max="15416" width="12.7109375" style="215" customWidth="1"/>
    <col min="15417" max="15617" width="9.140625" style="215"/>
    <col min="15618" max="15618" width="6.140625" style="215" customWidth="1"/>
    <col min="15619" max="15619" width="5" style="215" customWidth="1"/>
    <col min="15620" max="15620" width="35" style="215" customWidth="1"/>
    <col min="15621" max="15621" width="13.7109375" style="215" customWidth="1"/>
    <col min="15622" max="15622" width="9.7109375" style="215" customWidth="1"/>
    <col min="15623" max="15623" width="13.7109375" style="215" customWidth="1"/>
    <col min="15624" max="15624" width="11.7109375" style="215" customWidth="1"/>
    <col min="15625" max="15625" width="13.7109375" style="215" customWidth="1"/>
    <col min="15626" max="15626" width="8.42578125" style="215" customWidth="1"/>
    <col min="15627" max="15627" width="13.7109375" style="215" customWidth="1"/>
    <col min="15628" max="15628" width="8.7109375" style="215" customWidth="1"/>
    <col min="15629" max="15629" width="13.7109375" style="215" customWidth="1"/>
    <col min="15630" max="15630" width="8.7109375" style="215" customWidth="1"/>
    <col min="15631" max="15631" width="13.7109375" style="215" customWidth="1"/>
    <col min="15632" max="15632" width="8.7109375" style="215" customWidth="1"/>
    <col min="15633" max="15633" width="13.7109375" style="215" customWidth="1"/>
    <col min="15634" max="15634" width="8.42578125" style="215" customWidth="1"/>
    <col min="15635" max="15635" width="13.7109375" style="215" customWidth="1"/>
    <col min="15636" max="15636" width="8.7109375" style="215" customWidth="1"/>
    <col min="15637" max="15637" width="13.7109375" style="215" customWidth="1"/>
    <col min="15638" max="15638" width="8.7109375" style="215" customWidth="1"/>
    <col min="15639" max="15639" width="13.7109375" style="215" customWidth="1"/>
    <col min="15640" max="15640" width="8.7109375" style="215" customWidth="1"/>
    <col min="15641" max="15641" width="13.7109375" style="215" customWidth="1"/>
    <col min="15642" max="15642" width="8.7109375" style="215" customWidth="1"/>
    <col min="15643" max="15643" width="13.7109375" style="215" customWidth="1"/>
    <col min="15644" max="15644" width="8.7109375" style="215" customWidth="1"/>
    <col min="15645" max="15645" width="13.7109375" style="215" customWidth="1"/>
    <col min="15646" max="15646" width="8.7109375" style="215" customWidth="1"/>
    <col min="15647" max="15647" width="13.7109375" style="215" customWidth="1"/>
    <col min="15648" max="15648" width="8.7109375" style="215" customWidth="1"/>
    <col min="15649" max="15649" width="13.7109375" style="215" customWidth="1"/>
    <col min="15650" max="15650" width="9.7109375" style="215" customWidth="1"/>
    <col min="15651" max="15651" width="13.7109375" style="215" customWidth="1"/>
    <col min="15652" max="15652" width="10.7109375" style="215" customWidth="1"/>
    <col min="15653" max="15653" width="13.7109375" style="215" customWidth="1"/>
    <col min="15654" max="15654" width="11.5703125" style="215" customWidth="1"/>
    <col min="15655" max="15655" width="13.7109375" style="215" customWidth="1"/>
    <col min="15656" max="15656" width="10.7109375" style="215" customWidth="1"/>
    <col min="15657" max="15657" width="12.42578125" style="215" bestFit="1" customWidth="1"/>
    <col min="15658" max="15658" width="22.7109375" style="215" customWidth="1"/>
    <col min="15659" max="15659" width="22" style="215" bestFit="1" customWidth="1"/>
    <col min="15660" max="15660" width="12.7109375" style="215" customWidth="1"/>
    <col min="15661" max="15661" width="20.5703125" style="215" customWidth="1"/>
    <col min="15662" max="15662" width="12.7109375" style="215" customWidth="1"/>
    <col min="15663" max="15663" width="20.7109375" style="215" customWidth="1"/>
    <col min="15664" max="15664" width="12.7109375" style="215" customWidth="1"/>
    <col min="15665" max="15665" width="20.7109375" style="215" customWidth="1"/>
    <col min="15666" max="15666" width="12.7109375" style="215" customWidth="1"/>
    <col min="15667" max="15667" width="20.7109375" style="215" customWidth="1"/>
    <col min="15668" max="15668" width="12.7109375" style="215" customWidth="1"/>
    <col min="15669" max="15669" width="20.7109375" style="215" customWidth="1"/>
    <col min="15670" max="15670" width="12.7109375" style="215" customWidth="1"/>
    <col min="15671" max="15671" width="20.7109375" style="215" customWidth="1"/>
    <col min="15672" max="15672" width="12.7109375" style="215" customWidth="1"/>
    <col min="15673" max="15873" width="9.140625" style="215"/>
    <col min="15874" max="15874" width="6.140625" style="215" customWidth="1"/>
    <col min="15875" max="15875" width="5" style="215" customWidth="1"/>
    <col min="15876" max="15876" width="35" style="215" customWidth="1"/>
    <col min="15877" max="15877" width="13.7109375" style="215" customWidth="1"/>
    <col min="15878" max="15878" width="9.7109375" style="215" customWidth="1"/>
    <col min="15879" max="15879" width="13.7109375" style="215" customWidth="1"/>
    <col min="15880" max="15880" width="11.7109375" style="215" customWidth="1"/>
    <col min="15881" max="15881" width="13.7109375" style="215" customWidth="1"/>
    <col min="15882" max="15882" width="8.42578125" style="215" customWidth="1"/>
    <col min="15883" max="15883" width="13.7109375" style="215" customWidth="1"/>
    <col min="15884" max="15884" width="8.7109375" style="215" customWidth="1"/>
    <col min="15885" max="15885" width="13.7109375" style="215" customWidth="1"/>
    <col min="15886" max="15886" width="8.7109375" style="215" customWidth="1"/>
    <col min="15887" max="15887" width="13.7109375" style="215" customWidth="1"/>
    <col min="15888" max="15888" width="8.7109375" style="215" customWidth="1"/>
    <col min="15889" max="15889" width="13.7109375" style="215" customWidth="1"/>
    <col min="15890" max="15890" width="8.42578125" style="215" customWidth="1"/>
    <col min="15891" max="15891" width="13.7109375" style="215" customWidth="1"/>
    <col min="15892" max="15892" width="8.7109375" style="215" customWidth="1"/>
    <col min="15893" max="15893" width="13.7109375" style="215" customWidth="1"/>
    <col min="15894" max="15894" width="8.7109375" style="215" customWidth="1"/>
    <col min="15895" max="15895" width="13.7109375" style="215" customWidth="1"/>
    <col min="15896" max="15896" width="8.7109375" style="215" customWidth="1"/>
    <col min="15897" max="15897" width="13.7109375" style="215" customWidth="1"/>
    <col min="15898" max="15898" width="8.7109375" style="215" customWidth="1"/>
    <col min="15899" max="15899" width="13.7109375" style="215" customWidth="1"/>
    <col min="15900" max="15900" width="8.7109375" style="215" customWidth="1"/>
    <col min="15901" max="15901" width="13.7109375" style="215" customWidth="1"/>
    <col min="15902" max="15902" width="8.7109375" style="215" customWidth="1"/>
    <col min="15903" max="15903" width="13.7109375" style="215" customWidth="1"/>
    <col min="15904" max="15904" width="8.7109375" style="215" customWidth="1"/>
    <col min="15905" max="15905" width="13.7109375" style="215" customWidth="1"/>
    <col min="15906" max="15906" width="9.7109375" style="215" customWidth="1"/>
    <col min="15907" max="15907" width="13.7109375" style="215" customWidth="1"/>
    <col min="15908" max="15908" width="10.7109375" style="215" customWidth="1"/>
    <col min="15909" max="15909" width="13.7109375" style="215" customWidth="1"/>
    <col min="15910" max="15910" width="11.5703125" style="215" customWidth="1"/>
    <col min="15911" max="15911" width="13.7109375" style="215" customWidth="1"/>
    <col min="15912" max="15912" width="10.7109375" style="215" customWidth="1"/>
    <col min="15913" max="15913" width="12.42578125" style="215" bestFit="1" customWidth="1"/>
    <col min="15914" max="15914" width="22.7109375" style="215" customWidth="1"/>
    <col min="15915" max="15915" width="22" style="215" bestFit="1" customWidth="1"/>
    <col min="15916" max="15916" width="12.7109375" style="215" customWidth="1"/>
    <col min="15917" max="15917" width="20.5703125" style="215" customWidth="1"/>
    <col min="15918" max="15918" width="12.7109375" style="215" customWidth="1"/>
    <col min="15919" max="15919" width="20.7109375" style="215" customWidth="1"/>
    <col min="15920" max="15920" width="12.7109375" style="215" customWidth="1"/>
    <col min="15921" max="15921" width="20.7109375" style="215" customWidth="1"/>
    <col min="15922" max="15922" width="12.7109375" style="215" customWidth="1"/>
    <col min="15923" max="15923" width="20.7109375" style="215" customWidth="1"/>
    <col min="15924" max="15924" width="12.7109375" style="215" customWidth="1"/>
    <col min="15925" max="15925" width="20.7109375" style="215" customWidth="1"/>
    <col min="15926" max="15926" width="12.7109375" style="215" customWidth="1"/>
    <col min="15927" max="15927" width="20.7109375" style="215" customWidth="1"/>
    <col min="15928" max="15928" width="12.7109375" style="215" customWidth="1"/>
    <col min="15929" max="16129" width="9.140625" style="215"/>
    <col min="16130" max="16130" width="6.140625" style="215" customWidth="1"/>
    <col min="16131" max="16131" width="5" style="215" customWidth="1"/>
    <col min="16132" max="16132" width="35" style="215" customWidth="1"/>
    <col min="16133" max="16133" width="13.7109375" style="215" customWidth="1"/>
    <col min="16134" max="16134" width="9.7109375" style="215" customWidth="1"/>
    <col min="16135" max="16135" width="13.7109375" style="215" customWidth="1"/>
    <col min="16136" max="16136" width="11.7109375" style="215" customWidth="1"/>
    <col min="16137" max="16137" width="13.7109375" style="215" customWidth="1"/>
    <col min="16138" max="16138" width="8.42578125" style="215" customWidth="1"/>
    <col min="16139" max="16139" width="13.7109375" style="215" customWidth="1"/>
    <col min="16140" max="16140" width="8.7109375" style="215" customWidth="1"/>
    <col min="16141" max="16141" width="13.7109375" style="215" customWidth="1"/>
    <col min="16142" max="16142" width="8.7109375" style="215" customWidth="1"/>
    <col min="16143" max="16143" width="13.7109375" style="215" customWidth="1"/>
    <col min="16144" max="16144" width="8.7109375" style="215" customWidth="1"/>
    <col min="16145" max="16145" width="13.7109375" style="215" customWidth="1"/>
    <col min="16146" max="16146" width="8.42578125" style="215" customWidth="1"/>
    <col min="16147" max="16147" width="13.7109375" style="215" customWidth="1"/>
    <col min="16148" max="16148" width="8.7109375" style="215" customWidth="1"/>
    <col min="16149" max="16149" width="13.7109375" style="215" customWidth="1"/>
    <col min="16150" max="16150" width="8.7109375" style="215" customWidth="1"/>
    <col min="16151" max="16151" width="13.7109375" style="215" customWidth="1"/>
    <col min="16152" max="16152" width="8.7109375" style="215" customWidth="1"/>
    <col min="16153" max="16153" width="13.7109375" style="215" customWidth="1"/>
    <col min="16154" max="16154" width="8.7109375" style="215" customWidth="1"/>
    <col min="16155" max="16155" width="13.7109375" style="215" customWidth="1"/>
    <col min="16156" max="16156" width="8.7109375" style="215" customWidth="1"/>
    <col min="16157" max="16157" width="13.7109375" style="215" customWidth="1"/>
    <col min="16158" max="16158" width="8.7109375" style="215" customWidth="1"/>
    <col min="16159" max="16159" width="13.7109375" style="215" customWidth="1"/>
    <col min="16160" max="16160" width="8.7109375" style="215" customWidth="1"/>
    <col min="16161" max="16161" width="13.7109375" style="215" customWidth="1"/>
    <col min="16162" max="16162" width="9.7109375" style="215" customWidth="1"/>
    <col min="16163" max="16163" width="13.7109375" style="215" customWidth="1"/>
    <col min="16164" max="16164" width="10.7109375" style="215" customWidth="1"/>
    <col min="16165" max="16165" width="13.7109375" style="215" customWidth="1"/>
    <col min="16166" max="16166" width="11.5703125" style="215" customWidth="1"/>
    <col min="16167" max="16167" width="13.7109375" style="215" customWidth="1"/>
    <col min="16168" max="16168" width="10.7109375" style="215" customWidth="1"/>
    <col min="16169" max="16169" width="12.42578125" style="215" bestFit="1" customWidth="1"/>
    <col min="16170" max="16170" width="22.7109375" style="215" customWidth="1"/>
    <col min="16171" max="16171" width="22" style="215" bestFit="1" customWidth="1"/>
    <col min="16172" max="16172" width="12.7109375" style="215" customWidth="1"/>
    <col min="16173" max="16173" width="20.5703125" style="215" customWidth="1"/>
    <col min="16174" max="16174" width="12.7109375" style="215" customWidth="1"/>
    <col min="16175" max="16175" width="20.7109375" style="215" customWidth="1"/>
    <col min="16176" max="16176" width="12.7109375" style="215" customWidth="1"/>
    <col min="16177" max="16177" width="20.7109375" style="215" customWidth="1"/>
    <col min="16178" max="16178" width="12.7109375" style="215" customWidth="1"/>
    <col min="16179" max="16179" width="20.7109375" style="215" customWidth="1"/>
    <col min="16180" max="16180" width="12.7109375" style="215" customWidth="1"/>
    <col min="16181" max="16181" width="20.7109375" style="215" customWidth="1"/>
    <col min="16182" max="16182" width="12.7109375" style="215" customWidth="1"/>
    <col min="16183" max="16183" width="20.7109375" style="215" customWidth="1"/>
    <col min="16184" max="16184" width="12.7109375" style="215" customWidth="1"/>
    <col min="16185" max="16384" width="9.140625" style="215"/>
  </cols>
  <sheetData>
    <row r="1" spans="2:56" ht="12" customHeight="1" x14ac:dyDescent="0.25">
      <c r="B1" s="1258" t="s">
        <v>112</v>
      </c>
      <c r="C1" s="1258"/>
      <c r="D1" s="1258"/>
      <c r="E1" s="1258"/>
      <c r="F1" s="1258"/>
      <c r="G1" s="1258"/>
      <c r="H1" s="1258"/>
      <c r="I1" s="1258"/>
      <c r="J1" s="1258"/>
      <c r="K1" s="1258"/>
      <c r="L1" s="1258"/>
      <c r="M1" s="1258"/>
      <c r="N1" s="1258"/>
      <c r="O1" s="1258"/>
      <c r="P1" s="1258"/>
      <c r="Q1" s="1258"/>
      <c r="R1" s="1258"/>
      <c r="S1" s="1258"/>
      <c r="T1" s="1258"/>
      <c r="U1" s="1258"/>
      <c r="V1" s="1258"/>
      <c r="W1" s="1258"/>
      <c r="X1" s="1258"/>
      <c r="Y1" s="1258"/>
      <c r="Z1" s="1258"/>
      <c r="AA1" s="1258"/>
      <c r="AB1" s="1258"/>
      <c r="AC1" s="1258"/>
      <c r="AD1" s="1258"/>
      <c r="AE1" s="1258"/>
      <c r="AF1" s="1258"/>
      <c r="AG1" s="1258"/>
      <c r="AH1" s="1258"/>
      <c r="AI1" s="1258"/>
      <c r="AJ1" s="1258"/>
      <c r="AK1" s="1258"/>
      <c r="AL1" s="1258"/>
      <c r="AM1" s="1258"/>
      <c r="AN1" s="1258"/>
    </row>
    <row r="2" spans="2:56" ht="21" customHeight="1" x14ac:dyDescent="0.25">
      <c r="B2" s="216"/>
      <c r="C2" s="216"/>
      <c r="D2" s="216"/>
      <c r="E2" s="216"/>
      <c r="F2" s="217"/>
      <c r="G2" s="216"/>
      <c r="H2" s="217"/>
      <c r="I2" s="216"/>
      <c r="J2" s="217"/>
      <c r="K2" s="216"/>
      <c r="L2" s="217"/>
      <c r="M2" s="1259" t="s">
        <v>113</v>
      </c>
      <c r="N2" s="1259"/>
      <c r="O2" s="1259"/>
      <c r="P2" s="1259"/>
      <c r="Q2" s="1259"/>
      <c r="R2" s="1259"/>
      <c r="S2" s="1259"/>
      <c r="T2" s="1259"/>
      <c r="U2" s="1259"/>
      <c r="V2" s="1259"/>
      <c r="W2" s="1259"/>
      <c r="X2" s="1259"/>
      <c r="Y2" s="1259"/>
      <c r="Z2" s="1259"/>
      <c r="AA2" s="216"/>
      <c r="AB2" s="217"/>
      <c r="AC2" s="216"/>
      <c r="AD2" s="216"/>
      <c r="AE2" s="216"/>
      <c r="AF2" s="217"/>
      <c r="AG2" s="216"/>
      <c r="AH2" s="217"/>
      <c r="AI2" s="216" t="s">
        <v>86</v>
      </c>
      <c r="AJ2" s="1260" t="str">
        <f>LPKK!Q4</f>
        <v>SC MARABAHAN</v>
      </c>
      <c r="AK2" s="1260"/>
      <c r="AL2" s="1260"/>
      <c r="AM2" s="1260"/>
      <c r="AN2" s="218"/>
    </row>
    <row r="3" spans="2:56" ht="31.5" customHeight="1" x14ac:dyDescent="0.25">
      <c r="B3" s="216"/>
      <c r="C3" s="216"/>
      <c r="D3" s="216"/>
      <c r="E3" s="216"/>
      <c r="F3" s="217"/>
      <c r="G3" s="216"/>
      <c r="H3" s="217"/>
      <c r="I3" s="216"/>
      <c r="J3" s="217"/>
      <c r="K3" s="216"/>
      <c r="L3" s="217"/>
      <c r="M3" s="216"/>
      <c r="N3" s="217"/>
      <c r="O3" s="216"/>
      <c r="P3" s="217"/>
      <c r="Q3" s="216"/>
      <c r="R3" s="217"/>
      <c r="S3" s="216"/>
      <c r="T3" s="217"/>
      <c r="U3" s="216"/>
      <c r="V3" s="217"/>
      <c r="W3" s="216"/>
      <c r="X3" s="217"/>
      <c r="Y3" s="216"/>
      <c r="Z3" s="217"/>
      <c r="AA3" s="216"/>
      <c r="AB3" s="217"/>
      <c r="AC3" s="216"/>
      <c r="AD3" s="216"/>
      <c r="AE3" s="216"/>
      <c r="AF3" s="217"/>
      <c r="AG3" s="216"/>
      <c r="AH3" s="217"/>
      <c r="AI3" s="216" t="s">
        <v>87</v>
      </c>
      <c r="AJ3" s="1260" t="str">
        <f>LPKK!Q5</f>
        <v>1-7 JULI 2026</v>
      </c>
      <c r="AK3" s="1260"/>
      <c r="AL3" s="1260"/>
      <c r="AM3" s="1260"/>
      <c r="AN3" s="217"/>
      <c r="AQ3" s="1261" t="s">
        <v>114</v>
      </c>
      <c r="AR3" s="1261"/>
      <c r="AS3" s="1261"/>
      <c r="AT3" s="1261"/>
      <c r="AU3" s="1261"/>
      <c r="AV3" s="1261"/>
      <c r="AW3" s="1261"/>
      <c r="AX3" s="1261"/>
      <c r="AY3" s="1261"/>
      <c r="AZ3" s="1261"/>
      <c r="BA3" s="1261"/>
      <c r="BB3" s="1261"/>
      <c r="BC3" s="1261"/>
    </row>
    <row r="4" spans="2:56" ht="6" customHeight="1" thickBot="1" x14ac:dyDescent="0.3">
      <c r="B4" s="216"/>
      <c r="C4" s="216"/>
      <c r="D4" s="216"/>
      <c r="E4" s="216"/>
      <c r="F4" s="217"/>
      <c r="G4" s="219"/>
      <c r="H4" s="217"/>
      <c r="I4" s="216"/>
      <c r="J4" s="217"/>
      <c r="K4" s="216"/>
      <c r="L4" s="217"/>
      <c r="M4" s="216"/>
      <c r="N4" s="217"/>
      <c r="O4" s="216"/>
      <c r="P4" s="217"/>
      <c r="Q4" s="216"/>
      <c r="R4" s="217"/>
      <c r="S4" s="216"/>
      <c r="T4" s="217"/>
      <c r="U4" s="216"/>
      <c r="V4" s="217"/>
      <c r="W4" s="216"/>
      <c r="X4" s="217"/>
      <c r="Y4" s="216"/>
      <c r="Z4" s="217"/>
      <c r="AA4" s="216"/>
      <c r="AB4" s="217"/>
      <c r="AC4" s="216"/>
      <c r="AD4" s="216"/>
      <c r="AE4" s="216"/>
      <c r="AF4" s="217"/>
      <c r="AG4" s="216"/>
      <c r="AH4" s="217"/>
      <c r="AI4" s="216"/>
      <c r="AJ4" s="217"/>
      <c r="AK4" s="216"/>
      <c r="AL4" s="217"/>
      <c r="AM4" s="216"/>
      <c r="AN4" s="217"/>
    </row>
    <row r="5" spans="2:56" ht="30" customHeight="1" thickBot="1" x14ac:dyDescent="0.3">
      <c r="B5" s="1262" t="s">
        <v>115</v>
      </c>
      <c r="C5" s="1264" t="s">
        <v>89</v>
      </c>
      <c r="D5" s="220"/>
      <c r="E5" s="1267" t="s">
        <v>116</v>
      </c>
      <c r="F5" s="1268"/>
      <c r="G5" s="1269" t="s">
        <v>117</v>
      </c>
      <c r="H5" s="1268"/>
      <c r="I5" s="1270">
        <v>46204</v>
      </c>
      <c r="J5" s="1271"/>
      <c r="K5" s="1270">
        <v>46205</v>
      </c>
      <c r="L5" s="1271"/>
      <c r="M5" s="1270">
        <v>46206</v>
      </c>
      <c r="N5" s="1271"/>
      <c r="O5" s="1270">
        <v>46207</v>
      </c>
      <c r="P5" s="1271"/>
      <c r="Q5" s="1270">
        <v>46208</v>
      </c>
      <c r="R5" s="1271"/>
      <c r="S5" s="1270">
        <v>46209</v>
      </c>
      <c r="T5" s="1271"/>
      <c r="U5" s="1270">
        <v>46210</v>
      </c>
      <c r="V5" s="1271"/>
      <c r="W5" s="1282"/>
      <c r="X5" s="1283"/>
      <c r="Y5" s="1282"/>
      <c r="Z5" s="1283"/>
      <c r="AA5" s="1282"/>
      <c r="AB5" s="1283"/>
      <c r="AC5" s="1286" t="s">
        <v>118</v>
      </c>
      <c r="AD5" s="1287"/>
      <c r="AE5" s="1288" t="s">
        <v>119</v>
      </c>
      <c r="AF5" s="1289"/>
      <c r="AG5" s="1288" t="s">
        <v>120</v>
      </c>
      <c r="AH5" s="1289"/>
      <c r="AI5" s="1269" t="s">
        <v>10</v>
      </c>
      <c r="AJ5" s="1268"/>
      <c r="AK5" s="1269" t="s">
        <v>117</v>
      </c>
      <c r="AL5" s="1268"/>
      <c r="AM5" s="1269" t="s">
        <v>116</v>
      </c>
      <c r="AN5" s="1274"/>
      <c r="AO5" s="221"/>
      <c r="AP5" s="222"/>
      <c r="AQ5" s="222"/>
      <c r="AR5" s="222"/>
      <c r="AS5" s="222"/>
      <c r="AT5" s="222"/>
      <c r="AU5" s="222"/>
      <c r="AV5" s="222"/>
      <c r="AW5" s="222"/>
      <c r="AX5" s="222"/>
      <c r="AY5" s="222"/>
      <c r="AZ5" s="222"/>
      <c r="BA5" s="222"/>
      <c r="BB5" s="222"/>
    </row>
    <row r="6" spans="2:56" ht="30" customHeight="1" x14ac:dyDescent="0.25">
      <c r="B6" s="1263"/>
      <c r="C6" s="1265"/>
      <c r="D6" s="1275" t="s">
        <v>121</v>
      </c>
      <c r="E6" s="1276" t="s">
        <v>122</v>
      </c>
      <c r="F6" s="1277"/>
      <c r="G6" s="1278" t="s">
        <v>123</v>
      </c>
      <c r="H6" s="1277"/>
      <c r="I6" s="1272"/>
      <c r="J6" s="1273"/>
      <c r="K6" s="1272"/>
      <c r="L6" s="1273"/>
      <c r="M6" s="1272"/>
      <c r="N6" s="1273"/>
      <c r="O6" s="1272"/>
      <c r="P6" s="1273"/>
      <c r="Q6" s="1272"/>
      <c r="R6" s="1273"/>
      <c r="S6" s="1272"/>
      <c r="T6" s="1273"/>
      <c r="U6" s="1272"/>
      <c r="V6" s="1273"/>
      <c r="W6" s="1284"/>
      <c r="X6" s="1285"/>
      <c r="Y6" s="1284"/>
      <c r="Z6" s="1285"/>
      <c r="AA6" s="1284"/>
      <c r="AB6" s="1285"/>
      <c r="AC6" s="1279" t="s">
        <v>124</v>
      </c>
      <c r="AD6" s="1280"/>
      <c r="AE6" s="1290"/>
      <c r="AF6" s="1291"/>
      <c r="AG6" s="1292"/>
      <c r="AH6" s="1293"/>
      <c r="AI6" s="1278" t="s">
        <v>125</v>
      </c>
      <c r="AJ6" s="1277"/>
      <c r="AK6" s="1278" t="s">
        <v>126</v>
      </c>
      <c r="AL6" s="1277"/>
      <c r="AM6" s="1278" t="s">
        <v>127</v>
      </c>
      <c r="AN6" s="1281"/>
      <c r="AO6" s="223"/>
      <c r="AP6" s="224" t="s">
        <v>115</v>
      </c>
      <c r="AQ6" s="225">
        <v>44947</v>
      </c>
      <c r="AR6" s="226"/>
      <c r="AS6" s="227"/>
      <c r="AT6" s="226"/>
      <c r="AU6" s="227"/>
      <c r="AV6" s="226"/>
      <c r="AW6" s="227"/>
      <c r="AX6" s="226"/>
      <c r="AY6" s="227"/>
      <c r="AZ6" s="226"/>
      <c r="BA6" s="227"/>
      <c r="BB6" s="226"/>
      <c r="BC6" s="228"/>
      <c r="BD6" s="229"/>
    </row>
    <row r="7" spans="2:56" ht="30" customHeight="1" x14ac:dyDescent="0.25">
      <c r="B7" s="230" t="s">
        <v>128</v>
      </c>
      <c r="C7" s="1265"/>
      <c r="D7" s="1275"/>
      <c r="E7" s="1276" t="s">
        <v>129</v>
      </c>
      <c r="F7" s="1277"/>
      <c r="G7" s="1278" t="s">
        <v>129</v>
      </c>
      <c r="H7" s="1277"/>
      <c r="I7" s="1278" t="s">
        <v>1017</v>
      </c>
      <c r="J7" s="1277"/>
      <c r="K7" s="1278" t="s">
        <v>1016</v>
      </c>
      <c r="L7" s="1277"/>
      <c r="M7" s="1278" t="s">
        <v>1015</v>
      </c>
      <c r="N7" s="1277"/>
      <c r="O7" s="1278" t="s">
        <v>133</v>
      </c>
      <c r="P7" s="1277"/>
      <c r="Q7" s="1278" t="s">
        <v>1014</v>
      </c>
      <c r="R7" s="1277"/>
      <c r="S7" s="1278" t="s">
        <v>1018</v>
      </c>
      <c r="T7" s="1277"/>
      <c r="U7" s="1278" t="s">
        <v>1052</v>
      </c>
      <c r="V7" s="1277"/>
      <c r="W7" s="1278"/>
      <c r="X7" s="1277"/>
      <c r="Y7" s="1278"/>
      <c r="Z7" s="1277"/>
      <c r="AA7" s="1278"/>
      <c r="AB7" s="1277"/>
      <c r="AC7" s="1294" t="s">
        <v>130</v>
      </c>
      <c r="AD7" s="1295"/>
      <c r="AE7" s="1292"/>
      <c r="AF7" s="1293"/>
      <c r="AG7" s="1278" t="s">
        <v>131</v>
      </c>
      <c r="AH7" s="1277"/>
      <c r="AI7" s="1278" t="s">
        <v>129</v>
      </c>
      <c r="AJ7" s="1277"/>
      <c r="AK7" s="1278" t="s">
        <v>129</v>
      </c>
      <c r="AL7" s="1277"/>
      <c r="AM7" s="1278" t="s">
        <v>129</v>
      </c>
      <c r="AN7" s="1281"/>
      <c r="AO7" s="223"/>
      <c r="AP7" s="231" t="s">
        <v>132</v>
      </c>
      <c r="AQ7" s="232" t="s">
        <v>133</v>
      </c>
      <c r="AR7" s="233"/>
      <c r="AS7" s="232"/>
      <c r="AT7" s="233"/>
      <c r="AU7" s="232"/>
      <c r="AV7" s="233"/>
      <c r="AW7" s="232"/>
      <c r="AX7" s="233"/>
      <c r="AY7" s="232"/>
      <c r="AZ7" s="233"/>
      <c r="BA7" s="232"/>
      <c r="BB7" s="233"/>
      <c r="BC7" s="234"/>
      <c r="BD7" s="235"/>
    </row>
    <row r="8" spans="2:56" ht="30" customHeight="1" thickBot="1" x14ac:dyDescent="0.3">
      <c r="B8" s="236"/>
      <c r="C8" s="1266"/>
      <c r="D8" s="237"/>
      <c r="E8" s="238" t="s">
        <v>134</v>
      </c>
      <c r="F8" s="239" t="s">
        <v>135</v>
      </c>
      <c r="G8" s="238" t="s">
        <v>134</v>
      </c>
      <c r="H8" s="239" t="s">
        <v>135</v>
      </c>
      <c r="I8" s="240" t="s">
        <v>134</v>
      </c>
      <c r="J8" s="239" t="s">
        <v>135</v>
      </c>
      <c r="K8" s="240" t="s">
        <v>134</v>
      </c>
      <c r="L8" s="239" t="s">
        <v>135</v>
      </c>
      <c r="M8" s="240" t="s">
        <v>134</v>
      </c>
      <c r="N8" s="239" t="s">
        <v>135</v>
      </c>
      <c r="O8" s="240" t="s">
        <v>134</v>
      </c>
      <c r="P8" s="239" t="s">
        <v>135</v>
      </c>
      <c r="Q8" s="240" t="s">
        <v>134</v>
      </c>
      <c r="R8" s="239" t="s">
        <v>135</v>
      </c>
      <c r="S8" s="240" t="s">
        <v>134</v>
      </c>
      <c r="T8" s="239" t="s">
        <v>135</v>
      </c>
      <c r="U8" s="240" t="s">
        <v>134</v>
      </c>
      <c r="V8" s="239" t="s">
        <v>135</v>
      </c>
      <c r="W8" s="240" t="s">
        <v>134</v>
      </c>
      <c r="X8" s="239" t="s">
        <v>135</v>
      </c>
      <c r="Y8" s="240" t="s">
        <v>134</v>
      </c>
      <c r="Z8" s="239" t="s">
        <v>135</v>
      </c>
      <c r="AA8" s="240" t="s">
        <v>134</v>
      </c>
      <c r="AB8" s="239" t="s">
        <v>135</v>
      </c>
      <c r="AC8" s="240" t="s">
        <v>134</v>
      </c>
      <c r="AD8" s="240" t="s">
        <v>135</v>
      </c>
      <c r="AE8" s="240" t="s">
        <v>134</v>
      </c>
      <c r="AF8" s="239" t="s">
        <v>135</v>
      </c>
      <c r="AG8" s="240" t="s">
        <v>134</v>
      </c>
      <c r="AH8" s="239" t="s">
        <v>135</v>
      </c>
      <c r="AI8" s="240" t="s">
        <v>134</v>
      </c>
      <c r="AJ8" s="239" t="s">
        <v>135</v>
      </c>
      <c r="AK8" s="240" t="s">
        <v>134</v>
      </c>
      <c r="AL8" s="239" t="s">
        <v>135</v>
      </c>
      <c r="AM8" s="240" t="s">
        <v>134</v>
      </c>
      <c r="AN8" s="241" t="s">
        <v>135</v>
      </c>
      <c r="AO8" s="223"/>
      <c r="AP8" s="236"/>
      <c r="AQ8" s="238" t="s">
        <v>136</v>
      </c>
      <c r="AR8" s="242" t="s">
        <v>137</v>
      </c>
      <c r="AS8" s="238" t="s">
        <v>136</v>
      </c>
      <c r="AT8" s="242" t="s">
        <v>137</v>
      </c>
      <c r="AU8" s="238" t="s">
        <v>136</v>
      </c>
      <c r="AV8" s="242" t="s">
        <v>137</v>
      </c>
      <c r="AW8" s="238" t="s">
        <v>136</v>
      </c>
      <c r="AX8" s="242" t="s">
        <v>137</v>
      </c>
      <c r="AY8" s="238" t="s">
        <v>136</v>
      </c>
      <c r="AZ8" s="242" t="s">
        <v>137</v>
      </c>
      <c r="BA8" s="238" t="s">
        <v>136</v>
      </c>
      <c r="BB8" s="242" t="s">
        <v>137</v>
      </c>
      <c r="BC8" s="238" t="s">
        <v>136</v>
      </c>
      <c r="BD8" s="242" t="s">
        <v>137</v>
      </c>
    </row>
    <row r="9" spans="2:56" ht="30" customHeight="1" x14ac:dyDescent="0.25">
      <c r="B9" s="243"/>
      <c r="C9" s="244"/>
      <c r="D9" s="245" t="s">
        <v>100</v>
      </c>
      <c r="E9" s="252" t="s">
        <v>112</v>
      </c>
      <c r="F9" s="286"/>
      <c r="G9" s="286"/>
      <c r="H9" s="286"/>
      <c r="I9" s="286"/>
      <c r="J9" s="870"/>
      <c r="K9" s="286"/>
      <c r="L9" s="286"/>
      <c r="M9" s="286"/>
      <c r="N9" s="286"/>
      <c r="O9" s="286"/>
      <c r="P9" s="286"/>
      <c r="Q9" s="286"/>
      <c r="R9" s="286"/>
      <c r="S9" s="286"/>
      <c r="T9" s="286"/>
      <c r="U9" s="286"/>
      <c r="V9" s="286"/>
      <c r="W9" s="286"/>
      <c r="X9" s="286"/>
      <c r="Y9" s="286"/>
      <c r="Z9" s="286"/>
      <c r="AA9" s="286"/>
      <c r="AB9" s="286"/>
      <c r="AC9" s="286"/>
      <c r="AD9" s="286"/>
      <c r="AE9" s="286"/>
      <c r="AF9" s="286"/>
      <c r="AG9" s="286">
        <f>SUM(AG10,AG11,AG12,AG13,AG14,AG16)+AG18+AG20</f>
        <v>7109010</v>
      </c>
      <c r="AH9" s="286"/>
      <c r="AI9" s="286"/>
      <c r="AJ9" s="286"/>
      <c r="AK9" s="286"/>
      <c r="AL9" s="286"/>
      <c r="AM9" s="286" t="s">
        <v>112</v>
      </c>
      <c r="AN9" s="317"/>
      <c r="AO9" s="223"/>
      <c r="AP9" s="249" t="s">
        <v>100</v>
      </c>
      <c r="AQ9" s="250">
        <f>SUM(AQ10:AQ15)</f>
        <v>0</v>
      </c>
      <c r="AR9" s="251"/>
      <c r="AS9" s="246">
        <f>SUM(AS10:AS14)</f>
        <v>0</v>
      </c>
      <c r="AT9" s="251"/>
      <c r="AU9" s="246">
        <f>SUM(AU10:AU14)</f>
        <v>0</v>
      </c>
      <c r="AV9" s="251"/>
      <c r="AW9" s="246">
        <f>SUM(AW10:AW14)</f>
        <v>0</v>
      </c>
      <c r="AX9" s="251"/>
      <c r="AY9" s="246">
        <f>SUM(AY10:AY14)</f>
        <v>0</v>
      </c>
      <c r="AZ9" s="251"/>
      <c r="BA9" s="246">
        <f>SUM(BA10:BA14)</f>
        <v>0</v>
      </c>
      <c r="BB9" s="251"/>
      <c r="BC9" s="252">
        <f>SUM(BC10:BC14)</f>
        <v>0</v>
      </c>
      <c r="BD9" s="253"/>
    </row>
    <row r="10" spans="2:56" ht="30" customHeight="1" x14ac:dyDescent="0.25">
      <c r="B10" s="254"/>
      <c r="C10" s="230">
        <v>1</v>
      </c>
      <c r="D10" s="255" t="str">
        <f>WEEKLY!B11</f>
        <v>DADA MENTOK</v>
      </c>
      <c r="E10" s="871">
        <v>730095.92500000005</v>
      </c>
      <c r="F10" s="256">
        <v>136.80000000000001</v>
      </c>
      <c r="G10" s="247">
        <v>185867.5</v>
      </c>
      <c r="H10" s="256">
        <v>35</v>
      </c>
      <c r="I10" s="257"/>
      <c r="J10" s="258"/>
      <c r="K10" s="257"/>
      <c r="L10" s="218"/>
      <c r="M10" s="257"/>
      <c r="N10" s="218"/>
      <c r="O10" s="257"/>
      <c r="P10" s="257"/>
      <c r="Q10" s="257"/>
      <c r="R10" s="260"/>
      <c r="S10" s="257"/>
      <c r="T10" s="260"/>
      <c r="U10" s="247"/>
      <c r="V10" s="260"/>
      <c r="W10" s="257"/>
      <c r="X10" s="260"/>
      <c r="Y10" s="257"/>
      <c r="Z10" s="260"/>
      <c r="AA10" s="257"/>
      <c r="AB10" s="257"/>
      <c r="AC10" s="257">
        <f>-('TO-TI'!S7+'TO-TI'!D8)</f>
        <v>-78609.375</v>
      </c>
      <c r="AD10" s="260">
        <f>-('TO-TI'!Q7+'TO-TI'!B8)</f>
        <v>-15</v>
      </c>
      <c r="AE10" s="257"/>
      <c r="AF10" s="260"/>
      <c r="AG10" s="257">
        <f>'PEMBELIAN KREDIT'!H32</f>
        <v>445453.125</v>
      </c>
      <c r="AH10" s="257">
        <f>'PEMBELIAN KREDIT'!I32</f>
        <v>85</v>
      </c>
      <c r="AI10" s="257">
        <f t="shared" ref="AI10:AJ41" si="0">SUM(I10,K10,M10,O10,Q10,S10,U10,W10,Y10,AA10,AC10,AE10,AG10)</f>
        <v>366843.75</v>
      </c>
      <c r="AJ10" s="257">
        <f>SUM(J10,L10,N10,P10,R10,T10,V10,X10,Z10,AB10,AD10,AF10,AH10)</f>
        <v>70</v>
      </c>
      <c r="AK10" s="257">
        <f>WEEKLY!F11</f>
        <v>178181.25</v>
      </c>
      <c r="AL10" s="260">
        <f>WEEKLY!D11</f>
        <v>34</v>
      </c>
      <c r="AM10" s="257">
        <f t="shared" ref="AM10:AN41" si="1">G10+AI10-AK10</f>
        <v>374530</v>
      </c>
      <c r="AN10" s="261">
        <f t="shared" si="1"/>
        <v>71</v>
      </c>
      <c r="AO10" s="262">
        <f t="shared" ref="AO10:AO15" si="2">AM10-E10</f>
        <v>-355565.92500000005</v>
      </c>
      <c r="AP10" s="255" t="s">
        <v>138</v>
      </c>
      <c r="AQ10" s="263"/>
      <c r="AR10" s="264"/>
      <c r="AS10" s="265"/>
      <c r="AT10" s="264"/>
      <c r="AU10" s="265"/>
      <c r="AV10" s="264"/>
      <c r="AW10" s="265"/>
      <c r="AX10" s="264"/>
      <c r="AY10" s="265"/>
      <c r="AZ10" s="264"/>
      <c r="BA10" s="265"/>
      <c r="BB10" s="264"/>
      <c r="BC10" s="265"/>
      <c r="BD10" s="264"/>
    </row>
    <row r="11" spans="2:56" ht="30" customHeight="1" x14ac:dyDescent="0.25">
      <c r="B11" s="254"/>
      <c r="C11" s="230">
        <v>2</v>
      </c>
      <c r="D11" s="255" t="str">
        <f>WEEKLY!B12</f>
        <v xml:space="preserve">DADA </v>
      </c>
      <c r="E11" s="871">
        <v>1471059.9836944656</v>
      </c>
      <c r="F11" s="247">
        <v>229</v>
      </c>
      <c r="G11" s="247">
        <v>379905.00000000006</v>
      </c>
      <c r="H11" s="247">
        <v>60</v>
      </c>
      <c r="I11" s="257"/>
      <c r="J11" s="258"/>
      <c r="K11" s="257"/>
      <c r="L11" s="258"/>
      <c r="M11" s="257"/>
      <c r="N11" s="258"/>
      <c r="O11" s="257"/>
      <c r="P11" s="257"/>
      <c r="Q11" s="257"/>
      <c r="R11" s="257"/>
      <c r="S11" s="257"/>
      <c r="T11" s="257"/>
      <c r="U11" s="247"/>
      <c r="V11" s="260"/>
      <c r="W11" s="257"/>
      <c r="X11" s="257"/>
      <c r="Y11" s="257"/>
      <c r="Z11" s="257"/>
      <c r="AA11" s="257"/>
      <c r="AB11" s="257"/>
      <c r="AC11" s="257">
        <f>-('TO-TI'!N7+'TO-TI'!I7)</f>
        <v>-120500.96966118358</v>
      </c>
      <c r="AD11" s="257">
        <f>-('TO-TI'!L7+'TO-TI'!G7)</f>
        <v>-14</v>
      </c>
      <c r="AE11" s="257"/>
      <c r="AF11" s="257"/>
      <c r="AG11" s="257">
        <f>'PEMBELIAN KREDIT'!H33</f>
        <v>1062234.375</v>
      </c>
      <c r="AH11" s="257">
        <f>'PEMBELIAN KREDIT'!I33</f>
        <v>170</v>
      </c>
      <c r="AI11" s="257">
        <f t="shared" si="0"/>
        <v>941733.40533881646</v>
      </c>
      <c r="AJ11" s="257">
        <f>SUM(J11,L11,N11,P11,R11,T11,V11,X11,Z11,AB11,AD11,AF11,AH11)</f>
        <v>156</v>
      </c>
      <c r="AK11" s="257">
        <f>WEEKLY!F12</f>
        <v>318670.3125</v>
      </c>
      <c r="AL11" s="260">
        <f>WEEKLY!D12</f>
        <v>51</v>
      </c>
      <c r="AM11" s="257">
        <f t="shared" si="1"/>
        <v>1002968.0928388166</v>
      </c>
      <c r="AN11" s="264">
        <f t="shared" si="1"/>
        <v>165</v>
      </c>
      <c r="AO11" s="262">
        <f t="shared" si="2"/>
        <v>-468091.89085564902</v>
      </c>
      <c r="AP11" s="255" t="s">
        <v>139</v>
      </c>
      <c r="AQ11" s="263"/>
      <c r="AR11" s="264"/>
      <c r="AS11" s="265"/>
      <c r="AT11" s="264"/>
      <c r="AU11" s="265"/>
      <c r="AV11" s="264"/>
      <c r="AW11" s="265"/>
      <c r="AX11" s="264"/>
      <c r="AY11" s="265"/>
      <c r="AZ11" s="264"/>
      <c r="BA11" s="265"/>
      <c r="BB11" s="264"/>
      <c r="BC11" s="265"/>
      <c r="BD11" s="264"/>
    </row>
    <row r="12" spans="2:56" ht="30" customHeight="1" x14ac:dyDescent="0.25">
      <c r="B12" s="266"/>
      <c r="C12" s="230">
        <v>3</v>
      </c>
      <c r="D12" s="255" t="str">
        <f>WEEKLY!B13</f>
        <v>PAHA ATAS</v>
      </c>
      <c r="E12" s="871">
        <v>1638816</v>
      </c>
      <c r="F12" s="247">
        <v>240</v>
      </c>
      <c r="G12" s="247">
        <v>300656</v>
      </c>
      <c r="H12" s="247">
        <v>46</v>
      </c>
      <c r="I12" s="257"/>
      <c r="J12" s="258"/>
      <c r="K12" s="257"/>
      <c r="L12" s="258"/>
      <c r="M12" s="257"/>
      <c r="N12" s="258"/>
      <c r="O12" s="257"/>
      <c r="P12" s="257"/>
      <c r="Q12" s="257"/>
      <c r="R12" s="257"/>
      <c r="S12" s="257"/>
      <c r="T12" s="257"/>
      <c r="U12" s="247"/>
      <c r="V12" s="260"/>
      <c r="W12" s="257"/>
      <c r="X12" s="257"/>
      <c r="Y12" s="257"/>
      <c r="Z12" s="257"/>
      <c r="AA12" s="257"/>
      <c r="AB12" s="257"/>
      <c r="AC12" s="257">
        <f>-('TO-TI'!N8+'TO-TI'!I8)</f>
        <v>0</v>
      </c>
      <c r="AD12" s="257">
        <f>-('TO-TI'!L8+'TO-TI'!G8)</f>
        <v>0</v>
      </c>
      <c r="AE12" s="257"/>
      <c r="AF12" s="257"/>
      <c r="AG12" s="257">
        <f>'PEMBELIAN KREDIT'!H34</f>
        <v>1096500</v>
      </c>
      <c r="AH12" s="257">
        <f>'PEMBELIAN KREDIT'!I34</f>
        <v>170</v>
      </c>
      <c r="AI12" s="257">
        <f t="shared" si="0"/>
        <v>1096500</v>
      </c>
      <c r="AJ12" s="257">
        <f t="shared" si="0"/>
        <v>170</v>
      </c>
      <c r="AK12" s="257">
        <f>WEEKLY!F13</f>
        <v>380550</v>
      </c>
      <c r="AL12" s="260">
        <f>WEEKLY!D13</f>
        <v>59</v>
      </c>
      <c r="AM12" s="257">
        <f t="shared" si="1"/>
        <v>1016606</v>
      </c>
      <c r="AN12" s="264">
        <f t="shared" si="1"/>
        <v>157</v>
      </c>
      <c r="AO12" s="262">
        <f t="shared" si="2"/>
        <v>-622210</v>
      </c>
      <c r="AP12" s="255" t="s">
        <v>29</v>
      </c>
      <c r="AQ12" s="263"/>
      <c r="AR12" s="264"/>
      <c r="AS12" s="265"/>
      <c r="AT12" s="264"/>
      <c r="AU12" s="265"/>
      <c r="AV12" s="264"/>
      <c r="AW12" s="265"/>
      <c r="AX12" s="264"/>
      <c r="AY12" s="265"/>
      <c r="AZ12" s="264"/>
      <c r="BA12" s="265"/>
      <c r="BB12" s="264"/>
      <c r="BC12" s="265"/>
      <c r="BD12" s="264"/>
    </row>
    <row r="13" spans="2:56" ht="30" customHeight="1" x14ac:dyDescent="0.25">
      <c r="B13" s="266"/>
      <c r="C13" s="230">
        <v>4</v>
      </c>
      <c r="D13" s="255" t="str">
        <f>WEEKLY!B14</f>
        <v>PAHA BAWAH</v>
      </c>
      <c r="E13" s="871">
        <v>2222090.5805433355</v>
      </c>
      <c r="F13" s="247">
        <v>496</v>
      </c>
      <c r="G13" s="247">
        <v>540241.25</v>
      </c>
      <c r="H13" s="247">
        <v>115</v>
      </c>
      <c r="I13" s="257"/>
      <c r="J13" s="258"/>
      <c r="K13" s="257"/>
      <c r="L13" s="258"/>
      <c r="M13" s="257"/>
      <c r="N13" s="258"/>
      <c r="O13" s="257"/>
      <c r="P13" s="257"/>
      <c r="Q13" s="257"/>
      <c r="R13" s="257"/>
      <c r="S13" s="257"/>
      <c r="T13" s="257"/>
      <c r="U13" s="247"/>
      <c r="V13" s="260"/>
      <c r="W13" s="257"/>
      <c r="X13" s="257"/>
      <c r="Y13" s="257"/>
      <c r="Z13" s="257"/>
      <c r="AA13" s="257"/>
      <c r="AB13" s="257"/>
      <c r="AC13" s="257">
        <f>-('TO-TI'!N9+'TO-TI'!I9)</f>
        <v>0</v>
      </c>
      <c r="AD13" s="257">
        <f>-('TO-TI'!L9+'TO-TI'!G9)</f>
        <v>0</v>
      </c>
      <c r="AE13" s="257"/>
      <c r="AF13" s="257"/>
      <c r="AG13" s="257">
        <f>'PEMBELIAN KREDIT'!H35+'PEMBELIAN KREDIT'!H39</f>
        <v>1080709.375</v>
      </c>
      <c r="AH13" s="257">
        <f>'PEMBELIAN KREDIT'!I35+'PEMBELIAN KREDIT'!I39</f>
        <v>240</v>
      </c>
      <c r="AI13" s="257">
        <f t="shared" si="0"/>
        <v>1080709.375</v>
      </c>
      <c r="AJ13" s="257">
        <f t="shared" si="0"/>
        <v>240</v>
      </c>
      <c r="AK13" s="257">
        <f>WEEKLY!F14</f>
        <v>593400</v>
      </c>
      <c r="AL13" s="260">
        <f>WEEKLY!D14</f>
        <v>128</v>
      </c>
      <c r="AM13" s="257">
        <f t="shared" si="1"/>
        <v>1027550.625</v>
      </c>
      <c r="AN13" s="264">
        <f t="shared" si="1"/>
        <v>227</v>
      </c>
      <c r="AO13" s="262">
        <f t="shared" si="2"/>
        <v>-1194539.9555433355</v>
      </c>
      <c r="AP13" s="255" t="s">
        <v>30</v>
      </c>
      <c r="AQ13" s="263"/>
      <c r="AR13" s="264"/>
      <c r="AS13" s="265"/>
      <c r="AT13" s="264"/>
      <c r="AU13" s="265"/>
      <c r="AV13" s="264"/>
      <c r="AW13" s="265"/>
      <c r="AX13" s="264"/>
      <c r="AY13" s="265"/>
      <c r="AZ13" s="264"/>
      <c r="BA13" s="265"/>
      <c r="BB13" s="264"/>
      <c r="BC13" s="265"/>
      <c r="BD13" s="264"/>
    </row>
    <row r="14" spans="2:56" ht="30" customHeight="1" x14ac:dyDescent="0.25">
      <c r="B14" s="254" t="s">
        <v>140</v>
      </c>
      <c r="C14" s="230">
        <v>5</v>
      </c>
      <c r="D14" s="255" t="str">
        <f>WEEKLY!B15</f>
        <v>SAYAP</v>
      </c>
      <c r="E14" s="307">
        <v>2370220.5996373515</v>
      </c>
      <c r="F14" s="257">
        <v>674</v>
      </c>
      <c r="G14" s="247">
        <v>784932.75</v>
      </c>
      <c r="H14" s="247">
        <v>183</v>
      </c>
      <c r="I14" s="257"/>
      <c r="J14" s="258"/>
      <c r="K14" s="257"/>
      <c r="L14" s="258"/>
      <c r="M14" s="257"/>
      <c r="N14" s="258"/>
      <c r="O14" s="257"/>
      <c r="P14" s="257"/>
      <c r="Q14" s="257"/>
      <c r="R14" s="257"/>
      <c r="S14" s="257"/>
      <c r="T14" s="257"/>
      <c r="U14" s="247"/>
      <c r="V14" s="260"/>
      <c r="W14" s="257"/>
      <c r="X14" s="257"/>
      <c r="Y14" s="257"/>
      <c r="Z14" s="257"/>
      <c r="AA14" s="257"/>
      <c r="AB14" s="257"/>
      <c r="AC14" s="257">
        <f>-('TO-TI'!N10+'TO-TI'!I10)</f>
        <v>0</v>
      </c>
      <c r="AD14" s="257">
        <f>-('TO-TI'!L10+'TO-TI'!G10)</f>
        <v>0</v>
      </c>
      <c r="AE14" s="257"/>
      <c r="AF14" s="257"/>
      <c r="AG14" s="257">
        <f>'PEMBELIAN KREDIT'!H36+'PEMBELIAN KREDIT'!H37</f>
        <v>924888.125</v>
      </c>
      <c r="AH14" s="257">
        <f>'PEMBELIAN KREDIT'!I36+'PEMBELIAN KREDIT'!I37</f>
        <v>240</v>
      </c>
      <c r="AI14" s="257">
        <f t="shared" si="0"/>
        <v>924888.125</v>
      </c>
      <c r="AJ14" s="257">
        <f t="shared" si="0"/>
        <v>240</v>
      </c>
      <c r="AK14" s="257">
        <f>WEEKLY!F15</f>
        <v>576642.5</v>
      </c>
      <c r="AL14" s="260">
        <f>WEEKLY!D15</f>
        <v>136</v>
      </c>
      <c r="AM14" s="257">
        <f t="shared" si="1"/>
        <v>1133178.375</v>
      </c>
      <c r="AN14" s="264">
        <f t="shared" si="1"/>
        <v>287</v>
      </c>
      <c r="AO14" s="262">
        <f t="shared" si="2"/>
        <v>-1237042.2246373515</v>
      </c>
      <c r="AP14" s="255" t="s">
        <v>31</v>
      </c>
      <c r="AQ14" s="263"/>
      <c r="AR14" s="264"/>
      <c r="AS14" s="265"/>
      <c r="AT14" s="264"/>
      <c r="AU14" s="265"/>
      <c r="AV14" s="264"/>
      <c r="AW14" s="265"/>
      <c r="AX14" s="264"/>
      <c r="AY14" s="265"/>
      <c r="AZ14" s="264"/>
      <c r="BA14" s="265"/>
      <c r="BB14" s="264"/>
      <c r="BC14" s="265"/>
      <c r="BD14" s="264"/>
    </row>
    <row r="15" spans="2:56" ht="30" customHeight="1" thickBot="1" x14ac:dyDescent="0.3">
      <c r="B15" s="254" t="s">
        <v>141</v>
      </c>
      <c r="C15" s="230">
        <v>6</v>
      </c>
      <c r="D15" s="255" t="str">
        <f>WEEKLY!B16</f>
        <v>CHICKEN PATTY</v>
      </c>
      <c r="E15" s="307">
        <v>134783.74528301886</v>
      </c>
      <c r="F15" s="257">
        <v>49</v>
      </c>
      <c r="G15" s="257">
        <v>46761.707547169812</v>
      </c>
      <c r="H15" s="247">
        <v>17</v>
      </c>
      <c r="I15" s="257"/>
      <c r="J15" s="257"/>
      <c r="K15" s="257"/>
      <c r="L15" s="257"/>
      <c r="M15" s="257"/>
      <c r="N15" s="257"/>
      <c r="O15" s="257"/>
      <c r="P15" s="257"/>
      <c r="Q15" s="257"/>
      <c r="R15" s="257"/>
      <c r="S15" s="257"/>
      <c r="T15" s="257"/>
      <c r="U15" s="257"/>
      <c r="V15" s="257"/>
      <c r="W15" s="257"/>
      <c r="X15" s="257"/>
      <c r="Y15" s="257"/>
      <c r="Z15" s="257"/>
      <c r="AA15" s="257"/>
      <c r="AB15" s="257"/>
      <c r="AC15" s="257">
        <f>'TO-TI'!S19</f>
        <v>85485.875</v>
      </c>
      <c r="AD15" s="257">
        <f>'TO-TI'!Q21</f>
        <v>36</v>
      </c>
      <c r="AE15" s="257"/>
      <c r="AF15" s="257"/>
      <c r="AG15" s="257"/>
      <c r="AH15" s="257"/>
      <c r="AI15" s="257">
        <f t="shared" si="0"/>
        <v>85485.875</v>
      </c>
      <c r="AJ15" s="257">
        <f>SUM(J15,L15,N15,P15,R15,T15,V15,X15,Z15,AB15,AD15,AF15,AH15)</f>
        <v>36</v>
      </c>
      <c r="AK15" s="257">
        <f>WEEKLY!F16</f>
        <v>52241.368055555547</v>
      </c>
      <c r="AL15" s="260">
        <f>WEEKLY!D16</f>
        <v>22</v>
      </c>
      <c r="AM15" s="257">
        <f t="shared" si="1"/>
        <v>80006.214491614272</v>
      </c>
      <c r="AN15" s="264">
        <f t="shared" si="1"/>
        <v>31</v>
      </c>
      <c r="AO15" s="262">
        <f t="shared" si="2"/>
        <v>-54777.530791404584</v>
      </c>
      <c r="AP15" s="267" t="s">
        <v>142</v>
      </c>
      <c r="AQ15" s="268"/>
      <c r="AR15" s="269"/>
      <c r="AS15" s="270"/>
      <c r="AT15" s="271"/>
      <c r="AU15" s="270"/>
      <c r="AV15" s="271"/>
      <c r="AW15" s="270"/>
      <c r="AX15" s="271"/>
      <c r="AY15" s="270"/>
      <c r="AZ15" s="271"/>
      <c r="BA15" s="270"/>
      <c r="BB15" s="271"/>
      <c r="BC15" s="272"/>
      <c r="BD15" s="273"/>
    </row>
    <row r="16" spans="2:56" ht="30" customHeight="1" x14ac:dyDescent="0.25">
      <c r="B16" s="254" t="s">
        <v>140</v>
      </c>
      <c r="C16" s="230">
        <v>7</v>
      </c>
      <c r="D16" s="255" t="str">
        <f>WEEKLY!B17</f>
        <v>AYAM WHOLE</v>
      </c>
      <c r="E16" s="307">
        <v>3327750</v>
      </c>
      <c r="F16" s="257">
        <v>135</v>
      </c>
      <c r="G16" s="257">
        <v>1084600</v>
      </c>
      <c r="H16" s="257">
        <v>44</v>
      </c>
      <c r="I16" s="257"/>
      <c r="J16" s="257"/>
      <c r="K16" s="257"/>
      <c r="L16" s="257"/>
      <c r="M16" s="257"/>
      <c r="N16" s="257"/>
      <c r="O16" s="257"/>
      <c r="P16" s="257"/>
      <c r="Q16" s="257"/>
      <c r="R16" s="257"/>
      <c r="S16" s="257"/>
      <c r="T16" s="257"/>
      <c r="U16" s="257"/>
      <c r="V16" s="257"/>
      <c r="W16" s="257"/>
      <c r="X16" s="257"/>
      <c r="Y16" s="257"/>
      <c r="Z16" s="257"/>
      <c r="AA16" s="257"/>
      <c r="AB16" s="257"/>
      <c r="AC16" s="257"/>
      <c r="AD16" s="257"/>
      <c r="AE16" s="257"/>
      <c r="AF16" s="257"/>
      <c r="AG16" s="257">
        <f>'PEMBELIAN KREDIT'!H41</f>
        <v>1925600</v>
      </c>
      <c r="AH16" s="257">
        <f>'PEMBELIAN KREDIT'!I41</f>
        <v>80</v>
      </c>
      <c r="AI16" s="257">
        <f t="shared" si="0"/>
        <v>1925600</v>
      </c>
      <c r="AJ16" s="257">
        <f t="shared" si="0"/>
        <v>80</v>
      </c>
      <c r="AK16" s="257">
        <f>WEEKLY!F17</f>
        <v>625820</v>
      </c>
      <c r="AL16" s="260">
        <f>WEEKLY!D17</f>
        <v>26</v>
      </c>
      <c r="AM16" s="257">
        <f t="shared" si="1"/>
        <v>2384380</v>
      </c>
      <c r="AN16" s="264">
        <f t="shared" si="1"/>
        <v>98</v>
      </c>
      <c r="AP16" s="274"/>
    </row>
    <row r="17" spans="2:42" ht="30" customHeight="1" x14ac:dyDescent="0.25">
      <c r="B17" s="254" t="s">
        <v>143</v>
      </c>
      <c r="C17" s="275">
        <v>8</v>
      </c>
      <c r="D17" s="255" t="str">
        <f>WEEKLY!B18</f>
        <v>SAYAP FULL</v>
      </c>
      <c r="E17" s="872">
        <v>0</v>
      </c>
      <c r="F17" s="277">
        <v>0</v>
      </c>
      <c r="G17" s="277">
        <v>0</v>
      </c>
      <c r="H17" s="277">
        <v>0</v>
      </c>
      <c r="I17" s="277"/>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57">
        <f t="shared" si="0"/>
        <v>0</v>
      </c>
      <c r="AJ17" s="257">
        <f t="shared" si="0"/>
        <v>0</v>
      </c>
      <c r="AK17" s="257">
        <f>WEEKLY!F18</f>
        <v>0</v>
      </c>
      <c r="AL17" s="260">
        <f>WEEKLY!D18</f>
        <v>0</v>
      </c>
      <c r="AM17" s="257">
        <f t="shared" si="1"/>
        <v>0</v>
      </c>
      <c r="AN17" s="264">
        <f t="shared" si="1"/>
        <v>0</v>
      </c>
    </row>
    <row r="18" spans="2:42" ht="30" customHeight="1" x14ac:dyDescent="0.25">
      <c r="B18" s="254"/>
      <c r="C18" s="275">
        <v>9</v>
      </c>
      <c r="D18" s="255" t="str">
        <f>WEEKLY!B19</f>
        <v>KULIT</v>
      </c>
      <c r="E18" s="872">
        <v>612675</v>
      </c>
      <c r="F18" s="277">
        <v>17.350000000000001</v>
      </c>
      <c r="G18" s="277">
        <v>351450</v>
      </c>
      <c r="H18" s="277">
        <v>9.9</v>
      </c>
      <c r="I18" s="277"/>
      <c r="J18" s="277"/>
      <c r="K18" s="277"/>
      <c r="L18" s="277"/>
      <c r="M18" s="277"/>
      <c r="N18" s="277"/>
      <c r="O18" s="277"/>
      <c r="P18" s="277"/>
      <c r="Q18" s="277"/>
      <c r="R18" s="277"/>
      <c r="S18" s="277"/>
      <c r="T18" s="277"/>
      <c r="U18" s="277"/>
      <c r="V18" s="277"/>
      <c r="W18" s="277"/>
      <c r="X18" s="277"/>
      <c r="Y18" s="277"/>
      <c r="Z18" s="277"/>
      <c r="AA18" s="277"/>
      <c r="AB18" s="277"/>
      <c r="AC18" s="277"/>
      <c r="AD18" s="277"/>
      <c r="AE18" s="277"/>
      <c r="AF18" s="277"/>
      <c r="AG18" s="277">
        <f>'PEMBELIAN KREDIT'!H38</f>
        <v>369250</v>
      </c>
      <c r="AH18" s="277">
        <f>'PEMBELIAN KREDIT'!I38</f>
        <v>10.55</v>
      </c>
      <c r="AI18" s="257">
        <f t="shared" si="0"/>
        <v>369250</v>
      </c>
      <c r="AJ18" s="257">
        <f t="shared" si="0"/>
        <v>10.55</v>
      </c>
      <c r="AK18" s="257">
        <f>WEEKLY!F19</f>
        <v>266250</v>
      </c>
      <c r="AL18" s="260">
        <f>WEEKLY!D19</f>
        <v>7.5</v>
      </c>
      <c r="AM18" s="257">
        <f t="shared" si="1"/>
        <v>454450</v>
      </c>
      <c r="AN18" s="264">
        <f t="shared" si="1"/>
        <v>12.950000000000003</v>
      </c>
    </row>
    <row r="19" spans="2:42" ht="30" customHeight="1" x14ac:dyDescent="0.25">
      <c r="B19" s="266"/>
      <c r="C19" s="230">
        <v>10</v>
      </c>
      <c r="D19" s="255" t="str">
        <f>WEEKLY!B20</f>
        <v>PAHA BAWAH FULL</v>
      </c>
      <c r="E19" s="307">
        <v>0</v>
      </c>
      <c r="F19" s="257">
        <v>0</v>
      </c>
      <c r="G19" s="257">
        <v>0</v>
      </c>
      <c r="H19" s="257">
        <v>0</v>
      </c>
      <c r="I19" s="257"/>
      <c r="J19" s="257"/>
      <c r="K19" s="257"/>
      <c r="L19" s="257"/>
      <c r="M19" s="257"/>
      <c r="N19" s="257"/>
      <c r="O19" s="257"/>
      <c r="P19" s="257"/>
      <c r="Q19" s="257"/>
      <c r="R19" s="257"/>
      <c r="S19" s="257"/>
      <c r="T19" s="257"/>
      <c r="U19" s="257"/>
      <c r="V19" s="257"/>
      <c r="W19" s="257"/>
      <c r="X19" s="257"/>
      <c r="Y19" s="257"/>
      <c r="Z19" s="257"/>
      <c r="AA19" s="257"/>
      <c r="AB19" s="257"/>
      <c r="AC19" s="257"/>
      <c r="AD19" s="257"/>
      <c r="AE19" s="257"/>
      <c r="AF19" s="257"/>
      <c r="AG19" s="257"/>
      <c r="AH19" s="257"/>
      <c r="AI19" s="257">
        <f t="shared" si="0"/>
        <v>0</v>
      </c>
      <c r="AJ19" s="257">
        <f t="shared" si="0"/>
        <v>0</v>
      </c>
      <c r="AK19" s="257">
        <f>WEEKLY!F20</f>
        <v>0</v>
      </c>
      <c r="AL19" s="260">
        <f>WEEKLY!D20</f>
        <v>0</v>
      </c>
      <c r="AM19" s="257">
        <f t="shared" si="1"/>
        <v>0</v>
      </c>
      <c r="AN19" s="264">
        <f t="shared" si="1"/>
        <v>0</v>
      </c>
    </row>
    <row r="20" spans="2:42" ht="30" customHeight="1" x14ac:dyDescent="0.25">
      <c r="B20" s="266"/>
      <c r="C20" s="230">
        <v>11</v>
      </c>
      <c r="D20" s="255" t="str">
        <f>WEEKLY!B21</f>
        <v>CUT 10</v>
      </c>
      <c r="E20" s="307">
        <v>326780</v>
      </c>
      <c r="F20" s="257">
        <v>80</v>
      </c>
      <c r="G20" s="257">
        <v>1076920</v>
      </c>
      <c r="H20" s="257">
        <v>260</v>
      </c>
      <c r="I20" s="257"/>
      <c r="J20" s="257"/>
      <c r="K20" s="257"/>
      <c r="L20" s="257"/>
      <c r="M20" s="257"/>
      <c r="N20" s="257"/>
      <c r="O20" s="257"/>
      <c r="P20" s="257"/>
      <c r="Q20" s="257"/>
      <c r="R20" s="257"/>
      <c r="S20" s="257"/>
      <c r="T20" s="257"/>
      <c r="U20" s="257"/>
      <c r="V20" s="257"/>
      <c r="W20" s="257"/>
      <c r="X20" s="257"/>
      <c r="Y20" s="257"/>
      <c r="Z20" s="257"/>
      <c r="AA20" s="257"/>
      <c r="AB20" s="257"/>
      <c r="AC20" s="257"/>
      <c r="AD20" s="257"/>
      <c r="AE20" s="257"/>
      <c r="AF20" s="257"/>
      <c r="AG20" s="257">
        <f>'PEMBELIAN KREDIT'!H40</f>
        <v>204375</v>
      </c>
      <c r="AH20" s="257">
        <f>'PEMBELIAN KREDIT'!I40</f>
        <v>50</v>
      </c>
      <c r="AI20" s="257">
        <f t="shared" si="0"/>
        <v>204375</v>
      </c>
      <c r="AJ20" s="257">
        <f t="shared" si="0"/>
        <v>50</v>
      </c>
      <c r="AK20" s="257">
        <f>WEEKLY!F21</f>
        <v>994080</v>
      </c>
      <c r="AL20" s="260">
        <f>WEEKLY!D21</f>
        <v>240</v>
      </c>
      <c r="AM20" s="257">
        <f t="shared" si="1"/>
        <v>287215</v>
      </c>
      <c r="AN20" s="264">
        <f t="shared" si="1"/>
        <v>70</v>
      </c>
    </row>
    <row r="21" spans="2:42" ht="30" customHeight="1" x14ac:dyDescent="0.25">
      <c r="B21" s="266"/>
      <c r="C21" s="230">
        <v>12</v>
      </c>
      <c r="D21" s="255">
        <f>WEEKLY!B22</f>
        <v>0</v>
      </c>
      <c r="E21" s="307">
        <v>0</v>
      </c>
      <c r="F21" s="257">
        <v>0</v>
      </c>
      <c r="G21" s="257">
        <v>0</v>
      </c>
      <c r="H21" s="257">
        <v>0</v>
      </c>
      <c r="I21" s="257"/>
      <c r="J21" s="257"/>
      <c r="K21" s="257"/>
      <c r="L21" s="257"/>
      <c r="M21" s="257"/>
      <c r="N21" s="257"/>
      <c r="O21" s="257"/>
      <c r="P21" s="257"/>
      <c r="Q21" s="257"/>
      <c r="R21" s="257"/>
      <c r="S21" s="257"/>
      <c r="T21" s="257"/>
      <c r="U21" s="257"/>
      <c r="V21" s="257"/>
      <c r="W21" s="257"/>
      <c r="X21" s="257"/>
      <c r="Y21" s="257"/>
      <c r="Z21" s="257"/>
      <c r="AA21" s="257"/>
      <c r="AB21" s="257"/>
      <c r="AC21" s="257"/>
      <c r="AD21" s="257"/>
      <c r="AE21" s="257"/>
      <c r="AF21" s="257"/>
      <c r="AG21" s="257"/>
      <c r="AH21" s="257"/>
      <c r="AI21" s="257">
        <f t="shared" si="0"/>
        <v>0</v>
      </c>
      <c r="AJ21" s="257">
        <f t="shared" si="0"/>
        <v>0</v>
      </c>
      <c r="AK21" s="257">
        <f>WEEKLY!F22</f>
        <v>0</v>
      </c>
      <c r="AL21" s="260">
        <f>WEEKLY!D22</f>
        <v>0</v>
      </c>
      <c r="AM21" s="257">
        <f t="shared" si="1"/>
        <v>0</v>
      </c>
      <c r="AN21" s="264">
        <f t="shared" si="1"/>
        <v>0</v>
      </c>
    </row>
    <row r="22" spans="2:42" ht="30" customHeight="1" x14ac:dyDescent="0.25">
      <c r="B22" s="266"/>
      <c r="C22" s="230">
        <v>13</v>
      </c>
      <c r="D22" s="255">
        <f>WEEKLY!B23</f>
        <v>0</v>
      </c>
      <c r="E22" s="307">
        <v>0</v>
      </c>
      <c r="F22" s="257">
        <v>0</v>
      </c>
      <c r="G22" s="257">
        <v>0</v>
      </c>
      <c r="H22" s="257">
        <v>0</v>
      </c>
      <c r="I22" s="257"/>
      <c r="J22" s="257"/>
      <c r="K22" s="257"/>
      <c r="L22" s="257"/>
      <c r="M22" s="257"/>
      <c r="N22" s="257"/>
      <c r="O22" s="257"/>
      <c r="P22" s="257"/>
      <c r="Q22" s="257"/>
      <c r="R22" s="257"/>
      <c r="S22" s="257"/>
      <c r="T22" s="257"/>
      <c r="U22" s="257"/>
      <c r="V22" s="257"/>
      <c r="W22" s="257"/>
      <c r="X22" s="257"/>
      <c r="Y22" s="257"/>
      <c r="Z22" s="257"/>
      <c r="AA22" s="257"/>
      <c r="AB22" s="257"/>
      <c r="AC22" s="257"/>
      <c r="AD22" s="257"/>
      <c r="AE22" s="257"/>
      <c r="AF22" s="257"/>
      <c r="AG22" s="257"/>
      <c r="AH22" s="257"/>
      <c r="AI22" s="257">
        <f t="shared" si="0"/>
        <v>0</v>
      </c>
      <c r="AJ22" s="257">
        <f t="shared" si="0"/>
        <v>0</v>
      </c>
      <c r="AK22" s="257">
        <f>WEEKLY!F23</f>
        <v>0</v>
      </c>
      <c r="AL22" s="260">
        <f>WEEKLY!D23</f>
        <v>0</v>
      </c>
      <c r="AM22" s="257">
        <f t="shared" si="1"/>
        <v>0</v>
      </c>
      <c r="AN22" s="264">
        <f t="shared" si="1"/>
        <v>0</v>
      </c>
    </row>
    <row r="23" spans="2:42" ht="30" customHeight="1" thickBot="1" x14ac:dyDescent="0.3">
      <c r="B23" s="266"/>
      <c r="C23" s="230">
        <v>14</v>
      </c>
      <c r="D23" s="875">
        <f>WEEKLY!B24</f>
        <v>0</v>
      </c>
      <c r="E23" s="873">
        <v>0</v>
      </c>
      <c r="F23" s="278">
        <v>0</v>
      </c>
      <c r="G23" s="278">
        <v>0</v>
      </c>
      <c r="H23" s="278">
        <v>0</v>
      </c>
      <c r="I23" s="278"/>
      <c r="J23" s="278"/>
      <c r="K23" s="278"/>
      <c r="L23" s="278"/>
      <c r="M23" s="278"/>
      <c r="N23" s="278"/>
      <c r="O23" s="278"/>
      <c r="P23" s="278"/>
      <c r="Q23" s="278"/>
      <c r="R23" s="278"/>
      <c r="S23" s="278"/>
      <c r="T23" s="278"/>
      <c r="U23" s="278"/>
      <c r="V23" s="278"/>
      <c r="W23" s="278"/>
      <c r="X23" s="278"/>
      <c r="Y23" s="278"/>
      <c r="Z23" s="278"/>
      <c r="AA23" s="278"/>
      <c r="AB23" s="278"/>
      <c r="AC23" s="278"/>
      <c r="AD23" s="278"/>
      <c r="AE23" s="278"/>
      <c r="AF23" s="278"/>
      <c r="AG23" s="278"/>
      <c r="AH23" s="278"/>
      <c r="AI23" s="278">
        <f t="shared" si="0"/>
        <v>0</v>
      </c>
      <c r="AJ23" s="278">
        <f t="shared" si="0"/>
        <v>0</v>
      </c>
      <c r="AK23" s="278">
        <f>WEEKLY!F24</f>
        <v>0</v>
      </c>
      <c r="AL23" s="874">
        <f>WEEKLY!D24</f>
        <v>0</v>
      </c>
      <c r="AM23" s="278">
        <f t="shared" si="1"/>
        <v>0</v>
      </c>
      <c r="AN23" s="279">
        <f t="shared" si="1"/>
        <v>0</v>
      </c>
      <c r="AO23" s="215" t="s">
        <v>100</v>
      </c>
      <c r="AP23" s="280">
        <f>SUM(AM10:AM23)</f>
        <v>7760884.3073304305</v>
      </c>
    </row>
    <row r="24" spans="2:42" ht="30" customHeight="1" x14ac:dyDescent="0.25">
      <c r="B24" s="281"/>
      <c r="C24" s="282">
        <v>1</v>
      </c>
      <c r="D24" s="283" t="str">
        <f>WEEKLY!B27</f>
        <v xml:space="preserve">VEGETABLE MIX </v>
      </c>
      <c r="E24" s="246">
        <v>11200</v>
      </c>
      <c r="F24" s="256">
        <v>0.32000000000000006</v>
      </c>
      <c r="G24" s="247">
        <v>35000</v>
      </c>
      <c r="H24" s="256">
        <v>1</v>
      </c>
      <c r="I24" s="247"/>
      <c r="J24" s="247"/>
      <c r="K24" s="247"/>
      <c r="L24" s="247"/>
      <c r="M24" s="247"/>
      <c r="N24" s="247"/>
      <c r="O24" s="247"/>
      <c r="P24" s="247"/>
      <c r="Q24" s="247"/>
      <c r="R24" s="247"/>
      <c r="S24" s="247"/>
      <c r="T24" s="247"/>
      <c r="U24" s="247"/>
      <c r="V24" s="247"/>
      <c r="W24" s="247"/>
      <c r="X24" s="247"/>
      <c r="Y24" s="247"/>
      <c r="Z24" s="247"/>
      <c r="AA24" s="247"/>
      <c r="AB24" s="247"/>
      <c r="AC24" s="247"/>
      <c r="AD24" s="247"/>
      <c r="AE24" s="247"/>
      <c r="AF24" s="247"/>
      <c r="AG24" s="247"/>
      <c r="AH24" s="247"/>
      <c r="AI24" s="247">
        <f t="shared" si="0"/>
        <v>0</v>
      </c>
      <c r="AJ24" s="247">
        <f t="shared" si="0"/>
        <v>0</v>
      </c>
      <c r="AK24" s="247">
        <f>WEEKLY!F27</f>
        <v>21000</v>
      </c>
      <c r="AL24" s="256">
        <f>WEEKLY!D27</f>
        <v>0.6</v>
      </c>
      <c r="AM24" s="247">
        <f t="shared" si="1"/>
        <v>14000</v>
      </c>
      <c r="AN24" s="287">
        <f t="shared" si="1"/>
        <v>0.4</v>
      </c>
      <c r="AO24" s="280">
        <f>AM24-E24</f>
        <v>2800</v>
      </c>
    </row>
    <row r="25" spans="2:42" ht="30" customHeight="1" x14ac:dyDescent="0.25">
      <c r="B25" s="288" t="s">
        <v>144</v>
      </c>
      <c r="C25" s="289">
        <v>2</v>
      </c>
      <c r="D25" s="290" t="str">
        <f>WEEKLY!B28</f>
        <v>BERAS</v>
      </c>
      <c r="E25" s="291">
        <v>2197408.1753617385</v>
      </c>
      <c r="F25" s="292">
        <v>137.5333333333333</v>
      </c>
      <c r="G25" s="293">
        <v>2135000</v>
      </c>
      <c r="H25" s="292">
        <v>122</v>
      </c>
      <c r="I25" s="293"/>
      <c r="J25" s="293"/>
      <c r="K25" s="293"/>
      <c r="L25" s="293"/>
      <c r="M25" s="293"/>
      <c r="N25" s="293"/>
      <c r="O25" s="293"/>
      <c r="P25" s="293"/>
      <c r="Q25" s="293"/>
      <c r="R25" s="293"/>
      <c r="S25" s="293"/>
      <c r="T25" s="293"/>
      <c r="U25" s="293"/>
      <c r="V25" s="293"/>
      <c r="W25" s="293"/>
      <c r="X25" s="293"/>
      <c r="Y25" s="293"/>
      <c r="Z25" s="293"/>
      <c r="AA25" s="293"/>
      <c r="AB25" s="293"/>
      <c r="AC25" s="293">
        <f>-('TO-TI'!N11+'TO-TI'!I11)</f>
        <v>-40166.989887061194</v>
      </c>
      <c r="AD25" s="292">
        <f>-('TO-TI'!L11+'TO-TI'!G11)/15</f>
        <v>-0.93333333333333335</v>
      </c>
      <c r="AE25" s="293"/>
      <c r="AF25" s="293"/>
      <c r="AG25" s="293">
        <f>'PEMBELIAN KREDIT'!G13</f>
        <v>2905000</v>
      </c>
      <c r="AH25" s="293">
        <v>175</v>
      </c>
      <c r="AI25" s="257">
        <f t="shared" si="0"/>
        <v>2864833.0101129389</v>
      </c>
      <c r="AJ25" s="260">
        <f t="shared" si="0"/>
        <v>174.06666666666666</v>
      </c>
      <c r="AK25" s="247">
        <f>WEEKLY!F28</f>
        <v>3885000</v>
      </c>
      <c r="AL25" s="256">
        <f>WEEKLY!D28</f>
        <v>222</v>
      </c>
      <c r="AM25" s="257">
        <f t="shared" si="1"/>
        <v>1114833.0101129394</v>
      </c>
      <c r="AN25" s="261">
        <f t="shared" si="1"/>
        <v>74.066666666666663</v>
      </c>
      <c r="AO25" s="280">
        <f t="shared" ref="AO25:AO36" si="3">AM25-E25</f>
        <v>-1082575.1652487991</v>
      </c>
    </row>
    <row r="26" spans="2:42" ht="30" customHeight="1" x14ac:dyDescent="0.25">
      <c r="B26" s="288" t="s">
        <v>145</v>
      </c>
      <c r="C26" s="289">
        <v>3</v>
      </c>
      <c r="D26" s="290" t="str">
        <f>WEEKLY!B29</f>
        <v>FRENCH FRIES</v>
      </c>
      <c r="E26" s="276">
        <v>105000</v>
      </c>
      <c r="F26" s="294">
        <v>2.2999999999999998</v>
      </c>
      <c r="G26" s="277">
        <v>30000</v>
      </c>
      <c r="H26" s="294">
        <v>1</v>
      </c>
      <c r="I26" s="277">
        <v>84000</v>
      </c>
      <c r="J26" s="294">
        <v>2</v>
      </c>
      <c r="K26" s="277"/>
      <c r="L26" s="294"/>
      <c r="M26" s="277"/>
      <c r="N26" s="294"/>
      <c r="O26" s="277"/>
      <c r="P26" s="294"/>
      <c r="Q26" s="277"/>
      <c r="R26" s="294"/>
      <c r="S26" s="277"/>
      <c r="T26" s="294"/>
      <c r="U26" s="277"/>
      <c r="V26" s="294"/>
      <c r="W26" s="277"/>
      <c r="X26" s="294"/>
      <c r="Y26" s="277"/>
      <c r="Z26" s="294"/>
      <c r="AA26" s="277"/>
      <c r="AB26" s="294"/>
      <c r="AC26" s="277"/>
      <c r="AD26" s="294"/>
      <c r="AE26" s="277"/>
      <c r="AF26" s="277"/>
      <c r="AG26" s="277"/>
      <c r="AH26" s="277"/>
      <c r="AI26" s="257">
        <f t="shared" si="0"/>
        <v>84000</v>
      </c>
      <c r="AJ26" s="260">
        <f t="shared" si="0"/>
        <v>2</v>
      </c>
      <c r="AK26" s="247">
        <f>WEEKLY!F29</f>
        <v>12000</v>
      </c>
      <c r="AL26" s="256">
        <f>WEEKLY!D29</f>
        <v>0.4</v>
      </c>
      <c r="AM26" s="257">
        <f t="shared" si="1"/>
        <v>102000</v>
      </c>
      <c r="AN26" s="261">
        <f t="shared" si="1"/>
        <v>2.6</v>
      </c>
      <c r="AO26" s="280">
        <f t="shared" si="3"/>
        <v>-3000</v>
      </c>
    </row>
    <row r="27" spans="2:42" ht="30" customHeight="1" x14ac:dyDescent="0.25">
      <c r="B27" s="288" t="s">
        <v>146</v>
      </c>
      <c r="C27" s="295">
        <v>4</v>
      </c>
      <c r="D27" s="290" t="str">
        <f>WEEKLY!B30</f>
        <v>ROTI BURGER</v>
      </c>
      <c r="E27" s="276">
        <v>141833</v>
      </c>
      <c r="F27" s="277">
        <v>49</v>
      </c>
      <c r="G27" s="277">
        <v>28330</v>
      </c>
      <c r="H27" s="277">
        <v>10</v>
      </c>
      <c r="I27" s="277"/>
      <c r="J27" s="277"/>
      <c r="K27" s="277">
        <v>34000</v>
      </c>
      <c r="L27" s="277">
        <v>12</v>
      </c>
      <c r="M27" s="277"/>
      <c r="N27" s="277"/>
      <c r="O27" s="277"/>
      <c r="P27" s="277"/>
      <c r="Q27" s="277">
        <v>36000</v>
      </c>
      <c r="R27" s="277">
        <v>12</v>
      </c>
      <c r="S27" s="277"/>
      <c r="T27" s="277"/>
      <c r="U27" s="277"/>
      <c r="V27" s="277"/>
      <c r="W27" s="277"/>
      <c r="X27" s="277"/>
      <c r="Y27" s="277"/>
      <c r="Z27" s="277"/>
      <c r="AA27" s="277"/>
      <c r="AB27" s="277"/>
      <c r="AC27" s="277"/>
      <c r="AD27" s="277"/>
      <c r="AE27" s="277"/>
      <c r="AF27" s="277"/>
      <c r="AG27" s="277"/>
      <c r="AH27" s="277"/>
      <c r="AI27" s="257">
        <f t="shared" si="0"/>
        <v>70000</v>
      </c>
      <c r="AJ27" s="257">
        <f t="shared" si="0"/>
        <v>24</v>
      </c>
      <c r="AK27" s="247">
        <f>WEEKLY!F30</f>
        <v>8499</v>
      </c>
      <c r="AL27" s="256">
        <f>WEEKLY!D30</f>
        <v>3</v>
      </c>
      <c r="AM27" s="257">
        <f t="shared" si="1"/>
        <v>89831</v>
      </c>
      <c r="AN27" s="264">
        <f t="shared" si="1"/>
        <v>31</v>
      </c>
      <c r="AO27" s="280">
        <f t="shared" si="3"/>
        <v>-52002</v>
      </c>
    </row>
    <row r="28" spans="2:42" ht="30" customHeight="1" x14ac:dyDescent="0.25">
      <c r="B28" s="288" t="s">
        <v>145</v>
      </c>
      <c r="C28" s="288">
        <v>5</v>
      </c>
      <c r="D28" s="290" t="str">
        <f>WEEKLY!B31</f>
        <v>SOSIS</v>
      </c>
      <c r="E28" s="265">
        <v>5200</v>
      </c>
      <c r="F28" s="260">
        <v>4</v>
      </c>
      <c r="G28" s="257">
        <v>18200</v>
      </c>
      <c r="H28" s="260">
        <v>14</v>
      </c>
      <c r="I28" s="257"/>
      <c r="J28" s="260"/>
      <c r="K28" s="257"/>
      <c r="L28" s="260"/>
      <c r="M28" s="257"/>
      <c r="N28" s="260"/>
      <c r="O28" s="257"/>
      <c r="P28" s="260"/>
      <c r="Q28" s="257"/>
      <c r="R28" s="260"/>
      <c r="S28" s="257"/>
      <c r="T28" s="260"/>
      <c r="U28" s="257"/>
      <c r="V28" s="260"/>
      <c r="W28" s="257"/>
      <c r="X28" s="260"/>
      <c r="Y28" s="257"/>
      <c r="Z28" s="260"/>
      <c r="AA28" s="257"/>
      <c r="AB28" s="260"/>
      <c r="AC28" s="257"/>
      <c r="AD28" s="260"/>
      <c r="AE28" s="257"/>
      <c r="AF28" s="260"/>
      <c r="AG28" s="257"/>
      <c r="AH28" s="260"/>
      <c r="AI28" s="257">
        <f t="shared" si="0"/>
        <v>0</v>
      </c>
      <c r="AJ28" s="257">
        <f t="shared" si="0"/>
        <v>0</v>
      </c>
      <c r="AK28" s="247">
        <f>WEEKLY!F31</f>
        <v>13000</v>
      </c>
      <c r="AL28" s="256">
        <f>WEEKLY!D31</f>
        <v>10</v>
      </c>
      <c r="AM28" s="257">
        <f t="shared" si="1"/>
        <v>5200</v>
      </c>
      <c r="AN28" s="261">
        <f t="shared" si="1"/>
        <v>4</v>
      </c>
      <c r="AO28" s="280">
        <f t="shared" si="3"/>
        <v>0</v>
      </c>
    </row>
    <row r="29" spans="2:42" ht="30" customHeight="1" x14ac:dyDescent="0.25">
      <c r="B29" s="254" t="s">
        <v>147</v>
      </c>
      <c r="C29" s="296">
        <v>6</v>
      </c>
      <c r="D29" s="290" t="str">
        <f>WEEKLY!B32</f>
        <v>PERKEDEL</v>
      </c>
      <c r="E29" s="265">
        <v>101905.72321428571</v>
      </c>
      <c r="F29" s="257">
        <v>47</v>
      </c>
      <c r="G29" s="257">
        <v>84308.16071428571</v>
      </c>
      <c r="H29" s="257">
        <v>34</v>
      </c>
      <c r="I29" s="257"/>
      <c r="J29" s="257"/>
      <c r="K29" s="297"/>
      <c r="L29" s="257"/>
      <c r="M29" s="265"/>
      <c r="N29" s="257"/>
      <c r="O29" s="257"/>
      <c r="P29" s="257"/>
      <c r="Q29" s="257"/>
      <c r="R29" s="257"/>
      <c r="S29" s="257"/>
      <c r="T29" s="246"/>
      <c r="U29" s="246"/>
      <c r="V29" s="246"/>
      <c r="W29" s="246"/>
      <c r="X29" s="246"/>
      <c r="Y29" s="246"/>
      <c r="Z29" s="246"/>
      <c r="AA29" s="247"/>
      <c r="AB29" s="247"/>
      <c r="AC29" s="247">
        <f>'TO-TI'!D18</f>
        <v>139420.5</v>
      </c>
      <c r="AD29" s="247">
        <f>'TO-TI'!B20</f>
        <v>72</v>
      </c>
      <c r="AE29" s="247"/>
      <c r="AF29" s="247"/>
      <c r="AG29" s="247"/>
      <c r="AH29" s="247"/>
      <c r="AI29" s="257">
        <f t="shared" si="0"/>
        <v>139420.5</v>
      </c>
      <c r="AJ29" s="257">
        <f t="shared" si="0"/>
        <v>72</v>
      </c>
      <c r="AK29" s="247">
        <f>WEEKLY!F32</f>
        <v>109104.67857142858</v>
      </c>
      <c r="AL29" s="256">
        <f>WEEKLY!D32</f>
        <v>44</v>
      </c>
      <c r="AM29" s="257">
        <f t="shared" si="1"/>
        <v>114623.98214285713</v>
      </c>
      <c r="AN29" s="264">
        <f t="shared" si="1"/>
        <v>62</v>
      </c>
      <c r="AO29" s="280">
        <f t="shared" si="3"/>
        <v>12718.25892857142</v>
      </c>
    </row>
    <row r="30" spans="2:42" ht="30" customHeight="1" x14ac:dyDescent="0.25">
      <c r="B30" s="254" t="s">
        <v>148</v>
      </c>
      <c r="C30" s="296">
        <v>7</v>
      </c>
      <c r="D30" s="290" t="str">
        <f>WEEKLY!B33</f>
        <v>SOSIS NASGOR</v>
      </c>
      <c r="E30" s="246">
        <v>-12650</v>
      </c>
      <c r="F30" s="256">
        <v>-11</v>
      </c>
      <c r="G30" s="247">
        <v>12650</v>
      </c>
      <c r="H30" s="256">
        <v>11</v>
      </c>
      <c r="I30" s="247"/>
      <c r="J30" s="256"/>
      <c r="K30" s="247">
        <v>30000</v>
      </c>
      <c r="L30" s="256">
        <v>35</v>
      </c>
      <c r="M30" s="247"/>
      <c r="N30" s="256"/>
      <c r="O30" s="247"/>
      <c r="P30" s="256"/>
      <c r="Q30" s="247"/>
      <c r="R30" s="256"/>
      <c r="S30" s="247"/>
      <c r="T30" s="260"/>
      <c r="U30" s="257"/>
      <c r="V30" s="260"/>
      <c r="W30" s="257"/>
      <c r="X30" s="260"/>
      <c r="Y30" s="257"/>
      <c r="Z30" s="260"/>
      <c r="AA30" s="257"/>
      <c r="AB30" s="260"/>
      <c r="AC30" s="257"/>
      <c r="AD30" s="260"/>
      <c r="AE30" s="257"/>
      <c r="AF30" s="260"/>
      <c r="AG30" s="257"/>
      <c r="AH30" s="260"/>
      <c r="AI30" s="257">
        <f t="shared" si="0"/>
        <v>30000</v>
      </c>
      <c r="AJ30" s="260">
        <f t="shared" si="0"/>
        <v>35</v>
      </c>
      <c r="AK30" s="247">
        <f>WEEKLY!F33</f>
        <v>10350</v>
      </c>
      <c r="AL30" s="256">
        <f>WEEKLY!D33</f>
        <v>9</v>
      </c>
      <c r="AM30" s="257">
        <f t="shared" si="1"/>
        <v>32300</v>
      </c>
      <c r="AN30" s="261">
        <f t="shared" si="1"/>
        <v>37</v>
      </c>
      <c r="AO30" s="280">
        <f t="shared" si="3"/>
        <v>44950</v>
      </c>
    </row>
    <row r="31" spans="2:42" ht="30" customHeight="1" x14ac:dyDescent="0.25">
      <c r="B31" s="254" t="s">
        <v>149</v>
      </c>
      <c r="C31" s="296">
        <v>8</v>
      </c>
      <c r="D31" s="290" t="str">
        <f>WEEKLY!B34</f>
        <v xml:space="preserve">NUGGET COIN </v>
      </c>
      <c r="E31" s="246">
        <v>30400</v>
      </c>
      <c r="F31" s="247">
        <v>4</v>
      </c>
      <c r="G31" s="247">
        <v>28800</v>
      </c>
      <c r="H31" s="247">
        <v>48</v>
      </c>
      <c r="I31" s="247"/>
      <c r="J31" s="247"/>
      <c r="K31" s="247"/>
      <c r="L31" s="247"/>
      <c r="M31" s="247"/>
      <c r="N31" s="247"/>
      <c r="O31" s="247"/>
      <c r="P31" s="247"/>
      <c r="Q31" s="247"/>
      <c r="R31" s="247"/>
      <c r="S31" s="247"/>
      <c r="T31" s="257"/>
      <c r="U31" s="257"/>
      <c r="V31" s="257"/>
      <c r="W31" s="257"/>
      <c r="X31" s="257"/>
      <c r="Y31" s="257"/>
      <c r="Z31" s="257"/>
      <c r="AA31" s="257"/>
      <c r="AB31" s="257"/>
      <c r="AC31" s="257"/>
      <c r="AD31" s="257"/>
      <c r="AE31" s="257"/>
      <c r="AF31" s="257"/>
      <c r="AG31" s="257"/>
      <c r="AH31" s="257"/>
      <c r="AI31" s="257">
        <f t="shared" si="0"/>
        <v>0</v>
      </c>
      <c r="AJ31" s="257">
        <f t="shared" si="0"/>
        <v>0</v>
      </c>
      <c r="AK31" s="247">
        <f>WEEKLY!F34</f>
        <v>28800</v>
      </c>
      <c r="AL31" s="256">
        <f>WEEKLY!D34</f>
        <v>48</v>
      </c>
      <c r="AM31" s="257">
        <f t="shared" si="1"/>
        <v>0</v>
      </c>
      <c r="AN31" s="261">
        <f t="shared" si="1"/>
        <v>0</v>
      </c>
      <c r="AO31" s="280">
        <f t="shared" si="3"/>
        <v>-30400</v>
      </c>
    </row>
    <row r="32" spans="2:42" ht="30" customHeight="1" x14ac:dyDescent="0.25">
      <c r="B32" s="254" t="s">
        <v>140</v>
      </c>
      <c r="C32" s="296">
        <v>9</v>
      </c>
      <c r="D32" s="290" t="str">
        <f>WEEKLY!B35</f>
        <v>BAKSO</v>
      </c>
      <c r="E32" s="246">
        <v>8320</v>
      </c>
      <c r="F32" s="247">
        <v>13</v>
      </c>
      <c r="G32" s="247">
        <v>2560</v>
      </c>
      <c r="H32" s="247">
        <v>4</v>
      </c>
      <c r="I32" s="247"/>
      <c r="J32" s="247"/>
      <c r="K32" s="247"/>
      <c r="L32" s="247"/>
      <c r="M32" s="247"/>
      <c r="N32" s="247"/>
      <c r="O32" s="247"/>
      <c r="P32" s="247"/>
      <c r="Q32" s="247"/>
      <c r="R32" s="247"/>
      <c r="S32" s="247"/>
      <c r="T32" s="257"/>
      <c r="U32" s="257"/>
      <c r="V32" s="257"/>
      <c r="W32" s="257"/>
      <c r="X32" s="257"/>
      <c r="Y32" s="257"/>
      <c r="Z32" s="257"/>
      <c r="AA32" s="257"/>
      <c r="AB32" s="257"/>
      <c r="AC32" s="257"/>
      <c r="AD32" s="257"/>
      <c r="AE32" s="257"/>
      <c r="AF32" s="257"/>
      <c r="AG32" s="257"/>
      <c r="AH32" s="257"/>
      <c r="AI32" s="257">
        <f t="shared" si="0"/>
        <v>0</v>
      </c>
      <c r="AJ32" s="257">
        <f t="shared" si="0"/>
        <v>0</v>
      </c>
      <c r="AK32" s="247">
        <f>WEEKLY!F35</f>
        <v>2560</v>
      </c>
      <c r="AL32" s="256">
        <f>WEEKLY!D35</f>
        <v>4</v>
      </c>
      <c r="AM32" s="257">
        <f t="shared" si="1"/>
        <v>0</v>
      </c>
      <c r="AN32" s="261">
        <f t="shared" si="1"/>
        <v>0</v>
      </c>
      <c r="AO32" s="280">
        <f t="shared" si="3"/>
        <v>-8320</v>
      </c>
    </row>
    <row r="33" spans="2:44" ht="30" customHeight="1" x14ac:dyDescent="0.25">
      <c r="B33" s="254" t="s">
        <v>144</v>
      </c>
      <c r="C33" s="296">
        <v>10</v>
      </c>
      <c r="D33" s="290">
        <f>WEEKLY!B36</f>
        <v>0</v>
      </c>
      <c r="E33" s="246">
        <v>0</v>
      </c>
      <c r="F33" s="247">
        <v>0</v>
      </c>
      <c r="G33" s="247">
        <v>0</v>
      </c>
      <c r="H33" s="247">
        <v>0</v>
      </c>
      <c r="I33" s="247"/>
      <c r="J33" s="247"/>
      <c r="K33" s="247"/>
      <c r="L33" s="247"/>
      <c r="M33" s="247"/>
      <c r="N33" s="247"/>
      <c r="O33" s="247"/>
      <c r="P33" s="247"/>
      <c r="Q33" s="247"/>
      <c r="R33" s="247"/>
      <c r="S33" s="247"/>
      <c r="T33" s="257"/>
      <c r="U33" s="257"/>
      <c r="V33" s="257"/>
      <c r="W33" s="257"/>
      <c r="X33" s="257"/>
      <c r="Y33" s="257"/>
      <c r="Z33" s="257"/>
      <c r="AA33" s="257"/>
      <c r="AB33" s="257"/>
      <c r="AC33" s="257"/>
      <c r="AD33" s="257"/>
      <c r="AE33" s="257"/>
      <c r="AF33" s="257"/>
      <c r="AG33" s="257"/>
      <c r="AH33" s="257"/>
      <c r="AI33" s="257">
        <f t="shared" si="0"/>
        <v>0</v>
      </c>
      <c r="AJ33" s="257">
        <f t="shared" si="0"/>
        <v>0</v>
      </c>
      <c r="AK33" s="247">
        <f>WEEKLY!F36</f>
        <v>0</v>
      </c>
      <c r="AL33" s="256">
        <f>WEEKLY!D36</f>
        <v>0</v>
      </c>
      <c r="AM33" s="257">
        <f t="shared" si="1"/>
        <v>0</v>
      </c>
      <c r="AN33" s="264">
        <f t="shared" si="1"/>
        <v>0</v>
      </c>
      <c r="AO33" s="280">
        <f t="shared" si="3"/>
        <v>0</v>
      </c>
    </row>
    <row r="34" spans="2:44" ht="30" customHeight="1" x14ac:dyDescent="0.25">
      <c r="B34" s="254"/>
      <c r="C34" s="296">
        <v>11</v>
      </c>
      <c r="D34" s="290">
        <f>WEEKLY!B37</f>
        <v>0</v>
      </c>
      <c r="E34" s="246">
        <v>0</v>
      </c>
      <c r="F34" s="247">
        <v>0</v>
      </c>
      <c r="G34" s="247">
        <v>0</v>
      </c>
      <c r="H34" s="247">
        <v>0</v>
      </c>
      <c r="I34" s="247"/>
      <c r="J34" s="247"/>
      <c r="K34" s="247"/>
      <c r="L34" s="247"/>
      <c r="M34" s="247"/>
      <c r="N34" s="247"/>
      <c r="O34" s="247"/>
      <c r="P34" s="247"/>
      <c r="Q34" s="247"/>
      <c r="R34" s="247"/>
      <c r="S34" s="247"/>
      <c r="T34" s="257"/>
      <c r="U34" s="257"/>
      <c r="V34" s="257"/>
      <c r="W34" s="257"/>
      <c r="X34" s="257"/>
      <c r="Y34" s="257"/>
      <c r="Z34" s="257"/>
      <c r="AA34" s="257"/>
      <c r="AB34" s="257"/>
      <c r="AC34" s="257"/>
      <c r="AD34" s="257"/>
      <c r="AE34" s="257"/>
      <c r="AF34" s="257"/>
      <c r="AG34" s="257"/>
      <c r="AH34" s="257"/>
      <c r="AI34" s="257">
        <f t="shared" si="0"/>
        <v>0</v>
      </c>
      <c r="AJ34" s="257">
        <f t="shared" si="0"/>
        <v>0</v>
      </c>
      <c r="AK34" s="247">
        <f>WEEKLY!F37</f>
        <v>0</v>
      </c>
      <c r="AL34" s="256">
        <f>WEEKLY!D37</f>
        <v>0</v>
      </c>
      <c r="AM34" s="257">
        <f t="shared" si="1"/>
        <v>0</v>
      </c>
      <c r="AN34" s="264">
        <f t="shared" si="1"/>
        <v>0</v>
      </c>
      <c r="AO34" s="280">
        <f t="shared" si="3"/>
        <v>0</v>
      </c>
    </row>
    <row r="35" spans="2:44" ht="30" customHeight="1" x14ac:dyDescent="0.25">
      <c r="B35" s="254"/>
      <c r="C35" s="296">
        <v>12</v>
      </c>
      <c r="D35" s="290">
        <f>WEEKLY!B38</f>
        <v>0</v>
      </c>
      <c r="E35" s="246">
        <v>0</v>
      </c>
      <c r="F35" s="247">
        <v>0</v>
      </c>
      <c r="G35" s="247">
        <v>0</v>
      </c>
      <c r="H35" s="247">
        <v>0</v>
      </c>
      <c r="I35" s="247"/>
      <c r="J35" s="247"/>
      <c r="K35" s="247"/>
      <c r="L35" s="247"/>
      <c r="M35" s="247"/>
      <c r="N35" s="247"/>
      <c r="O35" s="247"/>
      <c r="P35" s="247"/>
      <c r="Q35" s="247"/>
      <c r="R35" s="247"/>
      <c r="S35" s="247"/>
      <c r="T35" s="257"/>
      <c r="U35" s="257"/>
      <c r="V35" s="257"/>
      <c r="W35" s="257"/>
      <c r="X35" s="257"/>
      <c r="Y35" s="257"/>
      <c r="Z35" s="257"/>
      <c r="AA35" s="257"/>
      <c r="AB35" s="257"/>
      <c r="AC35" s="257"/>
      <c r="AD35" s="257"/>
      <c r="AE35" s="257"/>
      <c r="AF35" s="257"/>
      <c r="AG35" s="257"/>
      <c r="AH35" s="257"/>
      <c r="AI35" s="257">
        <f t="shared" si="0"/>
        <v>0</v>
      </c>
      <c r="AJ35" s="257">
        <f t="shared" si="0"/>
        <v>0</v>
      </c>
      <c r="AK35" s="247">
        <f>WEEKLY!F38</f>
        <v>0</v>
      </c>
      <c r="AL35" s="256">
        <f>WEEKLY!D38</f>
        <v>0</v>
      </c>
      <c r="AM35" s="257">
        <f t="shared" si="1"/>
        <v>0</v>
      </c>
      <c r="AN35" s="264">
        <f t="shared" si="1"/>
        <v>0</v>
      </c>
      <c r="AO35" s="280">
        <f t="shared" si="3"/>
        <v>0</v>
      </c>
    </row>
    <row r="36" spans="2:44" ht="30" customHeight="1" x14ac:dyDescent="0.25">
      <c r="B36" s="254"/>
      <c r="C36" s="296">
        <v>13</v>
      </c>
      <c r="D36" s="231" t="s">
        <v>150</v>
      </c>
      <c r="E36" s="265">
        <v>43182.93333333332</v>
      </c>
      <c r="F36" s="257">
        <v>0</v>
      </c>
      <c r="G36" s="257">
        <v>109802.13333333333</v>
      </c>
      <c r="H36" s="257"/>
      <c r="I36" s="257">
        <v>23000</v>
      </c>
      <c r="J36" s="257"/>
      <c r="K36" s="257">
        <v>35000</v>
      </c>
      <c r="L36" s="257"/>
      <c r="M36" s="257">
        <v>15000</v>
      </c>
      <c r="N36" s="257"/>
      <c r="O36" s="257"/>
      <c r="P36" s="257"/>
      <c r="Q36" s="257"/>
      <c r="R36" s="257"/>
      <c r="S36" s="257"/>
      <c r="T36" s="257"/>
      <c r="U36" s="257">
        <v>26900</v>
      </c>
      <c r="V36" s="257"/>
      <c r="W36" s="257"/>
      <c r="X36" s="257"/>
      <c r="Y36" s="257"/>
      <c r="Z36" s="257"/>
      <c r="AA36" s="257"/>
      <c r="AB36" s="257"/>
      <c r="AC36" s="257">
        <f>-('TO-TI'!S10+'TO-TI'!S11+'TO-TI'!S12+'TO-TI'!S14)</f>
        <v>-3950</v>
      </c>
      <c r="AD36" s="257"/>
      <c r="AE36" s="257"/>
      <c r="AF36" s="257"/>
      <c r="AG36" s="257"/>
      <c r="AH36" s="257"/>
      <c r="AI36" s="257">
        <f t="shared" si="0"/>
        <v>95950</v>
      </c>
      <c r="AJ36" s="257">
        <f t="shared" si="0"/>
        <v>0</v>
      </c>
      <c r="AK36" s="257">
        <f>WEEKLY!I54</f>
        <v>70828.533333333326</v>
      </c>
      <c r="AL36" s="247"/>
      <c r="AM36" s="257">
        <f t="shared" si="1"/>
        <v>134923.6</v>
      </c>
      <c r="AN36" s="299">
        <f t="shared" si="1"/>
        <v>0</v>
      </c>
      <c r="AO36" s="280">
        <f t="shared" si="3"/>
        <v>91740.666666666686</v>
      </c>
    </row>
    <row r="37" spans="2:44" ht="30" customHeight="1" thickBot="1" x14ac:dyDescent="0.3">
      <c r="B37" s="300"/>
      <c r="C37" s="296">
        <v>14</v>
      </c>
      <c r="D37" s="876"/>
      <c r="E37" s="291">
        <v>0</v>
      </c>
      <c r="F37" s="293">
        <v>0</v>
      </c>
      <c r="G37" s="293"/>
      <c r="H37" s="293"/>
      <c r="I37" s="293"/>
      <c r="J37" s="293"/>
      <c r="K37" s="293"/>
      <c r="L37" s="293"/>
      <c r="M37" s="293"/>
      <c r="N37" s="293"/>
      <c r="O37" s="293"/>
      <c r="P37" s="293"/>
      <c r="Q37" s="293"/>
      <c r="R37" s="293"/>
      <c r="S37" s="293"/>
      <c r="T37" s="293"/>
      <c r="U37" s="293"/>
      <c r="V37" s="293"/>
      <c r="W37" s="293"/>
      <c r="X37" s="293"/>
      <c r="Y37" s="293"/>
      <c r="Z37" s="293"/>
      <c r="AA37" s="293"/>
      <c r="AB37" s="293"/>
      <c r="AC37" s="293"/>
      <c r="AD37" s="293"/>
      <c r="AE37" s="293"/>
      <c r="AF37" s="293"/>
      <c r="AG37" s="293"/>
      <c r="AH37" s="293"/>
      <c r="AI37" s="293">
        <f t="shared" si="0"/>
        <v>0</v>
      </c>
      <c r="AJ37" s="293">
        <f t="shared" si="0"/>
        <v>0</v>
      </c>
      <c r="AK37" s="277"/>
      <c r="AL37" s="293"/>
      <c r="AM37" s="293">
        <f t="shared" si="1"/>
        <v>0</v>
      </c>
      <c r="AN37" s="299">
        <f t="shared" si="1"/>
        <v>0</v>
      </c>
      <c r="AO37" s="215" t="s">
        <v>101</v>
      </c>
      <c r="AP37" s="280">
        <f>SUM(AM24:AM37)</f>
        <v>1607711.5922557965</v>
      </c>
    </row>
    <row r="38" spans="2:44" ht="30" customHeight="1" x14ac:dyDescent="0.25">
      <c r="B38" s="243" t="s">
        <v>151</v>
      </c>
      <c r="C38" s="304">
        <v>1</v>
      </c>
      <c r="D38" s="305" t="str">
        <f>WEEKLY!B57</f>
        <v>GULA PASIR</v>
      </c>
      <c r="E38" s="284">
        <v>748000</v>
      </c>
      <c r="F38" s="285">
        <v>0</v>
      </c>
      <c r="G38" s="286">
        <v>0</v>
      </c>
      <c r="H38" s="285">
        <v>0</v>
      </c>
      <c r="I38" s="286">
        <v>100000</v>
      </c>
      <c r="J38" s="285"/>
      <c r="K38" s="286">
        <v>100000</v>
      </c>
      <c r="L38" s="285"/>
      <c r="M38" s="286"/>
      <c r="N38" s="285"/>
      <c r="O38" s="286">
        <v>350000</v>
      </c>
      <c r="P38" s="285"/>
      <c r="Q38" s="286"/>
      <c r="R38" s="285"/>
      <c r="S38" s="286"/>
      <c r="T38" s="285"/>
      <c r="U38" s="286">
        <v>262500</v>
      </c>
      <c r="V38" s="285"/>
      <c r="W38" s="286"/>
      <c r="X38" s="285"/>
      <c r="Y38" s="286"/>
      <c r="Z38" s="285"/>
      <c r="AA38" s="286"/>
      <c r="AB38" s="285"/>
      <c r="AC38" s="286"/>
      <c r="AD38" s="286"/>
      <c r="AE38" s="286"/>
      <c r="AF38" s="286"/>
      <c r="AG38" s="286"/>
      <c r="AH38" s="286"/>
      <c r="AI38" s="286">
        <f t="shared" si="0"/>
        <v>812500</v>
      </c>
      <c r="AJ38" s="285">
        <f t="shared" si="0"/>
        <v>0</v>
      </c>
      <c r="AK38" s="286">
        <f>WEEKLY!F57</f>
        <v>0</v>
      </c>
      <c r="AL38" s="285">
        <f>WEEKLY!D57</f>
        <v>0</v>
      </c>
      <c r="AM38" s="286">
        <f t="shared" si="1"/>
        <v>812500</v>
      </c>
      <c r="AN38" s="336">
        <f t="shared" si="1"/>
        <v>0</v>
      </c>
      <c r="AO38" s="280">
        <f>AM38-E38</f>
        <v>64500</v>
      </c>
    </row>
    <row r="39" spans="2:44" ht="30" customHeight="1" x14ac:dyDescent="0.25">
      <c r="B39" s="306" t="s">
        <v>152</v>
      </c>
      <c r="C39" s="295">
        <v>2</v>
      </c>
      <c r="D39" s="231">
        <f>WEEKLY!B58</f>
        <v>0</v>
      </c>
      <c r="E39" s="265">
        <v>0</v>
      </c>
      <c r="F39" s="257">
        <v>0</v>
      </c>
      <c r="G39" s="257">
        <v>0</v>
      </c>
      <c r="H39" s="257">
        <v>0</v>
      </c>
      <c r="I39" s="257"/>
      <c r="J39" s="257"/>
      <c r="K39" s="257"/>
      <c r="L39" s="257"/>
      <c r="M39" s="257"/>
      <c r="N39" s="257"/>
      <c r="O39" s="257"/>
      <c r="P39" s="257"/>
      <c r="Q39" s="257"/>
      <c r="R39" s="257"/>
      <c r="S39" s="257"/>
      <c r="T39" s="257"/>
      <c r="U39" s="257"/>
      <c r="V39" s="257"/>
      <c r="W39" s="257"/>
      <c r="X39" s="257"/>
      <c r="Y39" s="257"/>
      <c r="Z39" s="257"/>
      <c r="AA39" s="257"/>
      <c r="AB39" s="257"/>
      <c r="AC39" s="257"/>
      <c r="AD39" s="257"/>
      <c r="AE39" s="257"/>
      <c r="AF39" s="257"/>
      <c r="AG39" s="257"/>
      <c r="AH39" s="257"/>
      <c r="AI39" s="257">
        <f t="shared" si="0"/>
        <v>0</v>
      </c>
      <c r="AJ39" s="257">
        <f t="shared" si="0"/>
        <v>0</v>
      </c>
      <c r="AK39" s="257">
        <f>WEEKLY!F58</f>
        <v>0</v>
      </c>
      <c r="AL39" s="260">
        <f>WEEKLY!D58</f>
        <v>0</v>
      </c>
      <c r="AM39" s="257">
        <f t="shared" si="1"/>
        <v>0</v>
      </c>
      <c r="AN39" s="264">
        <f t="shared" si="1"/>
        <v>0</v>
      </c>
    </row>
    <row r="40" spans="2:44" ht="30" customHeight="1" x14ac:dyDescent="0.25">
      <c r="B40" s="306" t="s">
        <v>147</v>
      </c>
      <c r="C40" s="288">
        <v>3</v>
      </c>
      <c r="D40" s="231" t="str">
        <f>WEEKLY!B59</f>
        <v>ICE CREAM EMBER</v>
      </c>
      <c r="E40" s="265">
        <v>0</v>
      </c>
      <c r="F40" s="257">
        <v>0</v>
      </c>
      <c r="G40" s="257">
        <v>0</v>
      </c>
      <c r="H40" s="257">
        <v>0</v>
      </c>
      <c r="I40" s="257"/>
      <c r="J40" s="257"/>
      <c r="K40" s="257"/>
      <c r="L40" s="257"/>
      <c r="M40" s="257"/>
      <c r="N40" s="257"/>
      <c r="O40" s="257"/>
      <c r="P40" s="257"/>
      <c r="Q40" s="257"/>
      <c r="R40" s="257"/>
      <c r="S40" s="257"/>
      <c r="T40" s="257"/>
      <c r="U40" s="257"/>
      <c r="V40" s="257"/>
      <c r="W40" s="257"/>
      <c r="X40" s="257"/>
      <c r="Y40" s="257"/>
      <c r="Z40" s="257"/>
      <c r="AA40" s="257"/>
      <c r="AB40" s="257"/>
      <c r="AC40" s="257"/>
      <c r="AD40" s="257"/>
      <c r="AE40" s="257"/>
      <c r="AF40" s="257"/>
      <c r="AG40" s="257"/>
      <c r="AH40" s="257"/>
      <c r="AI40" s="257">
        <f t="shared" si="0"/>
        <v>0</v>
      </c>
      <c r="AJ40" s="257">
        <f t="shared" si="0"/>
        <v>0</v>
      </c>
      <c r="AK40" s="257">
        <f>WEEKLY!F59</f>
        <v>13750</v>
      </c>
      <c r="AL40" s="260">
        <f>WEEKLY!D59</f>
        <v>0.5</v>
      </c>
      <c r="AM40" s="257">
        <f t="shared" si="1"/>
        <v>-13750</v>
      </c>
      <c r="AN40" s="264">
        <f t="shared" si="1"/>
        <v>-0.5</v>
      </c>
    </row>
    <row r="41" spans="2:44" ht="30" customHeight="1" thickBot="1" x14ac:dyDescent="0.3">
      <c r="B41" s="308" t="s">
        <v>102</v>
      </c>
      <c r="C41" s="354">
        <v>4</v>
      </c>
      <c r="D41" s="236" t="s">
        <v>153</v>
      </c>
      <c r="E41" s="340">
        <v>568868.42105263157</v>
      </c>
      <c r="F41" s="278">
        <v>0</v>
      </c>
      <c r="G41" s="278">
        <v>102631.57894736843</v>
      </c>
      <c r="H41" s="278"/>
      <c r="I41" s="278">
        <v>70000</v>
      </c>
      <c r="J41" s="278"/>
      <c r="K41" s="278"/>
      <c r="L41" s="278"/>
      <c r="M41" s="278">
        <v>70000</v>
      </c>
      <c r="N41" s="278"/>
      <c r="O41" s="278"/>
      <c r="P41" s="278"/>
      <c r="Q41" s="278">
        <v>70000</v>
      </c>
      <c r="R41" s="278"/>
      <c r="S41" s="278">
        <v>45000</v>
      </c>
      <c r="T41" s="278"/>
      <c r="U41" s="278">
        <v>24000</v>
      </c>
      <c r="V41" s="278"/>
      <c r="W41" s="278"/>
      <c r="X41" s="278"/>
      <c r="Y41" s="278"/>
      <c r="Z41" s="278"/>
      <c r="AA41" s="278"/>
      <c r="AB41" s="278"/>
      <c r="AC41" s="278"/>
      <c r="AD41" s="278"/>
      <c r="AE41" s="278"/>
      <c r="AF41" s="278"/>
      <c r="AG41" s="278"/>
      <c r="AH41" s="278"/>
      <c r="AI41" s="278">
        <f t="shared" si="0"/>
        <v>279000</v>
      </c>
      <c r="AJ41" s="278">
        <f t="shared" si="0"/>
        <v>0</v>
      </c>
      <c r="AK41" s="278">
        <f>WEEKLY!I69</f>
        <v>534133.33333333337</v>
      </c>
      <c r="AL41" s="278"/>
      <c r="AM41" s="278">
        <f t="shared" si="1"/>
        <v>-152501.75438596494</v>
      </c>
      <c r="AN41" s="279">
        <f t="shared" si="1"/>
        <v>0</v>
      </c>
      <c r="AO41" s="215" t="s">
        <v>154</v>
      </c>
      <c r="AP41" s="280">
        <f>SUM(AM38:AM41)</f>
        <v>646248.24561403506</v>
      </c>
    </row>
    <row r="42" spans="2:44" ht="30" customHeight="1" thickBot="1" x14ac:dyDescent="0.3">
      <c r="B42" s="310"/>
      <c r="C42" s="311"/>
      <c r="D42" s="301"/>
      <c r="E42" s="302"/>
      <c r="F42" s="303"/>
      <c r="G42" s="303"/>
      <c r="H42" s="303"/>
      <c r="I42" s="303"/>
      <c r="J42" s="303"/>
      <c r="K42" s="303"/>
      <c r="L42" s="303"/>
      <c r="M42" s="303"/>
      <c r="N42" s="303"/>
      <c r="O42" s="303"/>
      <c r="P42" s="303"/>
      <c r="Q42" s="303"/>
      <c r="R42" s="303"/>
      <c r="S42" s="303"/>
      <c r="T42" s="303"/>
      <c r="U42" s="303"/>
      <c r="V42" s="303"/>
      <c r="W42" s="303"/>
      <c r="X42" s="303"/>
      <c r="Y42" s="303"/>
      <c r="Z42" s="303"/>
      <c r="AA42" s="303"/>
      <c r="AB42" s="303"/>
      <c r="AC42" s="303"/>
      <c r="AD42" s="303"/>
      <c r="AE42" s="303"/>
      <c r="AF42" s="303"/>
      <c r="AG42" s="303"/>
      <c r="AH42" s="303"/>
      <c r="AI42" s="303"/>
      <c r="AJ42" s="293"/>
      <c r="AK42" s="303"/>
      <c r="AL42" s="303"/>
      <c r="AM42" s="293"/>
      <c r="AN42" s="313"/>
    </row>
    <row r="43" spans="2:44" ht="30" customHeight="1" x14ac:dyDescent="0.25">
      <c r="B43" s="288"/>
      <c r="C43" s="314">
        <v>1</v>
      </c>
      <c r="D43" s="315" t="str">
        <f>WEEKLY!B76</f>
        <v>TEH BOTOL SOSRO (TBS)</v>
      </c>
      <c r="E43" s="265">
        <v>75000</v>
      </c>
      <c r="F43" s="257">
        <v>30</v>
      </c>
      <c r="G43" s="257">
        <v>72500</v>
      </c>
      <c r="H43" s="257">
        <v>29</v>
      </c>
      <c r="I43" s="257"/>
      <c r="J43" s="257"/>
      <c r="K43" s="257"/>
      <c r="L43" s="257"/>
      <c r="M43" s="257"/>
      <c r="N43" s="257"/>
      <c r="O43" s="257"/>
      <c r="P43" s="257"/>
      <c r="Q43" s="257"/>
      <c r="R43" s="257"/>
      <c r="S43" s="257"/>
      <c r="T43" s="257"/>
      <c r="U43" s="257"/>
      <c r="V43" s="257"/>
      <c r="W43" s="257"/>
      <c r="X43" s="257"/>
      <c r="Y43" s="257"/>
      <c r="Z43" s="257"/>
      <c r="AA43" s="257"/>
      <c r="AB43" s="257"/>
      <c r="AC43" s="257"/>
      <c r="AD43" s="257"/>
      <c r="AE43" s="257"/>
      <c r="AF43" s="257"/>
      <c r="AG43" s="257"/>
      <c r="AH43" s="257"/>
      <c r="AI43" s="286">
        <f t="shared" ref="AI43:AJ74" si="4">SUM(I43,K43,M43,O43,Q43,S43,U43,W43,Y43,AA43,AC43,AE43,AG43)</f>
        <v>0</v>
      </c>
      <c r="AJ43" s="316">
        <f t="shared" si="4"/>
        <v>0</v>
      </c>
      <c r="AK43" s="247">
        <f>WEEKLY!F76</f>
        <v>37500</v>
      </c>
      <c r="AL43" s="246">
        <f>WEEKLY!D76</f>
        <v>15</v>
      </c>
      <c r="AM43" s="286">
        <f t="shared" ref="AM43:AN73" si="5">G43+AI43-AK43</f>
        <v>35000</v>
      </c>
      <c r="AN43" s="317">
        <f t="shared" si="5"/>
        <v>14</v>
      </c>
      <c r="AO43" s="280">
        <f>AM43-E43</f>
        <v>-40000</v>
      </c>
    </row>
    <row r="44" spans="2:44" ht="30" customHeight="1" x14ac:dyDescent="0.25">
      <c r="B44" s="288"/>
      <c r="C44" s="230">
        <v>2</v>
      </c>
      <c r="D44" s="315" t="str">
        <f>WEEKLY!B77</f>
        <v>TEH SOSRO POUCH (TBO)</v>
      </c>
      <c r="E44" s="265">
        <v>32500</v>
      </c>
      <c r="F44" s="257">
        <v>13</v>
      </c>
      <c r="G44" s="257">
        <v>145000</v>
      </c>
      <c r="H44" s="257">
        <v>58</v>
      </c>
      <c r="I44" s="257"/>
      <c r="J44" s="257"/>
      <c r="K44" s="257"/>
      <c r="L44" s="257"/>
      <c r="M44" s="257"/>
      <c r="N44" s="257"/>
      <c r="O44" s="257"/>
      <c r="P44" s="257"/>
      <c r="Q44" s="257"/>
      <c r="R44" s="257"/>
      <c r="S44" s="257"/>
      <c r="T44" s="257"/>
      <c r="U44" s="257"/>
      <c r="V44" s="257"/>
      <c r="W44" s="257"/>
      <c r="X44" s="257"/>
      <c r="Y44" s="257"/>
      <c r="Z44" s="257"/>
      <c r="AA44" s="257"/>
      <c r="AB44" s="257"/>
      <c r="AC44" s="257"/>
      <c r="AD44" s="257"/>
      <c r="AE44" s="257"/>
      <c r="AF44" s="257"/>
      <c r="AG44" s="257"/>
      <c r="AH44" s="257"/>
      <c r="AI44" s="257">
        <f t="shared" si="4"/>
        <v>0</v>
      </c>
      <c r="AJ44" s="297">
        <f t="shared" si="4"/>
        <v>0</v>
      </c>
      <c r="AK44" s="247">
        <f>WEEKLY!F77</f>
        <v>137500</v>
      </c>
      <c r="AL44" s="246">
        <f>WEEKLY!D77</f>
        <v>55</v>
      </c>
      <c r="AM44" s="257">
        <f t="shared" si="5"/>
        <v>7500</v>
      </c>
      <c r="AN44" s="264">
        <f t="shared" si="5"/>
        <v>3</v>
      </c>
      <c r="AO44" s="280">
        <f t="shared" ref="AO44:AO64" si="6">AM44-E44</f>
        <v>-25000</v>
      </c>
    </row>
    <row r="45" spans="2:44" ht="30" customHeight="1" x14ac:dyDescent="0.25">
      <c r="B45" s="288"/>
      <c r="C45" s="230">
        <v>3</v>
      </c>
      <c r="D45" s="315">
        <f>WEEKLY!B78</f>
        <v>0</v>
      </c>
      <c r="E45" s="265">
        <v>0</v>
      </c>
      <c r="F45" s="257">
        <v>0</v>
      </c>
      <c r="G45" s="257">
        <v>0</v>
      </c>
      <c r="H45" s="257">
        <v>0</v>
      </c>
      <c r="I45" s="257"/>
      <c r="J45" s="257"/>
      <c r="K45" s="257"/>
      <c r="L45" s="257"/>
      <c r="M45" s="257"/>
      <c r="N45" s="257"/>
      <c r="O45" s="257"/>
      <c r="P45" s="257"/>
      <c r="Q45" s="257"/>
      <c r="R45" s="257"/>
      <c r="S45" s="257"/>
      <c r="T45" s="257"/>
      <c r="U45" s="257"/>
      <c r="V45" s="257"/>
      <c r="W45" s="257"/>
      <c r="X45" s="257"/>
      <c r="Y45" s="257"/>
      <c r="Z45" s="257"/>
      <c r="AA45" s="257"/>
      <c r="AB45" s="257"/>
      <c r="AC45" s="257"/>
      <c r="AD45" s="257"/>
      <c r="AE45" s="257"/>
      <c r="AF45" s="257"/>
      <c r="AG45" s="257"/>
      <c r="AH45" s="257"/>
      <c r="AI45" s="257">
        <f t="shared" si="4"/>
        <v>0</v>
      </c>
      <c r="AJ45" s="297">
        <f t="shared" si="4"/>
        <v>0</v>
      </c>
      <c r="AK45" s="247">
        <f>WEEKLY!F78</f>
        <v>0</v>
      </c>
      <c r="AL45" s="246">
        <f>WEEKLY!D78</f>
        <v>0</v>
      </c>
      <c r="AM45" s="257">
        <f t="shared" si="5"/>
        <v>0</v>
      </c>
      <c r="AN45" s="264">
        <f t="shared" si="5"/>
        <v>0</v>
      </c>
      <c r="AO45" s="280">
        <f t="shared" si="6"/>
        <v>0</v>
      </c>
    </row>
    <row r="46" spans="2:44" ht="30" customHeight="1" x14ac:dyDescent="0.25">
      <c r="B46" s="288"/>
      <c r="C46" s="230">
        <v>4</v>
      </c>
      <c r="D46" s="315" t="str">
        <f>WEEKLY!B79</f>
        <v>S-TEE</v>
      </c>
      <c r="E46" s="265">
        <v>0</v>
      </c>
      <c r="F46" s="257">
        <v>0</v>
      </c>
      <c r="G46" s="257">
        <v>0</v>
      </c>
      <c r="H46" s="257">
        <v>0</v>
      </c>
      <c r="I46" s="257"/>
      <c r="J46" s="257"/>
      <c r="K46" s="257"/>
      <c r="L46" s="257"/>
      <c r="M46" s="257"/>
      <c r="N46" s="257"/>
      <c r="O46" s="257"/>
      <c r="P46" s="257"/>
      <c r="Q46" s="257"/>
      <c r="R46" s="257"/>
      <c r="S46" s="257"/>
      <c r="T46" s="257"/>
      <c r="U46" s="257"/>
      <c r="V46" s="257"/>
      <c r="W46" s="257"/>
      <c r="X46" s="257"/>
      <c r="Y46" s="257"/>
      <c r="Z46" s="257"/>
      <c r="AA46" s="257"/>
      <c r="AB46" s="257"/>
      <c r="AC46" s="257"/>
      <c r="AD46" s="257"/>
      <c r="AE46" s="257"/>
      <c r="AF46" s="257"/>
      <c r="AG46" s="257"/>
      <c r="AH46" s="257"/>
      <c r="AI46" s="257">
        <f t="shared" si="4"/>
        <v>0</v>
      </c>
      <c r="AJ46" s="297">
        <f t="shared" si="4"/>
        <v>0</v>
      </c>
      <c r="AK46" s="247">
        <f>WEEKLY!F79</f>
        <v>0</v>
      </c>
      <c r="AL46" s="246">
        <f>WEEKLY!D79</f>
        <v>0</v>
      </c>
      <c r="AM46" s="257">
        <f t="shared" si="5"/>
        <v>0</v>
      </c>
      <c r="AN46" s="264">
        <f t="shared" si="5"/>
        <v>0</v>
      </c>
      <c r="AO46" s="280">
        <f t="shared" si="6"/>
        <v>0</v>
      </c>
    </row>
    <row r="47" spans="2:44" ht="30" customHeight="1" x14ac:dyDescent="0.25">
      <c r="B47" s="281"/>
      <c r="C47" s="230">
        <v>5</v>
      </c>
      <c r="D47" s="315">
        <f>WEEKLY!B80</f>
        <v>0</v>
      </c>
      <c r="E47" s="265">
        <v>0</v>
      </c>
      <c r="F47" s="257">
        <v>0</v>
      </c>
      <c r="G47" s="257">
        <v>0</v>
      </c>
      <c r="H47" s="257">
        <v>0</v>
      </c>
      <c r="I47" s="257"/>
      <c r="J47" s="257"/>
      <c r="K47" s="257"/>
      <c r="L47" s="257"/>
      <c r="M47" s="257"/>
      <c r="N47" s="257"/>
      <c r="O47" s="257"/>
      <c r="P47" s="257"/>
      <c r="Q47" s="257"/>
      <c r="R47" s="257"/>
      <c r="S47" s="257"/>
      <c r="T47" s="257"/>
      <c r="U47" s="257"/>
      <c r="V47" s="257"/>
      <c r="W47" s="257"/>
      <c r="X47" s="257"/>
      <c r="Y47" s="257"/>
      <c r="Z47" s="257"/>
      <c r="AA47" s="257"/>
      <c r="AB47" s="257"/>
      <c r="AC47" s="257"/>
      <c r="AD47" s="257"/>
      <c r="AE47" s="257"/>
      <c r="AF47" s="257"/>
      <c r="AG47" s="257"/>
      <c r="AH47" s="257"/>
      <c r="AI47" s="257">
        <f t="shared" si="4"/>
        <v>0</v>
      </c>
      <c r="AJ47" s="297">
        <f t="shared" si="4"/>
        <v>0</v>
      </c>
      <c r="AK47" s="247">
        <f>WEEKLY!F80</f>
        <v>0</v>
      </c>
      <c r="AL47" s="246">
        <f>WEEKLY!D80</f>
        <v>0</v>
      </c>
      <c r="AM47" s="257">
        <f t="shared" si="5"/>
        <v>0</v>
      </c>
      <c r="AN47" s="264">
        <f t="shared" si="5"/>
        <v>0</v>
      </c>
      <c r="AO47" s="280">
        <f t="shared" si="6"/>
        <v>0</v>
      </c>
    </row>
    <row r="48" spans="2:44" ht="30" customHeight="1" x14ac:dyDescent="0.25">
      <c r="B48" s="281"/>
      <c r="C48" s="230">
        <v>6</v>
      </c>
      <c r="D48" s="315" t="str">
        <f>WEEKLY!B81</f>
        <v>AIR MINERAL BOTOL (AMB)</v>
      </c>
      <c r="E48" s="265">
        <v>21000</v>
      </c>
      <c r="F48" s="257">
        <v>12</v>
      </c>
      <c r="G48" s="257">
        <v>89250</v>
      </c>
      <c r="H48" s="257">
        <v>51</v>
      </c>
      <c r="I48" s="257"/>
      <c r="J48" s="257"/>
      <c r="K48" s="257"/>
      <c r="L48" s="257"/>
      <c r="M48" s="257"/>
      <c r="N48" s="257"/>
      <c r="O48" s="257"/>
      <c r="P48" s="257"/>
      <c r="Q48" s="257"/>
      <c r="R48" s="257"/>
      <c r="S48" s="257"/>
      <c r="T48" s="257"/>
      <c r="U48" s="257"/>
      <c r="V48" s="257"/>
      <c r="W48" s="257"/>
      <c r="X48" s="257"/>
      <c r="Y48" s="257"/>
      <c r="Z48" s="257"/>
      <c r="AA48" s="257"/>
      <c r="AB48" s="257"/>
      <c r="AC48" s="257"/>
      <c r="AD48" s="257"/>
      <c r="AE48" s="257"/>
      <c r="AF48" s="257"/>
      <c r="AG48" s="257"/>
      <c r="AH48" s="257"/>
      <c r="AI48" s="257">
        <f t="shared" si="4"/>
        <v>0</v>
      </c>
      <c r="AJ48" s="297">
        <f t="shared" si="4"/>
        <v>0</v>
      </c>
      <c r="AK48" s="247">
        <f>WEEKLY!F81</f>
        <v>50750</v>
      </c>
      <c r="AL48" s="246">
        <f>WEEKLY!D81</f>
        <v>29</v>
      </c>
      <c r="AM48" s="257">
        <f t="shared" si="5"/>
        <v>38500</v>
      </c>
      <c r="AN48" s="264">
        <f t="shared" si="5"/>
        <v>22</v>
      </c>
      <c r="AO48" s="280">
        <f t="shared" si="6"/>
        <v>17500</v>
      </c>
      <c r="AR48" s="318"/>
    </row>
    <row r="49" spans="2:44" ht="30" customHeight="1" x14ac:dyDescent="0.25">
      <c r="B49" s="281"/>
      <c r="C49" s="230">
        <v>7</v>
      </c>
      <c r="D49" s="315" t="str">
        <f>WEEKLY!B82</f>
        <v>AIR MINERAL CUP (AMC)</v>
      </c>
      <c r="E49" s="265">
        <v>118800</v>
      </c>
      <c r="F49" s="257">
        <v>30</v>
      </c>
      <c r="G49" s="257">
        <v>0</v>
      </c>
      <c r="H49" s="257">
        <v>0</v>
      </c>
      <c r="I49" s="257"/>
      <c r="J49" s="257"/>
      <c r="K49" s="257"/>
      <c r="L49" s="257"/>
      <c r="M49" s="257"/>
      <c r="N49" s="257"/>
      <c r="O49" s="257"/>
      <c r="P49" s="257"/>
      <c r="Q49" s="257"/>
      <c r="R49" s="257"/>
      <c r="S49" s="257"/>
      <c r="T49" s="257"/>
      <c r="U49" s="257"/>
      <c r="V49" s="257"/>
      <c r="W49" s="257"/>
      <c r="X49" s="257"/>
      <c r="Y49" s="257"/>
      <c r="Z49" s="257"/>
      <c r="AA49" s="257"/>
      <c r="AB49" s="257"/>
      <c r="AC49" s="257"/>
      <c r="AD49" s="257"/>
      <c r="AE49" s="257"/>
      <c r="AF49" s="257"/>
      <c r="AG49" s="257"/>
      <c r="AH49" s="257"/>
      <c r="AI49" s="257">
        <f t="shared" si="4"/>
        <v>0</v>
      </c>
      <c r="AJ49" s="297">
        <f t="shared" si="4"/>
        <v>0</v>
      </c>
      <c r="AK49" s="247">
        <f>WEEKLY!F82</f>
        <v>0</v>
      </c>
      <c r="AL49" s="246">
        <f>WEEKLY!D82</f>
        <v>0</v>
      </c>
      <c r="AM49" s="257">
        <f t="shared" si="5"/>
        <v>0</v>
      </c>
      <c r="AN49" s="264">
        <f t="shared" si="5"/>
        <v>0</v>
      </c>
      <c r="AO49" s="280">
        <f t="shared" si="6"/>
        <v>-118800</v>
      </c>
    </row>
    <row r="50" spans="2:44" ht="30" customHeight="1" x14ac:dyDescent="0.25">
      <c r="B50" s="281"/>
      <c r="C50" s="230">
        <v>8</v>
      </c>
      <c r="D50" s="315" t="str">
        <f>WEEKLY!B83</f>
        <v>MILO</v>
      </c>
      <c r="E50" s="276">
        <v>137093</v>
      </c>
      <c r="F50" s="294">
        <v>1.0300000000000002</v>
      </c>
      <c r="G50" s="277">
        <v>155727</v>
      </c>
      <c r="H50" s="260">
        <v>1.17</v>
      </c>
      <c r="I50" s="277"/>
      <c r="J50" s="277"/>
      <c r="K50" s="277"/>
      <c r="L50" s="277"/>
      <c r="M50" s="277"/>
      <c r="N50" s="277"/>
      <c r="O50" s="277"/>
      <c r="P50" s="277"/>
      <c r="Q50" s="277"/>
      <c r="R50" s="277"/>
      <c r="S50" s="277"/>
      <c r="T50" s="277"/>
      <c r="U50" s="277"/>
      <c r="V50" s="277"/>
      <c r="W50" s="277"/>
      <c r="X50" s="277"/>
      <c r="Y50" s="277"/>
      <c r="Z50" s="277"/>
      <c r="AA50" s="277"/>
      <c r="AB50" s="277"/>
      <c r="AC50" s="277"/>
      <c r="AD50" s="294"/>
      <c r="AE50" s="277"/>
      <c r="AF50" s="277"/>
      <c r="AG50" s="277"/>
      <c r="AH50" s="277"/>
      <c r="AI50" s="257">
        <f t="shared" si="4"/>
        <v>0</v>
      </c>
      <c r="AJ50" s="319">
        <f t="shared" si="4"/>
        <v>0</v>
      </c>
      <c r="AK50" s="247">
        <f>WEEKLY!F83</f>
        <v>57233</v>
      </c>
      <c r="AL50" s="246">
        <f>WEEKLY!D83</f>
        <v>0.43</v>
      </c>
      <c r="AM50" s="257">
        <f t="shared" si="5"/>
        <v>98494</v>
      </c>
      <c r="AN50" s="261">
        <f t="shared" si="5"/>
        <v>0.74</v>
      </c>
      <c r="AO50" s="280">
        <f t="shared" si="6"/>
        <v>-38599</v>
      </c>
    </row>
    <row r="51" spans="2:44" ht="30" customHeight="1" x14ac:dyDescent="0.25">
      <c r="B51" s="288" t="s">
        <v>143</v>
      </c>
      <c r="C51" s="230">
        <v>9</v>
      </c>
      <c r="D51" s="315" t="str">
        <f>WEEKLY!B84</f>
        <v>NESTEA</v>
      </c>
      <c r="E51" s="276">
        <v>25121.25</v>
      </c>
      <c r="F51" s="277">
        <v>0.28999999999999998</v>
      </c>
      <c r="G51" s="277">
        <v>0</v>
      </c>
      <c r="H51" s="294">
        <v>0</v>
      </c>
      <c r="I51" s="277"/>
      <c r="J51" s="277"/>
      <c r="K51" s="277"/>
      <c r="L51" s="277"/>
      <c r="M51" s="277">
        <v>178438</v>
      </c>
      <c r="N51" s="277">
        <v>2</v>
      </c>
      <c r="O51" s="277"/>
      <c r="P51" s="277"/>
      <c r="Q51" s="277"/>
      <c r="R51" s="277"/>
      <c r="S51" s="277"/>
      <c r="T51" s="277"/>
      <c r="U51" s="277"/>
      <c r="V51" s="277"/>
      <c r="W51" s="277"/>
      <c r="X51" s="277"/>
      <c r="Y51" s="277"/>
      <c r="Z51" s="277"/>
      <c r="AA51" s="277"/>
      <c r="AB51" s="277"/>
      <c r="AC51" s="277"/>
      <c r="AD51" s="277"/>
      <c r="AE51" s="277"/>
      <c r="AF51" s="277"/>
      <c r="AG51" s="277"/>
      <c r="AH51" s="277"/>
      <c r="AI51" s="257">
        <f t="shared" si="4"/>
        <v>178438</v>
      </c>
      <c r="AJ51" s="319">
        <f t="shared" si="4"/>
        <v>2</v>
      </c>
      <c r="AK51" s="247">
        <f>WEEKLY!F84</f>
        <v>142065</v>
      </c>
      <c r="AL51" s="246">
        <f>WEEKLY!D84</f>
        <v>1.64</v>
      </c>
      <c r="AM51" s="257">
        <f t="shared" si="5"/>
        <v>36373</v>
      </c>
      <c r="AN51" s="261">
        <f t="shared" si="5"/>
        <v>0.3600000000000001</v>
      </c>
      <c r="AO51" s="280">
        <f t="shared" si="6"/>
        <v>11251.75</v>
      </c>
    </row>
    <row r="52" spans="2:44" ht="30" customHeight="1" x14ac:dyDescent="0.25">
      <c r="B52" s="288" t="s">
        <v>155</v>
      </c>
      <c r="C52" s="230">
        <v>10</v>
      </c>
      <c r="D52" s="315" t="str">
        <f>WEEKLY!B85</f>
        <v>ORANGE</v>
      </c>
      <c r="E52" s="276">
        <v>28889.5</v>
      </c>
      <c r="F52" s="277">
        <v>0.37999999999999989</v>
      </c>
      <c r="G52" s="277">
        <v>101873.5</v>
      </c>
      <c r="H52" s="294">
        <v>1.34</v>
      </c>
      <c r="I52" s="277"/>
      <c r="J52" s="277"/>
      <c r="K52" s="277"/>
      <c r="L52" s="277"/>
      <c r="M52" s="277"/>
      <c r="N52" s="277"/>
      <c r="O52" s="277"/>
      <c r="P52" s="277"/>
      <c r="Q52" s="277"/>
      <c r="R52" s="277"/>
      <c r="S52" s="277"/>
      <c r="T52" s="277"/>
      <c r="U52" s="277"/>
      <c r="V52" s="277"/>
      <c r="W52" s="277"/>
      <c r="X52" s="277"/>
      <c r="Y52" s="277"/>
      <c r="Z52" s="277"/>
      <c r="AA52" s="277"/>
      <c r="AB52" s="277"/>
      <c r="AC52" s="277"/>
      <c r="AD52" s="294"/>
      <c r="AE52" s="277"/>
      <c r="AF52" s="277"/>
      <c r="AG52" s="277"/>
      <c r="AH52" s="277"/>
      <c r="AI52" s="257">
        <f t="shared" si="4"/>
        <v>0</v>
      </c>
      <c r="AJ52" s="319">
        <f t="shared" si="4"/>
        <v>0</v>
      </c>
      <c r="AK52" s="247">
        <f>WEEKLY!F85</f>
        <v>87428.75</v>
      </c>
      <c r="AL52" s="246">
        <f>WEEKLY!D85</f>
        <v>1.1499999999999999</v>
      </c>
      <c r="AM52" s="257">
        <f t="shared" si="5"/>
        <v>14444.75</v>
      </c>
      <c r="AN52" s="261">
        <f t="shared" si="5"/>
        <v>0.19000000000000017</v>
      </c>
      <c r="AO52" s="280">
        <f t="shared" si="6"/>
        <v>-14444.75</v>
      </c>
    </row>
    <row r="53" spans="2:44" ht="30" customHeight="1" x14ac:dyDescent="0.25">
      <c r="B53" s="288" t="s">
        <v>147</v>
      </c>
      <c r="C53" s="230">
        <v>11</v>
      </c>
      <c r="D53" s="315" t="str">
        <f>WEEKLY!B86</f>
        <v>TEH GOPEK</v>
      </c>
      <c r="E53" s="276">
        <v>19800</v>
      </c>
      <c r="F53" s="277">
        <v>5</v>
      </c>
      <c r="G53" s="277">
        <v>146520</v>
      </c>
      <c r="H53" s="277">
        <v>37</v>
      </c>
      <c r="I53" s="277"/>
      <c r="J53" s="277"/>
      <c r="K53" s="277"/>
      <c r="L53" s="277"/>
      <c r="M53" s="277"/>
      <c r="N53" s="277"/>
      <c r="O53" s="277"/>
      <c r="P53" s="277"/>
      <c r="Q53" s="277"/>
      <c r="R53" s="277"/>
      <c r="S53" s="277"/>
      <c r="T53" s="277"/>
      <c r="U53" s="277"/>
      <c r="V53" s="277"/>
      <c r="W53" s="277"/>
      <c r="X53" s="277"/>
      <c r="Y53" s="277"/>
      <c r="Z53" s="277"/>
      <c r="AA53" s="277"/>
      <c r="AB53" s="277"/>
      <c r="AC53" s="277"/>
      <c r="AD53" s="277"/>
      <c r="AE53" s="277">
        <v>396000</v>
      </c>
      <c r="AF53" s="277">
        <v>100</v>
      </c>
      <c r="AG53" s="277"/>
      <c r="AH53" s="277"/>
      <c r="AI53" s="257">
        <f t="shared" si="4"/>
        <v>396000</v>
      </c>
      <c r="AJ53" s="297">
        <f t="shared" si="4"/>
        <v>100</v>
      </c>
      <c r="AK53" s="247">
        <f>WEEKLY!F86</f>
        <v>475200</v>
      </c>
      <c r="AL53" s="246">
        <f>WEEKLY!D86</f>
        <v>120</v>
      </c>
      <c r="AM53" s="257">
        <f t="shared" si="5"/>
        <v>67320</v>
      </c>
      <c r="AN53" s="264">
        <f t="shared" si="5"/>
        <v>17</v>
      </c>
      <c r="AO53" s="280">
        <f t="shared" si="6"/>
        <v>47520</v>
      </c>
      <c r="AR53" s="320"/>
    </row>
    <row r="54" spans="2:44" ht="30" customHeight="1" x14ac:dyDescent="0.25">
      <c r="B54" s="288" t="s">
        <v>156</v>
      </c>
      <c r="C54" s="230">
        <v>12</v>
      </c>
      <c r="D54" s="315">
        <f>WEEKLY!B87</f>
        <v>0</v>
      </c>
      <c r="E54" s="276">
        <v>0</v>
      </c>
      <c r="F54" s="277">
        <v>0</v>
      </c>
      <c r="G54" s="277">
        <v>0</v>
      </c>
      <c r="H54" s="277">
        <v>0</v>
      </c>
      <c r="I54" s="277"/>
      <c r="J54" s="277"/>
      <c r="K54" s="277"/>
      <c r="L54" s="277"/>
      <c r="M54" s="277"/>
      <c r="N54" s="277"/>
      <c r="O54" s="277"/>
      <c r="P54" s="277"/>
      <c r="Q54" s="277"/>
      <c r="R54" s="277"/>
      <c r="S54" s="277"/>
      <c r="T54" s="277"/>
      <c r="U54" s="277"/>
      <c r="V54" s="277"/>
      <c r="W54" s="277"/>
      <c r="X54" s="277"/>
      <c r="Y54" s="277"/>
      <c r="Z54" s="277"/>
      <c r="AA54" s="277"/>
      <c r="AB54" s="277"/>
      <c r="AC54" s="277"/>
      <c r="AD54" s="277"/>
      <c r="AE54" s="277"/>
      <c r="AF54" s="277"/>
      <c r="AG54" s="277"/>
      <c r="AH54" s="277"/>
      <c r="AI54" s="257">
        <f t="shared" si="4"/>
        <v>0</v>
      </c>
      <c r="AJ54" s="297">
        <f t="shared" si="4"/>
        <v>0</v>
      </c>
      <c r="AK54" s="247">
        <f>WEEKLY!F87</f>
        <v>0</v>
      </c>
      <c r="AL54" s="246">
        <f>WEEKLY!D87</f>
        <v>0</v>
      </c>
      <c r="AM54" s="257">
        <f t="shared" si="5"/>
        <v>0</v>
      </c>
      <c r="AN54" s="264">
        <f t="shared" si="5"/>
        <v>0</v>
      </c>
      <c r="AO54" s="280">
        <f t="shared" si="6"/>
        <v>0</v>
      </c>
    </row>
    <row r="55" spans="2:44" ht="30" customHeight="1" x14ac:dyDescent="0.25">
      <c r="B55" s="288" t="s">
        <v>143</v>
      </c>
      <c r="C55" s="230">
        <v>13</v>
      </c>
      <c r="D55" s="315" t="str">
        <f>WEEKLY!B88</f>
        <v>AVOCADO</v>
      </c>
      <c r="E55" s="276">
        <v>-364000</v>
      </c>
      <c r="F55" s="277">
        <v>0</v>
      </c>
      <c r="G55" s="277">
        <v>440000</v>
      </c>
      <c r="H55" s="277">
        <v>10</v>
      </c>
      <c r="I55" s="277"/>
      <c r="J55" s="277"/>
      <c r="K55" s="277"/>
      <c r="L55" s="277"/>
      <c r="M55" s="277"/>
      <c r="N55" s="277"/>
      <c r="O55" s="277"/>
      <c r="P55" s="277"/>
      <c r="Q55" s="277"/>
      <c r="R55" s="277"/>
      <c r="S55" s="277"/>
      <c r="T55" s="277"/>
      <c r="U55" s="277"/>
      <c r="V55" s="277"/>
      <c r="W55" s="277"/>
      <c r="X55" s="277"/>
      <c r="Y55" s="277"/>
      <c r="Z55" s="277"/>
      <c r="AA55" s="277"/>
      <c r="AB55" s="277"/>
      <c r="AC55" s="277"/>
      <c r="AD55" s="277"/>
      <c r="AE55" s="277"/>
      <c r="AF55" s="277"/>
      <c r="AG55" s="277"/>
      <c r="AH55" s="277"/>
      <c r="AI55" s="257">
        <f t="shared" si="4"/>
        <v>0</v>
      </c>
      <c r="AJ55" s="297">
        <f t="shared" si="4"/>
        <v>0</v>
      </c>
      <c r="AK55" s="247">
        <f>WEEKLY!F88</f>
        <v>308000</v>
      </c>
      <c r="AL55" s="246">
        <f>WEEKLY!D88</f>
        <v>7</v>
      </c>
      <c r="AM55" s="257">
        <f t="shared" si="5"/>
        <v>132000</v>
      </c>
      <c r="AN55" s="264">
        <f t="shared" si="5"/>
        <v>3</v>
      </c>
      <c r="AO55" s="280">
        <f t="shared" si="6"/>
        <v>496000</v>
      </c>
    </row>
    <row r="56" spans="2:44" ht="30" customHeight="1" x14ac:dyDescent="0.25">
      <c r="B56" s="288" t="s">
        <v>140</v>
      </c>
      <c r="C56" s="230">
        <v>14</v>
      </c>
      <c r="D56" s="315" t="str">
        <f>WEEKLY!B89</f>
        <v>MARJAN MOCCA</v>
      </c>
      <c r="E56" s="276">
        <v>0</v>
      </c>
      <c r="F56" s="277">
        <v>0</v>
      </c>
      <c r="G56" s="277">
        <v>0</v>
      </c>
      <c r="H56" s="277">
        <v>0</v>
      </c>
      <c r="I56" s="277"/>
      <c r="J56" s="277"/>
      <c r="K56" s="277"/>
      <c r="L56" s="277"/>
      <c r="M56" s="277"/>
      <c r="N56" s="277"/>
      <c r="O56" s="277"/>
      <c r="P56" s="277"/>
      <c r="Q56" s="277"/>
      <c r="R56" s="277"/>
      <c r="S56" s="277"/>
      <c r="T56" s="277"/>
      <c r="U56" s="277"/>
      <c r="V56" s="277"/>
      <c r="W56" s="277"/>
      <c r="X56" s="277"/>
      <c r="Y56" s="277"/>
      <c r="Z56" s="277"/>
      <c r="AA56" s="277"/>
      <c r="AB56" s="277"/>
      <c r="AC56" s="277"/>
      <c r="AD56" s="277"/>
      <c r="AE56" s="277"/>
      <c r="AF56" s="277"/>
      <c r="AG56" s="277"/>
      <c r="AH56" s="277"/>
      <c r="AI56" s="257">
        <f t="shared" si="4"/>
        <v>0</v>
      </c>
      <c r="AJ56" s="297">
        <f t="shared" si="4"/>
        <v>0</v>
      </c>
      <c r="AK56" s="247">
        <f>WEEKLY!F89</f>
        <v>0</v>
      </c>
      <c r="AL56" s="246">
        <f>WEEKLY!D89</f>
        <v>0</v>
      </c>
      <c r="AM56" s="257">
        <f t="shared" si="5"/>
        <v>0</v>
      </c>
      <c r="AN56" s="264">
        <f t="shared" si="5"/>
        <v>0</v>
      </c>
      <c r="AO56" s="280">
        <f t="shared" si="6"/>
        <v>0</v>
      </c>
    </row>
    <row r="57" spans="2:44" ht="30" customHeight="1" x14ac:dyDescent="0.25">
      <c r="B57" s="288" t="s">
        <v>147</v>
      </c>
      <c r="C57" s="230">
        <v>15</v>
      </c>
      <c r="D57" s="315">
        <f>WEEKLY!B90</f>
        <v>0</v>
      </c>
      <c r="E57" s="276">
        <v>0</v>
      </c>
      <c r="F57" s="277">
        <v>0</v>
      </c>
      <c r="G57" s="277">
        <v>0</v>
      </c>
      <c r="H57" s="277">
        <v>0</v>
      </c>
      <c r="I57" s="277"/>
      <c r="J57" s="277"/>
      <c r="K57" s="277"/>
      <c r="L57" s="277"/>
      <c r="M57" s="277"/>
      <c r="N57" s="277"/>
      <c r="O57" s="277"/>
      <c r="P57" s="277"/>
      <c r="Q57" s="277"/>
      <c r="R57" s="277"/>
      <c r="S57" s="277"/>
      <c r="T57" s="277"/>
      <c r="U57" s="277"/>
      <c r="V57" s="277"/>
      <c r="W57" s="277"/>
      <c r="X57" s="277"/>
      <c r="Y57" s="277"/>
      <c r="Z57" s="277"/>
      <c r="AA57" s="277"/>
      <c r="AB57" s="277"/>
      <c r="AC57" s="277"/>
      <c r="AD57" s="277"/>
      <c r="AE57" s="277"/>
      <c r="AF57" s="277"/>
      <c r="AG57" s="277"/>
      <c r="AH57" s="277"/>
      <c r="AI57" s="257">
        <f t="shared" si="4"/>
        <v>0</v>
      </c>
      <c r="AJ57" s="297">
        <f t="shared" si="4"/>
        <v>0</v>
      </c>
      <c r="AK57" s="247">
        <f>WEEKLY!F90</f>
        <v>0</v>
      </c>
      <c r="AL57" s="246">
        <f>WEEKLY!D90</f>
        <v>0</v>
      </c>
      <c r="AM57" s="257">
        <f t="shared" si="5"/>
        <v>0</v>
      </c>
      <c r="AN57" s="264">
        <f t="shared" si="5"/>
        <v>0</v>
      </c>
      <c r="AO57" s="280">
        <f t="shared" si="6"/>
        <v>0</v>
      </c>
    </row>
    <row r="58" spans="2:44" ht="30" customHeight="1" x14ac:dyDescent="0.25">
      <c r="B58" s="281"/>
      <c r="C58" s="230">
        <v>16</v>
      </c>
      <c r="D58" s="315">
        <f>WEEKLY!B91</f>
        <v>0</v>
      </c>
      <c r="E58" s="276">
        <v>0</v>
      </c>
      <c r="F58" s="277">
        <v>0</v>
      </c>
      <c r="G58" s="277">
        <v>0</v>
      </c>
      <c r="H58" s="277">
        <v>0</v>
      </c>
      <c r="I58" s="277"/>
      <c r="J58" s="277"/>
      <c r="K58" s="277"/>
      <c r="L58" s="277"/>
      <c r="M58" s="277"/>
      <c r="N58" s="277"/>
      <c r="O58" s="277"/>
      <c r="P58" s="277"/>
      <c r="Q58" s="277"/>
      <c r="R58" s="277"/>
      <c r="S58" s="277"/>
      <c r="T58" s="277"/>
      <c r="U58" s="277"/>
      <c r="V58" s="277"/>
      <c r="W58" s="277"/>
      <c r="X58" s="277"/>
      <c r="Y58" s="277"/>
      <c r="Z58" s="277"/>
      <c r="AA58" s="277"/>
      <c r="AB58" s="277"/>
      <c r="AC58" s="277"/>
      <c r="AD58" s="277"/>
      <c r="AE58" s="277"/>
      <c r="AF58" s="277"/>
      <c r="AG58" s="277"/>
      <c r="AH58" s="277"/>
      <c r="AI58" s="257">
        <f t="shared" si="4"/>
        <v>0</v>
      </c>
      <c r="AJ58" s="297">
        <f t="shared" si="4"/>
        <v>0</v>
      </c>
      <c r="AK58" s="247">
        <f>WEEKLY!F91</f>
        <v>0</v>
      </c>
      <c r="AL58" s="246">
        <f>WEEKLY!D91</f>
        <v>0</v>
      </c>
      <c r="AM58" s="257">
        <f t="shared" si="5"/>
        <v>0</v>
      </c>
      <c r="AN58" s="264">
        <f t="shared" si="5"/>
        <v>0</v>
      </c>
      <c r="AO58" s="280">
        <f t="shared" si="6"/>
        <v>0</v>
      </c>
    </row>
    <row r="59" spans="2:44" ht="30" customHeight="1" x14ac:dyDescent="0.25">
      <c r="B59" s="281"/>
      <c r="C59" s="230">
        <v>17</v>
      </c>
      <c r="D59" s="315">
        <f>WEEKLY!B92</f>
        <v>0</v>
      </c>
      <c r="E59" s="276">
        <v>0</v>
      </c>
      <c r="F59" s="277">
        <v>0</v>
      </c>
      <c r="G59" s="277">
        <v>0</v>
      </c>
      <c r="H59" s="277">
        <v>0</v>
      </c>
      <c r="I59" s="277"/>
      <c r="J59" s="277"/>
      <c r="K59" s="277"/>
      <c r="L59" s="277"/>
      <c r="M59" s="277"/>
      <c r="N59" s="277"/>
      <c r="O59" s="277"/>
      <c r="P59" s="277"/>
      <c r="Q59" s="277"/>
      <c r="R59" s="277"/>
      <c r="S59" s="277"/>
      <c r="T59" s="277"/>
      <c r="U59" s="277"/>
      <c r="V59" s="277"/>
      <c r="W59" s="277"/>
      <c r="X59" s="277"/>
      <c r="Y59" s="277"/>
      <c r="Z59" s="277"/>
      <c r="AA59" s="277"/>
      <c r="AB59" s="277"/>
      <c r="AC59" s="277"/>
      <c r="AD59" s="294"/>
      <c r="AE59" s="277"/>
      <c r="AF59" s="277"/>
      <c r="AG59" s="277"/>
      <c r="AH59" s="277"/>
      <c r="AI59" s="257">
        <f t="shared" si="4"/>
        <v>0</v>
      </c>
      <c r="AJ59" s="319">
        <f t="shared" si="4"/>
        <v>0</v>
      </c>
      <c r="AK59" s="247">
        <f>WEEKLY!F92</f>
        <v>0</v>
      </c>
      <c r="AL59" s="246">
        <f>WEEKLY!D92</f>
        <v>0</v>
      </c>
      <c r="AM59" s="257">
        <f t="shared" si="5"/>
        <v>0</v>
      </c>
      <c r="AN59" s="261">
        <f t="shared" si="5"/>
        <v>0</v>
      </c>
      <c r="AO59" s="280">
        <f t="shared" si="6"/>
        <v>0</v>
      </c>
    </row>
    <row r="60" spans="2:44" ht="30" customHeight="1" x14ac:dyDescent="0.25">
      <c r="B60" s="281"/>
      <c r="C60" s="230">
        <v>18</v>
      </c>
      <c r="D60" s="315">
        <f>WEEKLY!B93</f>
        <v>0</v>
      </c>
      <c r="E60" s="276">
        <v>0</v>
      </c>
      <c r="F60" s="277">
        <v>0</v>
      </c>
      <c r="G60" s="277">
        <v>0</v>
      </c>
      <c r="H60" s="277">
        <v>0</v>
      </c>
      <c r="I60" s="277"/>
      <c r="J60" s="277"/>
      <c r="K60" s="277"/>
      <c r="L60" s="277"/>
      <c r="M60" s="277"/>
      <c r="N60" s="277"/>
      <c r="O60" s="277"/>
      <c r="P60" s="277"/>
      <c r="Q60" s="277"/>
      <c r="R60" s="277"/>
      <c r="S60" s="277"/>
      <c r="T60" s="277"/>
      <c r="U60" s="277"/>
      <c r="V60" s="277"/>
      <c r="W60" s="277"/>
      <c r="X60" s="277"/>
      <c r="Y60" s="277"/>
      <c r="Z60" s="277"/>
      <c r="AA60" s="277"/>
      <c r="AB60" s="277"/>
      <c r="AC60" s="277"/>
      <c r="AD60" s="277"/>
      <c r="AE60" s="277"/>
      <c r="AF60" s="277"/>
      <c r="AG60" s="277"/>
      <c r="AH60" s="277"/>
      <c r="AI60" s="257">
        <f t="shared" si="4"/>
        <v>0</v>
      </c>
      <c r="AJ60" s="297">
        <f t="shared" si="4"/>
        <v>0</v>
      </c>
      <c r="AK60" s="247">
        <f>WEEKLY!F93</f>
        <v>0</v>
      </c>
      <c r="AL60" s="246">
        <f>WEEKLY!D93</f>
        <v>0</v>
      </c>
      <c r="AM60" s="257">
        <f t="shared" si="5"/>
        <v>0</v>
      </c>
      <c r="AN60" s="264">
        <f t="shared" si="5"/>
        <v>0</v>
      </c>
      <c r="AO60" s="280">
        <f t="shared" si="6"/>
        <v>0</v>
      </c>
    </row>
    <row r="61" spans="2:44" ht="30" customHeight="1" x14ac:dyDescent="0.25">
      <c r="B61" s="288"/>
      <c r="C61" s="230">
        <v>19</v>
      </c>
      <c r="D61" s="315">
        <f>WEEKLY!B94</f>
        <v>0</v>
      </c>
      <c r="E61" s="265">
        <v>0</v>
      </c>
      <c r="F61" s="257">
        <v>0</v>
      </c>
      <c r="G61" s="257">
        <v>0</v>
      </c>
      <c r="H61" s="257">
        <v>0</v>
      </c>
      <c r="I61" s="257"/>
      <c r="J61" s="257"/>
      <c r="K61" s="257"/>
      <c r="L61" s="257"/>
      <c r="M61" s="257"/>
      <c r="N61" s="257"/>
      <c r="O61" s="257"/>
      <c r="P61" s="257"/>
      <c r="Q61" s="257"/>
      <c r="R61" s="257"/>
      <c r="S61" s="257"/>
      <c r="T61" s="257"/>
      <c r="U61" s="257"/>
      <c r="V61" s="257"/>
      <c r="W61" s="257"/>
      <c r="X61" s="257"/>
      <c r="Y61" s="257"/>
      <c r="Z61" s="257"/>
      <c r="AA61" s="257"/>
      <c r="AB61" s="257"/>
      <c r="AC61" s="257"/>
      <c r="AD61" s="257"/>
      <c r="AE61" s="257"/>
      <c r="AF61" s="257"/>
      <c r="AG61" s="257"/>
      <c r="AH61" s="257"/>
      <c r="AI61" s="257">
        <f t="shared" si="4"/>
        <v>0</v>
      </c>
      <c r="AJ61" s="297">
        <f t="shared" si="4"/>
        <v>0</v>
      </c>
      <c r="AK61" s="247">
        <f>WEEKLY!F94</f>
        <v>0</v>
      </c>
      <c r="AL61" s="246">
        <f>WEEKLY!D94</f>
        <v>0</v>
      </c>
      <c r="AM61" s="257">
        <f t="shared" si="5"/>
        <v>0</v>
      </c>
      <c r="AN61" s="264">
        <f t="shared" si="5"/>
        <v>0</v>
      </c>
      <c r="AO61" s="280">
        <f t="shared" si="6"/>
        <v>0</v>
      </c>
      <c r="AP61" s="215" t="s">
        <v>112</v>
      </c>
    </row>
    <row r="62" spans="2:44" ht="30" customHeight="1" x14ac:dyDescent="0.25">
      <c r="B62" s="288"/>
      <c r="C62" s="230">
        <v>20</v>
      </c>
      <c r="D62" s="315">
        <f>WEEKLY!B95</f>
        <v>0</v>
      </c>
      <c r="E62" s="265">
        <v>0</v>
      </c>
      <c r="F62" s="257">
        <v>0</v>
      </c>
      <c r="G62" s="257">
        <v>0</v>
      </c>
      <c r="H62" s="257">
        <v>0</v>
      </c>
      <c r="I62" s="257"/>
      <c r="J62" s="257"/>
      <c r="K62" s="257"/>
      <c r="L62" s="257"/>
      <c r="M62" s="257"/>
      <c r="N62" s="257"/>
      <c r="O62" s="257"/>
      <c r="P62" s="257"/>
      <c r="Q62" s="257"/>
      <c r="R62" s="257"/>
      <c r="S62" s="257"/>
      <c r="T62" s="257"/>
      <c r="U62" s="257"/>
      <c r="V62" s="257"/>
      <c r="W62" s="257"/>
      <c r="X62" s="257"/>
      <c r="Y62" s="257"/>
      <c r="Z62" s="257"/>
      <c r="AA62" s="257"/>
      <c r="AB62" s="257"/>
      <c r="AC62" s="257"/>
      <c r="AD62" s="257"/>
      <c r="AE62" s="257"/>
      <c r="AF62" s="257"/>
      <c r="AG62" s="257"/>
      <c r="AH62" s="257"/>
      <c r="AI62" s="257">
        <f t="shared" si="4"/>
        <v>0</v>
      </c>
      <c r="AJ62" s="297">
        <f t="shared" si="4"/>
        <v>0</v>
      </c>
      <c r="AK62" s="247">
        <f>WEEKLY!F95</f>
        <v>0</v>
      </c>
      <c r="AL62" s="246">
        <f>WEEKLY!D95</f>
        <v>0</v>
      </c>
      <c r="AM62" s="257">
        <f t="shared" si="5"/>
        <v>0</v>
      </c>
      <c r="AN62" s="264">
        <f t="shared" si="5"/>
        <v>0</v>
      </c>
      <c r="AO62" s="280">
        <f t="shared" si="6"/>
        <v>0</v>
      </c>
    </row>
    <row r="63" spans="2:44" ht="30" customHeight="1" x14ac:dyDescent="0.25">
      <c r="B63" s="288"/>
      <c r="C63" s="230">
        <v>21</v>
      </c>
      <c r="D63" s="315">
        <f>WEEKLY!B96</f>
        <v>0</v>
      </c>
      <c r="E63" s="265">
        <v>0</v>
      </c>
      <c r="F63" s="257">
        <v>0</v>
      </c>
      <c r="G63" s="257">
        <v>0</v>
      </c>
      <c r="H63" s="257">
        <v>0</v>
      </c>
      <c r="I63" s="257"/>
      <c r="J63" s="257"/>
      <c r="K63" s="257"/>
      <c r="L63" s="257"/>
      <c r="M63" s="257"/>
      <c r="N63" s="257"/>
      <c r="O63" s="257"/>
      <c r="P63" s="257"/>
      <c r="Q63" s="257"/>
      <c r="R63" s="257"/>
      <c r="S63" s="257"/>
      <c r="T63" s="257"/>
      <c r="U63" s="257"/>
      <c r="V63" s="257"/>
      <c r="W63" s="257"/>
      <c r="X63" s="257"/>
      <c r="Y63" s="257"/>
      <c r="Z63" s="257"/>
      <c r="AA63" s="257"/>
      <c r="AB63" s="257"/>
      <c r="AC63" s="257"/>
      <c r="AD63" s="257"/>
      <c r="AE63" s="257"/>
      <c r="AF63" s="257"/>
      <c r="AG63" s="257"/>
      <c r="AH63" s="257"/>
      <c r="AI63" s="257">
        <f t="shared" si="4"/>
        <v>0</v>
      </c>
      <c r="AJ63" s="297">
        <f t="shared" si="4"/>
        <v>0</v>
      </c>
      <c r="AK63" s="247">
        <f>WEEKLY!F96</f>
        <v>0</v>
      </c>
      <c r="AL63" s="246">
        <f>WEEKLY!D96</f>
        <v>0</v>
      </c>
      <c r="AM63" s="257">
        <f t="shared" si="5"/>
        <v>0</v>
      </c>
      <c r="AN63" s="264">
        <f t="shared" si="5"/>
        <v>0</v>
      </c>
      <c r="AO63" s="280">
        <f t="shared" si="6"/>
        <v>0</v>
      </c>
    </row>
    <row r="64" spans="2:44" ht="30" customHeight="1" x14ac:dyDescent="0.25">
      <c r="B64" s="288"/>
      <c r="C64" s="230">
        <v>22</v>
      </c>
      <c r="D64" s="315">
        <f>WEEKLY!B97</f>
        <v>0</v>
      </c>
      <c r="E64" s="265">
        <v>0</v>
      </c>
      <c r="F64" s="257">
        <v>0</v>
      </c>
      <c r="G64" s="257">
        <v>0</v>
      </c>
      <c r="H64" s="257">
        <v>0</v>
      </c>
      <c r="I64" s="257"/>
      <c r="J64" s="257"/>
      <c r="K64" s="257"/>
      <c r="L64" s="257"/>
      <c r="M64" s="257"/>
      <c r="N64" s="257"/>
      <c r="O64" s="257"/>
      <c r="P64" s="257"/>
      <c r="Q64" s="257"/>
      <c r="R64" s="257"/>
      <c r="S64" s="257"/>
      <c r="T64" s="257"/>
      <c r="U64" s="257"/>
      <c r="V64" s="257"/>
      <c r="W64" s="257"/>
      <c r="X64" s="257"/>
      <c r="Y64" s="257"/>
      <c r="Z64" s="257"/>
      <c r="AA64" s="257"/>
      <c r="AB64" s="257"/>
      <c r="AC64" s="257"/>
      <c r="AD64" s="257"/>
      <c r="AE64" s="257"/>
      <c r="AF64" s="257"/>
      <c r="AG64" s="257"/>
      <c r="AH64" s="257"/>
      <c r="AI64" s="277">
        <f t="shared" si="4"/>
        <v>0</v>
      </c>
      <c r="AJ64" s="297">
        <f t="shared" si="4"/>
        <v>0</v>
      </c>
      <c r="AK64" s="247">
        <f>WEEKLY!F97</f>
        <v>0</v>
      </c>
      <c r="AL64" s="246">
        <f>WEEKLY!D97</f>
        <v>0</v>
      </c>
      <c r="AM64" s="277">
        <f t="shared" si="5"/>
        <v>0</v>
      </c>
      <c r="AN64" s="264">
        <f t="shared" si="5"/>
        <v>0</v>
      </c>
      <c r="AO64" s="280">
        <f t="shared" si="6"/>
        <v>0</v>
      </c>
    </row>
    <row r="65" spans="2:42" ht="30" customHeight="1" x14ac:dyDescent="0.25">
      <c r="B65" s="288"/>
      <c r="C65" s="275">
        <v>23</v>
      </c>
      <c r="D65" s="315">
        <f>WEEKLY!B98</f>
        <v>0</v>
      </c>
      <c r="E65" s="265">
        <v>0</v>
      </c>
      <c r="F65" s="257">
        <v>0</v>
      </c>
      <c r="G65" s="257">
        <v>0</v>
      </c>
      <c r="H65" s="257">
        <v>0</v>
      </c>
      <c r="I65" s="257"/>
      <c r="J65" s="257"/>
      <c r="K65" s="257"/>
      <c r="L65" s="257"/>
      <c r="M65" s="257"/>
      <c r="N65" s="257"/>
      <c r="O65" s="257"/>
      <c r="P65" s="257"/>
      <c r="Q65" s="257"/>
      <c r="R65" s="257"/>
      <c r="S65" s="257"/>
      <c r="T65" s="257"/>
      <c r="U65" s="257"/>
      <c r="V65" s="257"/>
      <c r="W65" s="257"/>
      <c r="X65" s="257"/>
      <c r="Y65" s="257"/>
      <c r="Z65" s="257"/>
      <c r="AA65" s="257"/>
      <c r="AB65" s="257"/>
      <c r="AC65" s="257"/>
      <c r="AD65" s="257"/>
      <c r="AE65" s="257"/>
      <c r="AF65" s="257"/>
      <c r="AG65" s="257"/>
      <c r="AH65" s="257"/>
      <c r="AI65" s="277">
        <f t="shared" si="4"/>
        <v>0</v>
      </c>
      <c r="AJ65" s="297">
        <f t="shared" si="4"/>
        <v>0</v>
      </c>
      <c r="AK65" s="247">
        <f>WEEKLY!F98</f>
        <v>0</v>
      </c>
      <c r="AL65" s="246">
        <f>WEEKLY!D98</f>
        <v>0</v>
      </c>
      <c r="AM65" s="277">
        <f t="shared" si="5"/>
        <v>0</v>
      </c>
      <c r="AN65" s="264">
        <f t="shared" si="5"/>
        <v>0</v>
      </c>
    </row>
    <row r="66" spans="2:42" ht="30" customHeight="1" x14ac:dyDescent="0.25">
      <c r="B66" s="288"/>
      <c r="C66" s="230">
        <v>24</v>
      </c>
      <c r="D66" s="315">
        <f>WEEKLY!B99</f>
        <v>0</v>
      </c>
      <c r="E66" s="265">
        <v>0</v>
      </c>
      <c r="F66" s="257">
        <v>0</v>
      </c>
      <c r="G66" s="257">
        <v>0</v>
      </c>
      <c r="H66" s="257">
        <v>0</v>
      </c>
      <c r="I66" s="257"/>
      <c r="J66" s="257"/>
      <c r="K66" s="257"/>
      <c r="L66" s="257"/>
      <c r="M66" s="257"/>
      <c r="N66" s="257"/>
      <c r="O66" s="257"/>
      <c r="P66" s="257"/>
      <c r="Q66" s="257"/>
      <c r="R66" s="257"/>
      <c r="S66" s="257"/>
      <c r="T66" s="257"/>
      <c r="U66" s="257"/>
      <c r="V66" s="257"/>
      <c r="W66" s="257"/>
      <c r="X66" s="257"/>
      <c r="Y66" s="257"/>
      <c r="Z66" s="257"/>
      <c r="AA66" s="257"/>
      <c r="AB66" s="257"/>
      <c r="AC66" s="257"/>
      <c r="AD66" s="257"/>
      <c r="AE66" s="257"/>
      <c r="AF66" s="257"/>
      <c r="AG66" s="257"/>
      <c r="AH66" s="257"/>
      <c r="AI66" s="277">
        <f t="shared" si="4"/>
        <v>0</v>
      </c>
      <c r="AJ66" s="297">
        <f t="shared" si="4"/>
        <v>0</v>
      </c>
      <c r="AK66" s="247">
        <f>WEEKLY!F99</f>
        <v>0</v>
      </c>
      <c r="AL66" s="246">
        <f>WEEKLY!D99</f>
        <v>0</v>
      </c>
      <c r="AM66" s="277">
        <f t="shared" si="5"/>
        <v>0</v>
      </c>
      <c r="AN66" s="264">
        <f t="shared" si="5"/>
        <v>0</v>
      </c>
    </row>
    <row r="67" spans="2:42" ht="30" customHeight="1" x14ac:dyDescent="0.25">
      <c r="B67" s="288"/>
      <c r="C67" s="275">
        <v>25</v>
      </c>
      <c r="D67" s="315">
        <f>WEEKLY!B100</f>
        <v>0</v>
      </c>
      <c r="E67" s="265">
        <v>0</v>
      </c>
      <c r="F67" s="257">
        <v>0</v>
      </c>
      <c r="G67" s="257">
        <v>0</v>
      </c>
      <c r="H67" s="257">
        <v>0</v>
      </c>
      <c r="I67" s="257"/>
      <c r="J67" s="257"/>
      <c r="K67" s="257"/>
      <c r="L67" s="257"/>
      <c r="M67" s="257"/>
      <c r="N67" s="257"/>
      <c r="O67" s="257"/>
      <c r="P67" s="257"/>
      <c r="Q67" s="257"/>
      <c r="R67" s="257"/>
      <c r="S67" s="257"/>
      <c r="T67" s="257"/>
      <c r="U67" s="257"/>
      <c r="V67" s="257"/>
      <c r="W67" s="257"/>
      <c r="X67" s="257"/>
      <c r="Y67" s="257"/>
      <c r="Z67" s="257"/>
      <c r="AA67" s="257"/>
      <c r="AB67" s="257"/>
      <c r="AC67" s="257"/>
      <c r="AD67" s="257"/>
      <c r="AE67" s="257"/>
      <c r="AF67" s="257"/>
      <c r="AG67" s="257"/>
      <c r="AH67" s="257"/>
      <c r="AI67" s="277">
        <f t="shared" si="4"/>
        <v>0</v>
      </c>
      <c r="AJ67" s="297">
        <f t="shared" si="4"/>
        <v>0</v>
      </c>
      <c r="AK67" s="247">
        <f>WEEKLY!F100</f>
        <v>0</v>
      </c>
      <c r="AL67" s="246">
        <f>WEEKLY!D100</f>
        <v>0</v>
      </c>
      <c r="AM67" s="277">
        <f t="shared" si="5"/>
        <v>0</v>
      </c>
      <c r="AN67" s="264">
        <f t="shared" si="5"/>
        <v>0</v>
      </c>
    </row>
    <row r="68" spans="2:42" ht="30" customHeight="1" x14ac:dyDescent="0.25">
      <c r="B68" s="288"/>
      <c r="C68" s="230">
        <v>26</v>
      </c>
      <c r="D68" s="315">
        <f>WEEKLY!B101</f>
        <v>0</v>
      </c>
      <c r="E68" s="265">
        <v>0</v>
      </c>
      <c r="F68" s="257">
        <v>0</v>
      </c>
      <c r="G68" s="257">
        <v>0</v>
      </c>
      <c r="H68" s="257">
        <v>0</v>
      </c>
      <c r="I68" s="257"/>
      <c r="J68" s="257"/>
      <c r="K68" s="257"/>
      <c r="L68" s="257"/>
      <c r="M68" s="257"/>
      <c r="N68" s="257"/>
      <c r="O68" s="257"/>
      <c r="P68" s="257"/>
      <c r="Q68" s="257"/>
      <c r="R68" s="257"/>
      <c r="S68" s="257"/>
      <c r="T68" s="257"/>
      <c r="U68" s="257"/>
      <c r="V68" s="257"/>
      <c r="W68" s="257"/>
      <c r="X68" s="257"/>
      <c r="Y68" s="257"/>
      <c r="Z68" s="257"/>
      <c r="AA68" s="257"/>
      <c r="AB68" s="257"/>
      <c r="AC68" s="257"/>
      <c r="AD68" s="257"/>
      <c r="AE68" s="257"/>
      <c r="AF68" s="257"/>
      <c r="AG68" s="257"/>
      <c r="AH68" s="257"/>
      <c r="AI68" s="277">
        <f t="shared" si="4"/>
        <v>0</v>
      </c>
      <c r="AJ68" s="297">
        <f t="shared" si="4"/>
        <v>0</v>
      </c>
      <c r="AK68" s="247">
        <f>WEEKLY!F101</f>
        <v>0</v>
      </c>
      <c r="AL68" s="246">
        <f>WEEKLY!D101</f>
        <v>0</v>
      </c>
      <c r="AM68" s="277">
        <f t="shared" si="5"/>
        <v>0</v>
      </c>
      <c r="AN68" s="264">
        <f t="shared" si="5"/>
        <v>0</v>
      </c>
    </row>
    <row r="69" spans="2:42" ht="30" customHeight="1" x14ac:dyDescent="0.25">
      <c r="B69" s="288"/>
      <c r="C69" s="275">
        <v>27</v>
      </c>
      <c r="D69" s="315">
        <f>WEEKLY!B102</f>
        <v>0</v>
      </c>
      <c r="E69" s="265">
        <v>0</v>
      </c>
      <c r="F69" s="257">
        <v>0</v>
      </c>
      <c r="G69" s="257">
        <v>0</v>
      </c>
      <c r="H69" s="257">
        <v>0</v>
      </c>
      <c r="I69" s="257"/>
      <c r="J69" s="257"/>
      <c r="K69" s="257"/>
      <c r="L69" s="257"/>
      <c r="M69" s="257"/>
      <c r="N69" s="257"/>
      <c r="O69" s="257"/>
      <c r="P69" s="257"/>
      <c r="Q69" s="257"/>
      <c r="R69" s="257"/>
      <c r="S69" s="257"/>
      <c r="T69" s="257"/>
      <c r="U69" s="257"/>
      <c r="V69" s="257"/>
      <c r="W69" s="257"/>
      <c r="X69" s="257"/>
      <c r="Y69" s="257"/>
      <c r="Z69" s="257"/>
      <c r="AA69" s="257"/>
      <c r="AB69" s="257"/>
      <c r="AC69" s="257"/>
      <c r="AD69" s="257"/>
      <c r="AE69" s="257"/>
      <c r="AF69" s="257"/>
      <c r="AG69" s="257"/>
      <c r="AH69" s="257"/>
      <c r="AI69" s="277">
        <f t="shared" si="4"/>
        <v>0</v>
      </c>
      <c r="AJ69" s="297">
        <f t="shared" si="4"/>
        <v>0</v>
      </c>
      <c r="AK69" s="247">
        <f>WEEKLY!F102</f>
        <v>0</v>
      </c>
      <c r="AL69" s="246">
        <f>WEEKLY!D102</f>
        <v>0</v>
      </c>
      <c r="AM69" s="277">
        <f t="shared" si="5"/>
        <v>0</v>
      </c>
      <c r="AN69" s="264">
        <f t="shared" si="5"/>
        <v>0</v>
      </c>
    </row>
    <row r="70" spans="2:42" ht="30" customHeight="1" x14ac:dyDescent="0.25">
      <c r="B70" s="288"/>
      <c r="C70" s="230">
        <v>28</v>
      </c>
      <c r="D70" s="315">
        <f>WEEKLY!B103</f>
        <v>0</v>
      </c>
      <c r="E70" s="265">
        <v>0</v>
      </c>
      <c r="F70" s="257">
        <v>0</v>
      </c>
      <c r="G70" s="257">
        <v>0</v>
      </c>
      <c r="H70" s="257">
        <v>0</v>
      </c>
      <c r="I70" s="257"/>
      <c r="J70" s="257"/>
      <c r="K70" s="257"/>
      <c r="L70" s="257"/>
      <c r="M70" s="257"/>
      <c r="N70" s="257"/>
      <c r="O70" s="257"/>
      <c r="P70" s="257"/>
      <c r="Q70" s="257"/>
      <c r="R70" s="257"/>
      <c r="S70" s="257"/>
      <c r="T70" s="257"/>
      <c r="U70" s="257"/>
      <c r="V70" s="257"/>
      <c r="W70" s="257"/>
      <c r="X70" s="257"/>
      <c r="Y70" s="257"/>
      <c r="Z70" s="257"/>
      <c r="AA70" s="257"/>
      <c r="AB70" s="257"/>
      <c r="AC70" s="257"/>
      <c r="AD70" s="257"/>
      <c r="AE70" s="257"/>
      <c r="AF70" s="257"/>
      <c r="AG70" s="257"/>
      <c r="AH70" s="257"/>
      <c r="AI70" s="277">
        <f t="shared" si="4"/>
        <v>0</v>
      </c>
      <c r="AJ70" s="297">
        <f t="shared" si="4"/>
        <v>0</v>
      </c>
      <c r="AK70" s="247">
        <f>WEEKLY!F103</f>
        <v>0</v>
      </c>
      <c r="AL70" s="246">
        <f>WEEKLY!D103</f>
        <v>0</v>
      </c>
      <c r="AM70" s="277">
        <f t="shared" si="5"/>
        <v>0</v>
      </c>
      <c r="AN70" s="264">
        <f t="shared" si="5"/>
        <v>0</v>
      </c>
    </row>
    <row r="71" spans="2:42" ht="30" customHeight="1" x14ac:dyDescent="0.25">
      <c r="B71" s="288"/>
      <c r="C71" s="275">
        <v>29</v>
      </c>
      <c r="D71" s="315">
        <f>WEEKLY!B104</f>
        <v>0</v>
      </c>
      <c r="E71" s="265">
        <v>0</v>
      </c>
      <c r="F71" s="257">
        <v>0</v>
      </c>
      <c r="G71" s="257">
        <v>0</v>
      </c>
      <c r="H71" s="257">
        <v>0</v>
      </c>
      <c r="I71" s="257"/>
      <c r="J71" s="257"/>
      <c r="K71" s="257"/>
      <c r="L71" s="257"/>
      <c r="M71" s="257"/>
      <c r="N71" s="257"/>
      <c r="O71" s="257"/>
      <c r="P71" s="257"/>
      <c r="Q71" s="257"/>
      <c r="R71" s="257"/>
      <c r="S71" s="257"/>
      <c r="T71" s="257"/>
      <c r="U71" s="257"/>
      <c r="V71" s="257"/>
      <c r="W71" s="257"/>
      <c r="X71" s="257"/>
      <c r="Y71" s="257"/>
      <c r="Z71" s="257"/>
      <c r="AA71" s="257"/>
      <c r="AB71" s="257"/>
      <c r="AC71" s="257"/>
      <c r="AD71" s="257"/>
      <c r="AE71" s="257"/>
      <c r="AF71" s="257"/>
      <c r="AG71" s="257"/>
      <c r="AH71" s="257"/>
      <c r="AI71" s="277">
        <f t="shared" si="4"/>
        <v>0</v>
      </c>
      <c r="AJ71" s="297">
        <f t="shared" si="4"/>
        <v>0</v>
      </c>
      <c r="AK71" s="247">
        <f>WEEKLY!F104</f>
        <v>0</v>
      </c>
      <c r="AL71" s="246">
        <f>WEEKLY!D104</f>
        <v>0</v>
      </c>
      <c r="AM71" s="277">
        <f t="shared" si="5"/>
        <v>0</v>
      </c>
      <c r="AN71" s="264">
        <f t="shared" si="5"/>
        <v>0</v>
      </c>
    </row>
    <row r="72" spans="2:42" ht="30" customHeight="1" x14ac:dyDescent="0.25">
      <c r="B72" s="288"/>
      <c r="C72" s="230">
        <v>30</v>
      </c>
      <c r="D72" s="315">
        <f>WEEKLY!B105</f>
        <v>0</v>
      </c>
      <c r="E72" s="265">
        <v>0</v>
      </c>
      <c r="F72" s="257">
        <v>0</v>
      </c>
      <c r="G72" s="257">
        <v>0</v>
      </c>
      <c r="H72" s="257">
        <v>0</v>
      </c>
      <c r="I72" s="257"/>
      <c r="J72" s="257"/>
      <c r="K72" s="257"/>
      <c r="L72" s="257"/>
      <c r="M72" s="257"/>
      <c r="N72" s="257"/>
      <c r="O72" s="257"/>
      <c r="P72" s="257"/>
      <c r="Q72" s="257"/>
      <c r="R72" s="257"/>
      <c r="S72" s="257"/>
      <c r="T72" s="257"/>
      <c r="U72" s="257"/>
      <c r="V72" s="257"/>
      <c r="W72" s="257"/>
      <c r="X72" s="257"/>
      <c r="Y72" s="257"/>
      <c r="Z72" s="257"/>
      <c r="AA72" s="257"/>
      <c r="AB72" s="257"/>
      <c r="AC72" s="257"/>
      <c r="AD72" s="257"/>
      <c r="AE72" s="257"/>
      <c r="AF72" s="257"/>
      <c r="AG72" s="257"/>
      <c r="AH72" s="257"/>
      <c r="AI72" s="277">
        <f t="shared" si="4"/>
        <v>0</v>
      </c>
      <c r="AJ72" s="297">
        <f t="shared" si="4"/>
        <v>0</v>
      </c>
      <c r="AK72" s="247">
        <f>WEEKLY!F105</f>
        <v>0</v>
      </c>
      <c r="AL72" s="246">
        <f>WEEKLY!D105</f>
        <v>0</v>
      </c>
      <c r="AM72" s="277">
        <f t="shared" si="5"/>
        <v>0</v>
      </c>
      <c r="AN72" s="264">
        <f t="shared" si="5"/>
        <v>0</v>
      </c>
    </row>
    <row r="73" spans="2:42" ht="30" customHeight="1" thickBot="1" x14ac:dyDescent="0.3">
      <c r="B73" s="288"/>
      <c r="C73" s="275">
        <v>31</v>
      </c>
      <c r="D73" s="315">
        <f>WEEKLY!B106</f>
        <v>0</v>
      </c>
      <c r="E73" s="265">
        <v>0</v>
      </c>
      <c r="F73" s="257">
        <v>0</v>
      </c>
      <c r="G73" s="257">
        <v>0</v>
      </c>
      <c r="H73" s="257">
        <v>0</v>
      </c>
      <c r="I73" s="257"/>
      <c r="J73" s="257"/>
      <c r="K73" s="257"/>
      <c r="L73" s="257"/>
      <c r="M73" s="257"/>
      <c r="N73" s="257"/>
      <c r="O73" s="257"/>
      <c r="P73" s="257"/>
      <c r="Q73" s="257"/>
      <c r="R73" s="257"/>
      <c r="S73" s="257"/>
      <c r="T73" s="257"/>
      <c r="U73" s="257"/>
      <c r="V73" s="257"/>
      <c r="W73" s="257"/>
      <c r="X73" s="257"/>
      <c r="Y73" s="257"/>
      <c r="Z73" s="257"/>
      <c r="AA73" s="257"/>
      <c r="AB73" s="257"/>
      <c r="AC73" s="257"/>
      <c r="AD73" s="257"/>
      <c r="AE73" s="257"/>
      <c r="AF73" s="257"/>
      <c r="AG73" s="257"/>
      <c r="AH73" s="257"/>
      <c r="AI73" s="277">
        <f t="shared" si="4"/>
        <v>0</v>
      </c>
      <c r="AJ73" s="297">
        <f t="shared" si="4"/>
        <v>0</v>
      </c>
      <c r="AK73" s="247">
        <f>WEEKLY!F106</f>
        <v>0</v>
      </c>
      <c r="AL73" s="246">
        <f>WEEKLY!D106</f>
        <v>0</v>
      </c>
      <c r="AM73" s="277">
        <f t="shared" si="5"/>
        <v>0</v>
      </c>
      <c r="AN73" s="264">
        <f t="shared" si="5"/>
        <v>0</v>
      </c>
      <c r="AO73" s="215" t="s">
        <v>103</v>
      </c>
      <c r="AP73" s="280">
        <f>SUM(AM43:AM73)</f>
        <v>429631.75</v>
      </c>
    </row>
    <row r="74" spans="2:42" ht="30" customHeight="1" thickBot="1" x14ac:dyDescent="0.3">
      <c r="B74" s="310"/>
      <c r="C74" s="311"/>
      <c r="D74" s="311" t="s">
        <v>157</v>
      </c>
      <c r="E74" s="1296">
        <f>SUM(E10:E73)</f>
        <v>16877143.83712016</v>
      </c>
      <c r="F74" s="1297"/>
      <c r="G74" s="1298">
        <f>SUM(G10:G73)</f>
        <v>8489486.5805421565</v>
      </c>
      <c r="H74" s="1297"/>
      <c r="I74" s="1298">
        <f>SUM(I10:I73)</f>
        <v>277000</v>
      </c>
      <c r="J74" s="1297"/>
      <c r="K74" s="1298">
        <f>SUM(K10:K73)</f>
        <v>199000</v>
      </c>
      <c r="L74" s="1297"/>
      <c r="M74" s="1298">
        <f>SUM(M10:M73)</f>
        <v>263438</v>
      </c>
      <c r="N74" s="1297"/>
      <c r="O74" s="1298">
        <f>SUM(O10:O73)</f>
        <v>350000</v>
      </c>
      <c r="P74" s="1297"/>
      <c r="Q74" s="1298">
        <f>SUM(Q10:Q73)</f>
        <v>106000</v>
      </c>
      <c r="R74" s="1297"/>
      <c r="S74" s="1298">
        <f>SUM(S10:S73)</f>
        <v>45000</v>
      </c>
      <c r="T74" s="1297"/>
      <c r="U74" s="1298">
        <f>SUM(U10:U73)</f>
        <v>313400</v>
      </c>
      <c r="V74" s="1297"/>
      <c r="W74" s="1298">
        <f>SUM(W10:W73)</f>
        <v>0</v>
      </c>
      <c r="X74" s="1297"/>
      <c r="Y74" s="1298">
        <f>SUM(Y10:Y73)</f>
        <v>0</v>
      </c>
      <c r="Z74" s="1297"/>
      <c r="AA74" s="1298">
        <f>SUM(AA10:AA73)</f>
        <v>0</v>
      </c>
      <c r="AB74" s="1297"/>
      <c r="AC74" s="1303">
        <f>SUM(AC10:AC73)</f>
        <v>-18320.959548244777</v>
      </c>
      <c r="AD74" s="1304"/>
      <c r="AE74" s="1298">
        <f>SUM(AE10:AE73)</f>
        <v>396000</v>
      </c>
      <c r="AF74" s="1297"/>
      <c r="AG74" s="1298">
        <f>SUM(AG10:AG73)</f>
        <v>10014010</v>
      </c>
      <c r="AH74" s="1297"/>
      <c r="AI74" s="1299">
        <f t="shared" si="4"/>
        <v>11945527.040451756</v>
      </c>
      <c r="AJ74" s="1300"/>
      <c r="AK74" s="1298">
        <f>SUM(AK10:AK73)</f>
        <v>9990537.7257936504</v>
      </c>
      <c r="AL74" s="1297"/>
      <c r="AM74" s="1299">
        <f>SUM(AM10:AM73)</f>
        <v>10444475.895200262</v>
      </c>
      <c r="AN74" s="1301"/>
    </row>
    <row r="75" spans="2:42" ht="9.75" customHeight="1" x14ac:dyDescent="0.25">
      <c r="B75" s="321"/>
      <c r="C75" s="321"/>
      <c r="D75" s="321"/>
      <c r="E75" s="322"/>
      <c r="F75" s="322"/>
      <c r="G75" s="322"/>
      <c r="H75" s="322"/>
      <c r="I75" s="322"/>
      <c r="J75" s="322"/>
      <c r="K75" s="322"/>
      <c r="L75" s="322"/>
      <c r="M75" s="322"/>
      <c r="N75" s="322"/>
      <c r="O75" s="322"/>
      <c r="P75" s="322"/>
      <c r="Q75" s="322"/>
      <c r="R75" s="322"/>
      <c r="S75" s="322"/>
      <c r="T75" s="322"/>
      <c r="U75" s="322"/>
      <c r="V75" s="322"/>
      <c r="W75" s="322"/>
      <c r="X75" s="322"/>
      <c r="Y75" s="322"/>
      <c r="Z75" s="322"/>
      <c r="AA75" s="322"/>
      <c r="AB75" s="322"/>
      <c r="AC75" s="323"/>
      <c r="AD75" s="323"/>
      <c r="AE75" s="322"/>
      <c r="AF75" s="322"/>
      <c r="AG75" s="322"/>
      <c r="AH75" s="322"/>
      <c r="AI75" s="324"/>
      <c r="AJ75" s="324"/>
      <c r="AK75" s="322"/>
      <c r="AL75" s="322"/>
      <c r="AM75" s="324"/>
      <c r="AN75" s="324"/>
    </row>
    <row r="76" spans="2:42" ht="20.25" customHeight="1" x14ac:dyDescent="0.25">
      <c r="B76" s="1302" t="s">
        <v>158</v>
      </c>
      <c r="C76" s="1302"/>
      <c r="D76" s="1302"/>
      <c r="E76" s="1302"/>
      <c r="F76" s="1302"/>
      <c r="G76" s="1302"/>
      <c r="H76" s="1302"/>
      <c r="I76" s="1302"/>
      <c r="J76" s="1302"/>
      <c r="K76" s="1302"/>
      <c r="L76" s="1302"/>
      <c r="M76" s="1302"/>
      <c r="N76" s="1302"/>
      <c r="O76" s="1302"/>
      <c r="P76" s="1302"/>
      <c r="Q76" s="1302"/>
      <c r="R76" s="1302"/>
      <c r="S76" s="1302"/>
      <c r="T76" s="1302"/>
      <c r="U76" s="1302"/>
      <c r="V76" s="1302"/>
      <c r="W76" s="1302"/>
      <c r="X76" s="1302"/>
      <c r="Y76" s="1302"/>
      <c r="Z76" s="1302"/>
      <c r="AA76" s="1302"/>
      <c r="AB76" s="1302"/>
      <c r="AC76" s="1302"/>
      <c r="AD76" s="1302"/>
      <c r="AE76" s="1302"/>
      <c r="AF76" s="1302"/>
      <c r="AG76" s="1302"/>
      <c r="AH76" s="1302"/>
      <c r="AI76" s="1302"/>
      <c r="AJ76" s="1302"/>
      <c r="AK76" s="1302"/>
      <c r="AL76" s="1302"/>
      <c r="AM76" s="1302"/>
      <c r="AN76" s="1302"/>
    </row>
    <row r="77" spans="2:42" ht="18" customHeight="1" x14ac:dyDescent="0.25">
      <c r="B77" s="1302" t="s">
        <v>159</v>
      </c>
      <c r="C77" s="1302"/>
      <c r="D77" s="1302"/>
      <c r="E77" s="1302"/>
      <c r="F77" s="1302"/>
      <c r="G77" s="1302"/>
      <c r="H77" s="1302"/>
      <c r="I77" s="1302"/>
      <c r="J77" s="1302"/>
      <c r="K77" s="1302"/>
      <c r="L77" s="1302"/>
      <c r="M77" s="1302"/>
      <c r="N77" s="1302"/>
      <c r="O77" s="1302"/>
      <c r="P77" s="1302"/>
      <c r="Q77" s="1302"/>
      <c r="R77" s="1302"/>
      <c r="S77" s="1302"/>
      <c r="T77" s="1302"/>
      <c r="U77" s="1302"/>
      <c r="V77" s="1302"/>
      <c r="W77" s="1302"/>
      <c r="X77" s="1302"/>
      <c r="Y77" s="1302"/>
      <c r="Z77" s="1302"/>
      <c r="AA77" s="1302"/>
      <c r="AB77" s="1302"/>
      <c r="AC77" s="1302"/>
      <c r="AD77" s="1302"/>
      <c r="AE77" s="1302"/>
      <c r="AF77" s="1302"/>
      <c r="AG77" s="1302"/>
      <c r="AH77" s="1302"/>
      <c r="AI77" s="1302"/>
      <c r="AJ77" s="1302"/>
      <c r="AK77" s="1302"/>
      <c r="AL77" s="1302"/>
      <c r="AM77" s="1302"/>
      <c r="AN77" s="1302"/>
    </row>
    <row r="78" spans="2:42" ht="13.5" customHeight="1" x14ac:dyDescent="0.25">
      <c r="B78" s="325"/>
      <c r="C78" s="326"/>
      <c r="D78" s="327"/>
      <c r="E78" s="327"/>
      <c r="F78" s="328"/>
      <c r="H78" s="328"/>
      <c r="J78" s="328"/>
      <c r="L78" s="328"/>
      <c r="N78" s="328"/>
      <c r="P78" s="328"/>
      <c r="R78" s="328"/>
      <c r="T78" s="328"/>
      <c r="V78" s="328"/>
      <c r="X78" s="328"/>
      <c r="Z78" s="328"/>
      <c r="AB78" s="328"/>
      <c r="AF78" s="328"/>
      <c r="AH78" s="328"/>
      <c r="AJ78" s="328"/>
      <c r="AL78" s="328"/>
      <c r="AN78" s="328"/>
    </row>
    <row r="79" spans="2:42" ht="24.95" customHeight="1" x14ac:dyDescent="0.25">
      <c r="B79" s="1259" t="s">
        <v>113</v>
      </c>
      <c r="C79" s="1259"/>
      <c r="D79" s="1259"/>
      <c r="E79" s="1259"/>
      <c r="F79" s="1259"/>
      <c r="G79" s="1259"/>
      <c r="H79" s="1259"/>
      <c r="I79" s="1259"/>
      <c r="J79" s="1259"/>
      <c r="K79" s="1259"/>
      <c r="L79" s="1259"/>
      <c r="M79" s="1259"/>
      <c r="N79" s="1259"/>
      <c r="O79" s="1259"/>
      <c r="P79" s="1259"/>
      <c r="Q79" s="1259"/>
      <c r="R79" s="1259"/>
      <c r="S79" s="1259"/>
      <c r="T79" s="1259"/>
      <c r="U79" s="1259"/>
      <c r="V79" s="1259"/>
      <c r="W79" s="1259"/>
      <c r="X79" s="1259"/>
      <c r="Y79" s="1259"/>
      <c r="Z79" s="1259"/>
      <c r="AA79" s="1259"/>
      <c r="AB79" s="1259"/>
      <c r="AC79" s="1259"/>
      <c r="AD79" s="1259"/>
      <c r="AE79" s="1259"/>
      <c r="AF79" s="1259"/>
      <c r="AG79" s="1259"/>
      <c r="AH79" s="1259"/>
      <c r="AI79" s="1259"/>
      <c r="AJ79" s="1259"/>
      <c r="AK79" s="1259"/>
      <c r="AL79" s="1259"/>
      <c r="AM79" s="1259"/>
      <c r="AN79" s="1259"/>
    </row>
    <row r="80" spans="2:42" ht="14.25" customHeight="1" x14ac:dyDescent="0.25">
      <c r="F80" s="328"/>
      <c r="H80" s="328"/>
      <c r="J80" s="328"/>
      <c r="L80" s="328"/>
      <c r="N80" s="328"/>
      <c r="P80" s="328"/>
      <c r="R80" s="328"/>
      <c r="T80" s="328"/>
      <c r="V80" s="328"/>
      <c r="X80" s="328"/>
      <c r="Z80" s="328"/>
      <c r="AB80" s="328"/>
      <c r="AF80" s="328"/>
      <c r="AH80" s="328"/>
      <c r="AI80" s="216" t="s">
        <v>1</v>
      </c>
      <c r="AJ80" s="1305" t="str">
        <f>AJ2</f>
        <v>SC MARABAHAN</v>
      </c>
      <c r="AK80" s="1305"/>
      <c r="AL80" s="1305"/>
      <c r="AM80" s="1305"/>
      <c r="AN80" s="328"/>
    </row>
    <row r="81" spans="2:41" ht="23.25" customHeight="1" thickBot="1" x14ac:dyDescent="0.3">
      <c r="F81" s="328"/>
      <c r="H81" s="328"/>
      <c r="J81" s="328"/>
      <c r="L81" s="328"/>
      <c r="N81" s="328"/>
      <c r="P81" s="328"/>
      <c r="R81" s="328"/>
      <c r="T81" s="328"/>
      <c r="V81" s="328"/>
      <c r="X81" s="328"/>
      <c r="Z81" s="328"/>
      <c r="AB81" s="328"/>
      <c r="AF81" s="328"/>
      <c r="AH81" s="328"/>
      <c r="AI81" s="216" t="s">
        <v>3</v>
      </c>
      <c r="AJ81" s="1305" t="str">
        <f>AJ3</f>
        <v>1-7 JULI 2026</v>
      </c>
      <c r="AK81" s="1305"/>
      <c r="AL81" s="1305"/>
      <c r="AM81" s="1305"/>
      <c r="AN81" s="328"/>
    </row>
    <row r="82" spans="2:41" ht="30" customHeight="1" x14ac:dyDescent="0.25">
      <c r="B82" s="1262" t="s">
        <v>115</v>
      </c>
      <c r="C82" s="1274" t="s">
        <v>89</v>
      </c>
      <c r="D82" s="220"/>
      <c r="E82" s="1268" t="s">
        <v>116</v>
      </c>
      <c r="F82" s="1307"/>
      <c r="G82" s="1307" t="s">
        <v>117</v>
      </c>
      <c r="H82" s="1307"/>
      <c r="I82" s="1308">
        <f>I5</f>
        <v>46204</v>
      </c>
      <c r="J82" s="1308"/>
      <c r="K82" s="1308">
        <f>K5</f>
        <v>46205</v>
      </c>
      <c r="L82" s="1308"/>
      <c r="M82" s="1308">
        <f>M5</f>
        <v>46206</v>
      </c>
      <c r="N82" s="1308"/>
      <c r="O82" s="1308">
        <f>O5</f>
        <v>46207</v>
      </c>
      <c r="P82" s="1308"/>
      <c r="Q82" s="1308">
        <f>Q5</f>
        <v>46208</v>
      </c>
      <c r="R82" s="1308"/>
      <c r="S82" s="1308">
        <f>S5</f>
        <v>46209</v>
      </c>
      <c r="T82" s="1308"/>
      <c r="U82" s="1308">
        <f>U5</f>
        <v>46210</v>
      </c>
      <c r="V82" s="1308"/>
      <c r="W82" s="1308">
        <f>W5</f>
        <v>0</v>
      </c>
      <c r="X82" s="1308"/>
      <c r="Y82" s="1308">
        <f>Y5</f>
        <v>0</v>
      </c>
      <c r="Z82" s="1308"/>
      <c r="AA82" s="1308">
        <f>AA5</f>
        <v>0</v>
      </c>
      <c r="AB82" s="1308"/>
      <c r="AC82" s="1269" t="s">
        <v>160</v>
      </c>
      <c r="AD82" s="1268"/>
      <c r="AE82" s="1288" t="s">
        <v>119</v>
      </c>
      <c r="AF82" s="1289"/>
      <c r="AG82" s="1288" t="s">
        <v>120</v>
      </c>
      <c r="AH82" s="1289"/>
      <c r="AI82" s="1307" t="s">
        <v>10</v>
      </c>
      <c r="AJ82" s="1307"/>
      <c r="AK82" s="1307" t="s">
        <v>117</v>
      </c>
      <c r="AL82" s="1307"/>
      <c r="AM82" s="1307" t="s">
        <v>116</v>
      </c>
      <c r="AN82" s="1310"/>
    </row>
    <row r="83" spans="2:41" ht="30" customHeight="1" x14ac:dyDescent="0.25">
      <c r="B83" s="1263"/>
      <c r="C83" s="1281"/>
      <c r="D83" s="1311" t="s">
        <v>121</v>
      </c>
      <c r="E83" s="1277" t="s">
        <v>122</v>
      </c>
      <c r="F83" s="1312"/>
      <c r="G83" s="1312" t="s">
        <v>123</v>
      </c>
      <c r="H83" s="1312"/>
      <c r="I83" s="1309"/>
      <c r="J83" s="1309"/>
      <c r="K83" s="1309"/>
      <c r="L83" s="1309"/>
      <c r="M83" s="1309"/>
      <c r="N83" s="1309"/>
      <c r="O83" s="1309"/>
      <c r="P83" s="1309"/>
      <c r="Q83" s="1309"/>
      <c r="R83" s="1309"/>
      <c r="S83" s="1309"/>
      <c r="T83" s="1309"/>
      <c r="U83" s="1309"/>
      <c r="V83" s="1309"/>
      <c r="W83" s="1309"/>
      <c r="X83" s="1309"/>
      <c r="Y83" s="1309"/>
      <c r="Z83" s="1309"/>
      <c r="AA83" s="1309"/>
      <c r="AB83" s="1309"/>
      <c r="AC83" s="1278" t="s">
        <v>161</v>
      </c>
      <c r="AD83" s="1277"/>
      <c r="AE83" s="1290"/>
      <c r="AF83" s="1291"/>
      <c r="AG83" s="1292"/>
      <c r="AH83" s="1293"/>
      <c r="AI83" s="1312" t="s">
        <v>125</v>
      </c>
      <c r="AJ83" s="1312"/>
      <c r="AK83" s="1312" t="s">
        <v>126</v>
      </c>
      <c r="AL83" s="1312"/>
      <c r="AM83" s="1312" t="s">
        <v>127</v>
      </c>
      <c r="AN83" s="1313"/>
    </row>
    <row r="84" spans="2:41" ht="30" customHeight="1" x14ac:dyDescent="0.25">
      <c r="B84" s="230" t="s">
        <v>128</v>
      </c>
      <c r="C84" s="1281"/>
      <c r="D84" s="1311"/>
      <c r="E84" s="1277" t="s">
        <v>129</v>
      </c>
      <c r="F84" s="1312"/>
      <c r="G84" s="1312" t="s">
        <v>129</v>
      </c>
      <c r="H84" s="1312"/>
      <c r="I84" s="1312" t="str">
        <f>I7</f>
        <v>RABU</v>
      </c>
      <c r="J84" s="1312"/>
      <c r="K84" s="1312" t="str">
        <f>K7</f>
        <v>KAMIS</v>
      </c>
      <c r="L84" s="1312"/>
      <c r="M84" s="1312" t="str">
        <f>M7</f>
        <v>JUM'AT</v>
      </c>
      <c r="N84" s="1312"/>
      <c r="O84" s="1312" t="str">
        <f>O7</f>
        <v>SABTU</v>
      </c>
      <c r="P84" s="1312"/>
      <c r="Q84" s="1312" t="str">
        <f>Q7</f>
        <v>MINGGU</v>
      </c>
      <c r="R84" s="1312"/>
      <c r="S84" s="1312" t="str">
        <f>S7</f>
        <v>SENIN</v>
      </c>
      <c r="T84" s="1312"/>
      <c r="U84" s="1312" t="str">
        <f>U7</f>
        <v>SELASA</v>
      </c>
      <c r="V84" s="1312"/>
      <c r="W84" s="1312">
        <f>W7</f>
        <v>0</v>
      </c>
      <c r="X84" s="1312"/>
      <c r="Y84" s="1312">
        <f>Y7</f>
        <v>0</v>
      </c>
      <c r="Z84" s="1312"/>
      <c r="AA84" s="1278">
        <f>AA7</f>
        <v>0</v>
      </c>
      <c r="AB84" s="1277"/>
      <c r="AC84" s="1312" t="s">
        <v>130</v>
      </c>
      <c r="AD84" s="1312"/>
      <c r="AE84" s="1292"/>
      <c r="AF84" s="1293"/>
      <c r="AG84" s="1278" t="s">
        <v>131</v>
      </c>
      <c r="AH84" s="1277"/>
      <c r="AI84" s="1312" t="s">
        <v>129</v>
      </c>
      <c r="AJ84" s="1312"/>
      <c r="AK84" s="1312" t="s">
        <v>129</v>
      </c>
      <c r="AL84" s="1312"/>
      <c r="AM84" s="1312" t="s">
        <v>129</v>
      </c>
      <c r="AN84" s="1313"/>
    </row>
    <row r="85" spans="2:41" ht="30" customHeight="1" thickBot="1" x14ac:dyDescent="0.3">
      <c r="B85" s="236"/>
      <c r="C85" s="1306"/>
      <c r="D85" s="237"/>
      <c r="E85" s="238" t="s">
        <v>134</v>
      </c>
      <c r="F85" s="239" t="s">
        <v>135</v>
      </c>
      <c r="G85" s="240" t="s">
        <v>134</v>
      </c>
      <c r="H85" s="239" t="s">
        <v>135</v>
      </c>
      <c r="I85" s="240"/>
      <c r="J85" s="239" t="s">
        <v>135</v>
      </c>
      <c r="K85" s="240"/>
      <c r="L85" s="239" t="s">
        <v>135</v>
      </c>
      <c r="M85" s="240"/>
      <c r="N85" s="239" t="s">
        <v>135</v>
      </c>
      <c r="O85" s="240"/>
      <c r="P85" s="239" t="s">
        <v>135</v>
      </c>
      <c r="Q85" s="240"/>
      <c r="R85" s="239" t="s">
        <v>135</v>
      </c>
      <c r="S85" s="240"/>
      <c r="T85" s="239" t="s">
        <v>135</v>
      </c>
      <c r="U85" s="240"/>
      <c r="V85" s="239" t="s">
        <v>135</v>
      </c>
      <c r="W85" s="240"/>
      <c r="X85" s="239" t="s">
        <v>135</v>
      </c>
      <c r="Y85" s="240"/>
      <c r="Z85" s="239" t="s">
        <v>135</v>
      </c>
      <c r="AA85" s="240"/>
      <c r="AB85" s="239" t="s">
        <v>135</v>
      </c>
      <c r="AC85" s="240"/>
      <c r="AD85" s="240" t="s">
        <v>135</v>
      </c>
      <c r="AE85" s="240"/>
      <c r="AF85" s="239" t="s">
        <v>135</v>
      </c>
      <c r="AG85" s="240"/>
      <c r="AH85" s="239" t="s">
        <v>135</v>
      </c>
      <c r="AI85" s="240" t="s">
        <v>134</v>
      </c>
      <c r="AJ85" s="239" t="s">
        <v>135</v>
      </c>
      <c r="AK85" s="240" t="s">
        <v>134</v>
      </c>
      <c r="AL85" s="239" t="s">
        <v>135</v>
      </c>
      <c r="AM85" s="240" t="s">
        <v>134</v>
      </c>
      <c r="AN85" s="241" t="s">
        <v>135</v>
      </c>
    </row>
    <row r="86" spans="2:41" ht="24.95" customHeight="1" x14ac:dyDescent="0.25">
      <c r="B86" s="288"/>
      <c r="C86" s="244">
        <v>1</v>
      </c>
      <c r="D86" s="315" t="str">
        <f>WEEKLY!B109</f>
        <v>PLASTIK JAGUNG</v>
      </c>
      <c r="E86" s="246">
        <v>-5000</v>
      </c>
      <c r="F86" s="247">
        <v>-0.5</v>
      </c>
      <c r="G86" s="247">
        <v>5000</v>
      </c>
      <c r="H86" s="247">
        <v>0.5</v>
      </c>
      <c r="I86" s="247"/>
      <c r="J86" s="247"/>
      <c r="K86" s="247"/>
      <c r="L86" s="247"/>
      <c r="M86" s="247"/>
      <c r="N86" s="247"/>
      <c r="O86" s="247">
        <v>10000</v>
      </c>
      <c r="P86" s="247">
        <v>1</v>
      </c>
      <c r="Q86" s="247"/>
      <c r="R86" s="247"/>
      <c r="S86" s="247">
        <v>10000</v>
      </c>
      <c r="T86" s="247">
        <v>1</v>
      </c>
      <c r="U86" s="247"/>
      <c r="V86" s="247"/>
      <c r="W86" s="247"/>
      <c r="X86" s="247"/>
      <c r="Y86" s="247"/>
      <c r="Z86" s="247"/>
      <c r="AA86" s="247"/>
      <c r="AB86" s="247"/>
      <c r="AC86" s="247"/>
      <c r="AD86" s="247"/>
      <c r="AE86" s="247"/>
      <c r="AF86" s="247"/>
      <c r="AG86" s="247"/>
      <c r="AH86" s="247"/>
      <c r="AI86" s="247">
        <f t="shared" ref="AI86:AJ119" si="7">SUM(I86,K86,M86,O86,Q86,S86,U86,W86,Y86,AA86,AC86,AE86,AG86)</f>
        <v>20000</v>
      </c>
      <c r="AJ86" s="247">
        <f t="shared" si="7"/>
        <v>2</v>
      </c>
      <c r="AK86" s="247">
        <f>WEEKLY!F109</f>
        <v>15000</v>
      </c>
      <c r="AL86" s="247">
        <f>WEEKLY!D109</f>
        <v>1.5</v>
      </c>
      <c r="AM86" s="247">
        <f t="shared" ref="AM86:AN119" si="8">G86+AI86-AK86</f>
        <v>10000</v>
      </c>
      <c r="AN86" s="248">
        <f t="shared" si="8"/>
        <v>1</v>
      </c>
      <c r="AO86" s="280">
        <f>AM86-E86</f>
        <v>15000</v>
      </c>
    </row>
    <row r="87" spans="2:41" ht="24.95" customHeight="1" x14ac:dyDescent="0.25">
      <c r="B87" s="288"/>
      <c r="C87" s="230">
        <v>2</v>
      </c>
      <c r="D87" s="315" t="str">
        <f>WEEKLY!B110</f>
        <v>PLASTIK SEDANG SC</v>
      </c>
      <c r="E87" s="265">
        <v>136738.6</v>
      </c>
      <c r="F87" s="257">
        <v>376</v>
      </c>
      <c r="G87" s="257">
        <v>178527.6</v>
      </c>
      <c r="H87" s="257">
        <v>491</v>
      </c>
      <c r="I87" s="257"/>
      <c r="J87" s="257"/>
      <c r="K87" s="257"/>
      <c r="L87" s="277"/>
      <c r="M87" s="257"/>
      <c r="N87" s="257"/>
      <c r="O87" s="257"/>
      <c r="P87" s="257"/>
      <c r="Q87" s="257"/>
      <c r="R87" s="257"/>
      <c r="S87" s="257"/>
      <c r="T87" s="257"/>
      <c r="U87" s="257"/>
      <c r="V87" s="257"/>
      <c r="W87" s="257"/>
      <c r="X87" s="257"/>
      <c r="Y87" s="257"/>
      <c r="Z87" s="257"/>
      <c r="AA87" s="257"/>
      <c r="AB87" s="257"/>
      <c r="AC87" s="257"/>
      <c r="AD87" s="257"/>
      <c r="AE87" s="257">
        <v>363650</v>
      </c>
      <c r="AF87" s="257">
        <v>1000</v>
      </c>
      <c r="AG87" s="257"/>
      <c r="AH87" s="257"/>
      <c r="AI87" s="247">
        <f t="shared" si="7"/>
        <v>363650</v>
      </c>
      <c r="AJ87" s="247">
        <f t="shared" si="7"/>
        <v>1000</v>
      </c>
      <c r="AK87" s="247">
        <f>WEEKLY!F110</f>
        <v>428684.4</v>
      </c>
      <c r="AL87" s="247">
        <f>WEEKLY!D110</f>
        <v>1179</v>
      </c>
      <c r="AM87" s="247">
        <f t="shared" si="8"/>
        <v>113493.19999999995</v>
      </c>
      <c r="AN87" s="248">
        <f t="shared" si="8"/>
        <v>312</v>
      </c>
      <c r="AO87" s="280">
        <f t="shared" ref="AO87:AO117" si="9">AM87-E87</f>
        <v>-23245.400000000052</v>
      </c>
    </row>
    <row r="88" spans="2:41" ht="24.95" customHeight="1" x14ac:dyDescent="0.25">
      <c r="B88" s="329"/>
      <c r="C88" s="230">
        <v>3</v>
      </c>
      <c r="D88" s="315" t="str">
        <f>WEEKLY!B111</f>
        <v>PLASTIK KECIL SC</v>
      </c>
      <c r="E88" s="265">
        <v>84690</v>
      </c>
      <c r="F88" s="257">
        <v>353</v>
      </c>
      <c r="G88" s="257">
        <v>8400</v>
      </c>
      <c r="H88" s="257">
        <v>35</v>
      </c>
      <c r="I88" s="257"/>
      <c r="J88" s="257"/>
      <c r="K88" s="297"/>
      <c r="L88" s="257"/>
      <c r="M88" s="265"/>
      <c r="N88" s="257"/>
      <c r="O88" s="257"/>
      <c r="P88" s="257"/>
      <c r="Q88" s="257"/>
      <c r="R88" s="257"/>
      <c r="S88" s="257"/>
      <c r="T88" s="257"/>
      <c r="U88" s="257"/>
      <c r="V88" s="257"/>
      <c r="W88" s="257"/>
      <c r="X88" s="257"/>
      <c r="Y88" s="257"/>
      <c r="Z88" s="257"/>
      <c r="AA88" s="257"/>
      <c r="AB88" s="257"/>
      <c r="AC88" s="257"/>
      <c r="AD88" s="257"/>
      <c r="AE88" s="257">
        <v>239850</v>
      </c>
      <c r="AF88" s="257">
        <v>1000</v>
      </c>
      <c r="AG88" s="257"/>
      <c r="AH88" s="257"/>
      <c r="AI88" s="257">
        <f t="shared" si="7"/>
        <v>239850</v>
      </c>
      <c r="AJ88" s="257">
        <f t="shared" si="7"/>
        <v>1000</v>
      </c>
      <c r="AK88" s="247">
        <f>WEEKLY!F111</f>
        <v>185520</v>
      </c>
      <c r="AL88" s="247">
        <f>WEEKLY!D111</f>
        <v>773</v>
      </c>
      <c r="AM88" s="257">
        <f t="shared" si="8"/>
        <v>62730</v>
      </c>
      <c r="AN88" s="264">
        <f t="shared" si="8"/>
        <v>262</v>
      </c>
      <c r="AO88" s="280">
        <f t="shared" si="9"/>
        <v>-21960</v>
      </c>
    </row>
    <row r="89" spans="2:41" ht="24.95" customHeight="1" x14ac:dyDescent="0.25">
      <c r="B89" s="281"/>
      <c r="C89" s="314">
        <v>4</v>
      </c>
      <c r="D89" s="315" t="str">
        <f>WEEKLY!B112</f>
        <v>PLASTIK BESAR SC</v>
      </c>
      <c r="E89" s="246">
        <v>97021.5</v>
      </c>
      <c r="F89" s="247">
        <v>213</v>
      </c>
      <c r="G89" s="247">
        <v>76524</v>
      </c>
      <c r="H89" s="247">
        <v>168</v>
      </c>
      <c r="I89" s="247"/>
      <c r="J89" s="247"/>
      <c r="K89" s="247"/>
      <c r="L89" s="247"/>
      <c r="M89" s="247"/>
      <c r="N89" s="247"/>
      <c r="O89" s="247"/>
      <c r="P89" s="247"/>
      <c r="Q89" s="247"/>
      <c r="R89" s="247"/>
      <c r="S89" s="247"/>
      <c r="T89" s="247"/>
      <c r="U89" s="247"/>
      <c r="V89" s="247"/>
      <c r="W89" s="247"/>
      <c r="X89" s="247"/>
      <c r="Y89" s="247"/>
      <c r="Z89" s="247"/>
      <c r="AA89" s="247"/>
      <c r="AB89" s="247"/>
      <c r="AC89" s="247"/>
      <c r="AD89" s="247"/>
      <c r="AE89" s="247">
        <v>136650</v>
      </c>
      <c r="AF89" s="247">
        <v>300</v>
      </c>
      <c r="AG89" s="247"/>
      <c r="AH89" s="247"/>
      <c r="AI89" s="247">
        <f t="shared" si="7"/>
        <v>136650</v>
      </c>
      <c r="AJ89" s="247">
        <f t="shared" si="7"/>
        <v>300</v>
      </c>
      <c r="AK89" s="247">
        <f>WEEKLY!F112</f>
        <v>150315</v>
      </c>
      <c r="AL89" s="247">
        <f>WEEKLY!D112</f>
        <v>330</v>
      </c>
      <c r="AM89" s="247">
        <f t="shared" si="8"/>
        <v>62859</v>
      </c>
      <c r="AN89" s="248">
        <f t="shared" si="8"/>
        <v>138</v>
      </c>
      <c r="AO89" s="280">
        <f t="shared" si="9"/>
        <v>-34162.5</v>
      </c>
    </row>
    <row r="90" spans="2:41" ht="24.95" customHeight="1" x14ac:dyDescent="0.25">
      <c r="B90" s="266"/>
      <c r="C90" s="230">
        <v>5</v>
      </c>
      <c r="D90" s="315" t="str">
        <f>WEEKLY!B113</f>
        <v>SEDOTAN PLASTIK</v>
      </c>
      <c r="E90" s="265">
        <v>80670</v>
      </c>
      <c r="F90" s="260">
        <v>1431</v>
      </c>
      <c r="G90" s="257">
        <v>33950</v>
      </c>
      <c r="H90" s="260">
        <v>485</v>
      </c>
      <c r="I90" s="257"/>
      <c r="J90" s="257"/>
      <c r="K90" s="257"/>
      <c r="L90" s="257"/>
      <c r="M90" s="257">
        <v>30000</v>
      </c>
      <c r="N90" s="257">
        <v>500</v>
      </c>
      <c r="O90" s="257"/>
      <c r="P90" s="257"/>
      <c r="Q90" s="257"/>
      <c r="R90" s="257"/>
      <c r="S90" s="257">
        <v>30000</v>
      </c>
      <c r="T90" s="257">
        <v>500</v>
      </c>
      <c r="U90" s="257"/>
      <c r="V90" s="257"/>
      <c r="W90" s="257"/>
      <c r="X90" s="257"/>
      <c r="Y90" s="257"/>
      <c r="Z90" s="257"/>
      <c r="AA90" s="257"/>
      <c r="AB90" s="257"/>
      <c r="AC90" s="257"/>
      <c r="AD90" s="257"/>
      <c r="AE90" s="257"/>
      <c r="AF90" s="257"/>
      <c r="AG90" s="257"/>
      <c r="AH90" s="257"/>
      <c r="AI90" s="247">
        <f t="shared" si="7"/>
        <v>60000</v>
      </c>
      <c r="AJ90" s="256">
        <f t="shared" si="7"/>
        <v>1000</v>
      </c>
      <c r="AK90" s="247">
        <f>WEEKLY!F113</f>
        <v>22400</v>
      </c>
      <c r="AL90" s="247">
        <f>WEEKLY!D113</f>
        <v>320</v>
      </c>
      <c r="AM90" s="247">
        <f t="shared" si="8"/>
        <v>71550</v>
      </c>
      <c r="AN90" s="287">
        <f t="shared" si="8"/>
        <v>1165</v>
      </c>
      <c r="AO90" s="280">
        <f t="shared" si="9"/>
        <v>-9120</v>
      </c>
    </row>
    <row r="91" spans="2:41" ht="24.95" customHeight="1" x14ac:dyDescent="0.25">
      <c r="B91" s="281"/>
      <c r="C91" s="230">
        <v>6</v>
      </c>
      <c r="D91" s="315" t="str">
        <f>WEEKLY!B114</f>
        <v>KERTAS MINYAK</v>
      </c>
      <c r="E91" s="265">
        <v>10064</v>
      </c>
      <c r="F91" s="257">
        <v>68</v>
      </c>
      <c r="G91" s="257">
        <v>34336</v>
      </c>
      <c r="H91" s="257">
        <v>232</v>
      </c>
      <c r="I91" s="257"/>
      <c r="J91" s="257"/>
      <c r="K91" s="257"/>
      <c r="L91" s="257"/>
      <c r="M91" s="257"/>
      <c r="N91" s="257"/>
      <c r="O91" s="257"/>
      <c r="P91" s="257"/>
      <c r="Q91" s="257"/>
      <c r="R91" s="257"/>
      <c r="S91" s="257">
        <v>37000</v>
      </c>
      <c r="T91" s="257">
        <v>250</v>
      </c>
      <c r="U91" s="257"/>
      <c r="V91" s="257"/>
      <c r="W91" s="257"/>
      <c r="X91" s="257"/>
      <c r="Y91" s="257"/>
      <c r="Z91" s="257"/>
      <c r="AA91" s="257"/>
      <c r="AB91" s="257"/>
      <c r="AC91" s="257"/>
      <c r="AD91" s="257"/>
      <c r="AE91" s="257"/>
      <c r="AF91" s="257"/>
      <c r="AG91" s="257"/>
      <c r="AH91" s="257"/>
      <c r="AI91" s="247">
        <f t="shared" si="7"/>
        <v>37000</v>
      </c>
      <c r="AJ91" s="247">
        <f t="shared" si="7"/>
        <v>250</v>
      </c>
      <c r="AK91" s="247">
        <f>WEEKLY!F114</f>
        <v>51504</v>
      </c>
      <c r="AL91" s="247">
        <f>WEEKLY!D114</f>
        <v>348</v>
      </c>
      <c r="AM91" s="247">
        <f t="shared" si="8"/>
        <v>19832</v>
      </c>
      <c r="AN91" s="248">
        <f t="shared" si="8"/>
        <v>134</v>
      </c>
      <c r="AO91" s="280">
        <f t="shared" si="9"/>
        <v>9768</v>
      </c>
    </row>
    <row r="92" spans="2:41" ht="24.95" customHeight="1" x14ac:dyDescent="0.25">
      <c r="B92" s="281"/>
      <c r="C92" s="230">
        <v>7</v>
      </c>
      <c r="D92" s="315" t="str">
        <f>WEEKLY!B115</f>
        <v>BOX CATT KECIL</v>
      </c>
      <c r="E92" s="265">
        <v>1649422</v>
      </c>
      <c r="F92" s="257">
        <v>1559</v>
      </c>
      <c r="G92" s="257">
        <v>1073870</v>
      </c>
      <c r="H92" s="257">
        <v>1015</v>
      </c>
      <c r="I92" s="257"/>
      <c r="J92" s="257"/>
      <c r="K92" s="257"/>
      <c r="L92" s="257"/>
      <c r="M92" s="257"/>
      <c r="N92" s="257"/>
      <c r="O92" s="257"/>
      <c r="P92" s="257"/>
      <c r="Q92" s="257"/>
      <c r="R92" s="257"/>
      <c r="S92" s="257"/>
      <c r="T92" s="257"/>
      <c r="U92" s="257"/>
      <c r="V92" s="257"/>
      <c r="W92" s="257"/>
      <c r="X92" s="257"/>
      <c r="Y92" s="257"/>
      <c r="Z92" s="257"/>
      <c r="AA92" s="257"/>
      <c r="AB92" s="257"/>
      <c r="AC92" s="257"/>
      <c r="AD92" s="257"/>
      <c r="AE92" s="257">
        <v>3174000</v>
      </c>
      <c r="AF92" s="257">
        <v>3000</v>
      </c>
      <c r="AG92" s="257"/>
      <c r="AH92" s="257"/>
      <c r="AI92" s="247">
        <f t="shared" si="7"/>
        <v>3174000</v>
      </c>
      <c r="AJ92" s="247">
        <f t="shared" si="7"/>
        <v>3000</v>
      </c>
      <c r="AK92" s="247">
        <f>WEEKLY!F115</f>
        <v>3187754</v>
      </c>
      <c r="AL92" s="247">
        <f>WEEKLY!D115</f>
        <v>3013</v>
      </c>
      <c r="AM92" s="247">
        <f t="shared" si="8"/>
        <v>1060116</v>
      </c>
      <c r="AN92" s="248">
        <f t="shared" si="8"/>
        <v>1002</v>
      </c>
      <c r="AO92" s="280">
        <f t="shared" si="9"/>
        <v>-589306</v>
      </c>
    </row>
    <row r="93" spans="2:41" ht="24.95" customHeight="1" x14ac:dyDescent="0.25">
      <c r="B93" s="281"/>
      <c r="C93" s="230">
        <v>8</v>
      </c>
      <c r="D93" s="315" t="str">
        <f>WEEKLY!B116</f>
        <v>BOX AW (AYAM WHOLE)</v>
      </c>
      <c r="E93" s="265">
        <v>365310</v>
      </c>
      <c r="F93" s="257">
        <v>123</v>
      </c>
      <c r="G93" s="257">
        <v>151470</v>
      </c>
      <c r="H93" s="257">
        <v>51</v>
      </c>
      <c r="I93" s="257"/>
      <c r="J93" s="257"/>
      <c r="K93" s="257"/>
      <c r="L93" s="257"/>
      <c r="M93" s="257"/>
      <c r="N93" s="257"/>
      <c r="O93" s="257"/>
      <c r="P93" s="257"/>
      <c r="Q93" s="257"/>
      <c r="R93" s="257"/>
      <c r="S93" s="257"/>
      <c r="T93" s="257"/>
      <c r="U93" s="257"/>
      <c r="V93" s="257"/>
      <c r="W93" s="257"/>
      <c r="X93" s="257"/>
      <c r="Y93" s="257"/>
      <c r="Z93" s="257"/>
      <c r="AA93" s="257"/>
      <c r="AB93" s="257"/>
      <c r="AC93" s="257"/>
      <c r="AD93" s="257"/>
      <c r="AE93" s="257">
        <v>1090500</v>
      </c>
      <c r="AF93" s="257">
        <v>300</v>
      </c>
      <c r="AG93" s="257"/>
      <c r="AH93" s="257"/>
      <c r="AI93" s="247">
        <f t="shared" si="7"/>
        <v>1090500</v>
      </c>
      <c r="AJ93" s="247">
        <f t="shared" si="7"/>
        <v>300</v>
      </c>
      <c r="AK93" s="247">
        <f>WEEKLY!F116</f>
        <v>795960</v>
      </c>
      <c r="AL93" s="247">
        <f>WEEKLY!D116</f>
        <v>268</v>
      </c>
      <c r="AM93" s="247">
        <f t="shared" si="8"/>
        <v>446010</v>
      </c>
      <c r="AN93" s="248">
        <f t="shared" si="8"/>
        <v>83</v>
      </c>
      <c r="AO93" s="280">
        <f t="shared" si="9"/>
        <v>80700</v>
      </c>
    </row>
    <row r="94" spans="2:41" ht="24.95" customHeight="1" x14ac:dyDescent="0.25">
      <c r="B94" s="288" t="s">
        <v>144</v>
      </c>
      <c r="C94" s="230">
        <v>9</v>
      </c>
      <c r="D94" s="315" t="str">
        <f>WEEKLY!B117</f>
        <v>COVER NASI</v>
      </c>
      <c r="E94" s="265">
        <v>189000</v>
      </c>
      <c r="F94" s="257">
        <v>1890</v>
      </c>
      <c r="G94" s="257">
        <v>6500</v>
      </c>
      <c r="H94" s="257">
        <v>65</v>
      </c>
      <c r="I94" s="257">
        <v>20000</v>
      </c>
      <c r="J94" s="257">
        <v>200</v>
      </c>
      <c r="K94" s="257"/>
      <c r="L94" s="257"/>
      <c r="M94" s="257">
        <v>50000</v>
      </c>
      <c r="N94" s="257">
        <v>500</v>
      </c>
      <c r="O94" s="257"/>
      <c r="P94" s="257"/>
      <c r="Q94" s="257"/>
      <c r="R94" s="257"/>
      <c r="S94" s="257">
        <v>50000</v>
      </c>
      <c r="T94" s="257"/>
      <c r="U94" s="257"/>
      <c r="V94" s="257"/>
      <c r="W94" s="257"/>
      <c r="X94" s="257"/>
      <c r="Y94" s="257"/>
      <c r="Z94" s="257"/>
      <c r="AA94" s="257"/>
      <c r="AB94" s="257"/>
      <c r="AC94" s="257"/>
      <c r="AD94" s="257"/>
      <c r="AE94" s="257"/>
      <c r="AF94" s="257"/>
      <c r="AG94" s="257"/>
      <c r="AH94" s="257"/>
      <c r="AI94" s="247">
        <f t="shared" si="7"/>
        <v>120000</v>
      </c>
      <c r="AJ94" s="247">
        <f t="shared" si="7"/>
        <v>700</v>
      </c>
      <c r="AK94" s="247">
        <f>WEEKLY!F117</f>
        <v>48900</v>
      </c>
      <c r="AL94" s="247">
        <f>WEEKLY!D117</f>
        <v>489</v>
      </c>
      <c r="AM94" s="247">
        <f t="shared" si="8"/>
        <v>77600</v>
      </c>
      <c r="AN94" s="248">
        <f t="shared" si="8"/>
        <v>276</v>
      </c>
      <c r="AO94" s="280">
        <f t="shared" si="9"/>
        <v>-111400</v>
      </c>
    </row>
    <row r="95" spans="2:41" ht="24.95" customHeight="1" x14ac:dyDescent="0.25">
      <c r="B95" s="288" t="s">
        <v>145</v>
      </c>
      <c r="C95" s="230">
        <v>10</v>
      </c>
      <c r="D95" s="315" t="str">
        <f>WEEKLY!B118</f>
        <v>COVER BURGER</v>
      </c>
      <c r="E95" s="265">
        <v>8085</v>
      </c>
      <c r="F95" s="257">
        <v>35</v>
      </c>
      <c r="G95" s="257">
        <v>9240</v>
      </c>
      <c r="H95" s="257">
        <v>40</v>
      </c>
      <c r="I95" s="257"/>
      <c r="J95" s="257"/>
      <c r="K95" s="257"/>
      <c r="L95" s="257"/>
      <c r="M95" s="257"/>
      <c r="N95" s="257"/>
      <c r="O95" s="257"/>
      <c r="P95" s="257"/>
      <c r="Q95" s="257"/>
      <c r="R95" s="257"/>
      <c r="S95" s="257"/>
      <c r="T95" s="257"/>
      <c r="U95" s="257"/>
      <c r="V95" s="257"/>
      <c r="W95" s="257"/>
      <c r="X95" s="257"/>
      <c r="Y95" s="257"/>
      <c r="Z95" s="257"/>
      <c r="AA95" s="257"/>
      <c r="AB95" s="257"/>
      <c r="AC95" s="257"/>
      <c r="AD95" s="257"/>
      <c r="AE95" s="257">
        <v>23100</v>
      </c>
      <c r="AF95" s="257">
        <v>100</v>
      </c>
      <c r="AG95" s="257"/>
      <c r="AH95" s="257"/>
      <c r="AI95" s="247">
        <f t="shared" si="7"/>
        <v>23100</v>
      </c>
      <c r="AJ95" s="247">
        <f t="shared" si="7"/>
        <v>100</v>
      </c>
      <c r="AK95" s="247">
        <f>WEEKLY!F118</f>
        <v>28875</v>
      </c>
      <c r="AL95" s="247">
        <f>WEEKLY!D118</f>
        <v>125</v>
      </c>
      <c r="AM95" s="247">
        <f t="shared" si="8"/>
        <v>3465</v>
      </c>
      <c r="AN95" s="248">
        <f t="shared" si="8"/>
        <v>15</v>
      </c>
      <c r="AO95" s="280">
        <f t="shared" si="9"/>
        <v>-4620</v>
      </c>
    </row>
    <row r="96" spans="2:41" ht="24.95" customHeight="1" x14ac:dyDescent="0.25">
      <c r="B96" s="288" t="s">
        <v>143</v>
      </c>
      <c r="C96" s="230">
        <v>11</v>
      </c>
      <c r="D96" s="315">
        <f>WEEKLY!B119</f>
        <v>0</v>
      </c>
      <c r="E96" s="265">
        <v>0</v>
      </c>
      <c r="F96" s="257">
        <v>0</v>
      </c>
      <c r="G96" s="257">
        <v>0</v>
      </c>
      <c r="H96" s="257">
        <v>0</v>
      </c>
      <c r="I96" s="257"/>
      <c r="J96" s="257"/>
      <c r="K96" s="257"/>
      <c r="L96" s="257"/>
      <c r="M96" s="257"/>
      <c r="N96" s="257"/>
      <c r="O96" s="257"/>
      <c r="P96" s="257"/>
      <c r="Q96" s="257"/>
      <c r="R96" s="257"/>
      <c r="S96" s="257"/>
      <c r="T96" s="257"/>
      <c r="U96" s="257"/>
      <c r="V96" s="257"/>
      <c r="W96" s="257"/>
      <c r="X96" s="257"/>
      <c r="Y96" s="257"/>
      <c r="Z96" s="257"/>
      <c r="AA96" s="257"/>
      <c r="AB96" s="257"/>
      <c r="AC96" s="257"/>
      <c r="AD96" s="257"/>
      <c r="AE96" s="257"/>
      <c r="AF96" s="257"/>
      <c r="AG96" s="257"/>
      <c r="AH96" s="257"/>
      <c r="AI96" s="247">
        <f t="shared" si="7"/>
        <v>0</v>
      </c>
      <c r="AJ96" s="247">
        <f t="shared" si="7"/>
        <v>0</v>
      </c>
      <c r="AK96" s="247">
        <f>WEEKLY!F119</f>
        <v>0</v>
      </c>
      <c r="AL96" s="247">
        <f>WEEKLY!D119</f>
        <v>0</v>
      </c>
      <c r="AM96" s="247">
        <f t="shared" si="8"/>
        <v>0</v>
      </c>
      <c r="AN96" s="248">
        <f t="shared" si="8"/>
        <v>0</v>
      </c>
      <c r="AO96" s="280">
        <f t="shared" si="9"/>
        <v>0</v>
      </c>
    </row>
    <row r="97" spans="2:41" ht="24.95" customHeight="1" x14ac:dyDescent="0.25">
      <c r="B97" s="288" t="s">
        <v>162</v>
      </c>
      <c r="C97" s="230">
        <v>12</v>
      </c>
      <c r="D97" s="315" t="str">
        <f>WEEKLY!B120</f>
        <v>CUP POLOS 22 OZ</v>
      </c>
      <c r="E97" s="265">
        <v>55600</v>
      </c>
      <c r="F97" s="257">
        <v>130</v>
      </c>
      <c r="G97" s="257">
        <v>49920</v>
      </c>
      <c r="H97" s="257">
        <v>96</v>
      </c>
      <c r="I97" s="257"/>
      <c r="J97" s="257"/>
      <c r="K97" s="257"/>
      <c r="L97" s="257"/>
      <c r="M97" s="257"/>
      <c r="N97" s="257"/>
      <c r="O97" s="257"/>
      <c r="P97" s="257"/>
      <c r="Q97" s="257"/>
      <c r="R97" s="257"/>
      <c r="S97" s="257">
        <v>44000</v>
      </c>
      <c r="T97" s="257">
        <v>100</v>
      </c>
      <c r="U97" s="257"/>
      <c r="V97" s="257"/>
      <c r="W97" s="257"/>
      <c r="X97" s="257"/>
      <c r="Y97" s="257"/>
      <c r="Z97" s="257"/>
      <c r="AA97" s="257"/>
      <c r="AB97" s="257"/>
      <c r="AC97" s="257"/>
      <c r="AD97" s="257"/>
      <c r="AE97" s="257"/>
      <c r="AF97" s="257"/>
      <c r="AG97" s="257"/>
      <c r="AH97" s="257"/>
      <c r="AI97" s="247">
        <f t="shared" si="7"/>
        <v>44000</v>
      </c>
      <c r="AJ97" s="247">
        <f t="shared" si="7"/>
        <v>100</v>
      </c>
      <c r="AK97" s="247">
        <f>WEEKLY!F120</f>
        <v>46800</v>
      </c>
      <c r="AL97" s="247">
        <f>WEEKLY!D120</f>
        <v>90</v>
      </c>
      <c r="AM97" s="247">
        <f t="shared" si="8"/>
        <v>47120</v>
      </c>
      <c r="AN97" s="248">
        <f t="shared" si="8"/>
        <v>106</v>
      </c>
      <c r="AO97" s="280">
        <f t="shared" si="9"/>
        <v>-8480</v>
      </c>
    </row>
    <row r="98" spans="2:41" ht="24.95" customHeight="1" x14ac:dyDescent="0.25">
      <c r="B98" s="288" t="s">
        <v>156</v>
      </c>
      <c r="C98" s="230">
        <v>13</v>
      </c>
      <c r="D98" s="315" t="str">
        <f>WEEKLY!B121</f>
        <v>ROLL CUP SEALER</v>
      </c>
      <c r="E98" s="265">
        <v>96000</v>
      </c>
      <c r="F98" s="257">
        <v>2.7</v>
      </c>
      <c r="G98" s="257">
        <v>65000</v>
      </c>
      <c r="H98" s="257">
        <v>1.3</v>
      </c>
      <c r="I98" s="257"/>
      <c r="J98" s="257"/>
      <c r="K98" s="257"/>
      <c r="L98" s="257"/>
      <c r="M98" s="257"/>
      <c r="N98" s="257"/>
      <c r="O98" s="257"/>
      <c r="P98" s="257"/>
      <c r="Q98" s="257"/>
      <c r="R98" s="257"/>
      <c r="S98" s="257">
        <v>37000</v>
      </c>
      <c r="T98" s="257">
        <v>1</v>
      </c>
      <c r="U98" s="257"/>
      <c r="V98" s="257"/>
      <c r="W98" s="257"/>
      <c r="X98" s="257"/>
      <c r="Y98" s="257"/>
      <c r="Z98" s="257"/>
      <c r="AA98" s="257"/>
      <c r="AB98" s="257"/>
      <c r="AC98" s="257"/>
      <c r="AD98" s="257"/>
      <c r="AE98" s="257"/>
      <c r="AF98" s="257"/>
      <c r="AG98" s="257"/>
      <c r="AH98" s="257"/>
      <c r="AI98" s="247">
        <f t="shared" si="7"/>
        <v>37000</v>
      </c>
      <c r="AJ98" s="247">
        <f t="shared" si="7"/>
        <v>1</v>
      </c>
      <c r="AK98" s="247">
        <f>WEEKLY!F121</f>
        <v>44400</v>
      </c>
      <c r="AL98" s="247">
        <f>WEEKLY!D121</f>
        <v>1.2</v>
      </c>
      <c r="AM98" s="247">
        <f t="shared" si="8"/>
        <v>57600</v>
      </c>
      <c r="AN98" s="248">
        <f t="shared" si="8"/>
        <v>1.0999999999999999</v>
      </c>
      <c r="AO98" s="280">
        <f t="shared" si="9"/>
        <v>-38400</v>
      </c>
    </row>
    <row r="99" spans="2:41" ht="24.95" customHeight="1" x14ac:dyDescent="0.25">
      <c r="B99" s="288" t="s">
        <v>147</v>
      </c>
      <c r="C99" s="230">
        <v>14</v>
      </c>
      <c r="D99" s="315" t="str">
        <f>WEEKLY!B122</f>
        <v>CUP MINUM POLOS</v>
      </c>
      <c r="E99" s="265">
        <v>248840</v>
      </c>
      <c r="F99" s="257">
        <v>822</v>
      </c>
      <c r="G99" s="257">
        <v>50160</v>
      </c>
      <c r="H99" s="257">
        <v>228</v>
      </c>
      <c r="I99" s="257"/>
      <c r="J99" s="257"/>
      <c r="K99" s="257"/>
      <c r="L99" s="257"/>
      <c r="M99" s="257"/>
      <c r="N99" s="257"/>
      <c r="O99" s="257"/>
      <c r="P99" s="257"/>
      <c r="Q99" s="257"/>
      <c r="R99" s="257"/>
      <c r="S99" s="257"/>
      <c r="T99" s="257"/>
      <c r="U99" s="257"/>
      <c r="V99" s="257"/>
      <c r="W99" s="257"/>
      <c r="X99" s="257"/>
      <c r="Y99" s="257"/>
      <c r="Z99" s="257"/>
      <c r="AA99" s="257"/>
      <c r="AB99" s="257"/>
      <c r="AC99" s="257"/>
      <c r="AD99" s="257"/>
      <c r="AE99" s="257"/>
      <c r="AF99" s="257"/>
      <c r="AG99" s="257"/>
      <c r="AH99" s="257"/>
      <c r="AI99" s="247">
        <f t="shared" si="7"/>
        <v>0</v>
      </c>
      <c r="AJ99" s="247">
        <f t="shared" si="7"/>
        <v>0</v>
      </c>
      <c r="AK99" s="247">
        <f>WEEKLY!F122</f>
        <v>0</v>
      </c>
      <c r="AL99" s="247">
        <f>WEEKLY!D122</f>
        <v>0</v>
      </c>
      <c r="AM99" s="247">
        <f t="shared" si="8"/>
        <v>50160</v>
      </c>
      <c r="AN99" s="248">
        <f t="shared" si="8"/>
        <v>228</v>
      </c>
      <c r="AO99" s="280">
        <f t="shared" si="9"/>
        <v>-198680</v>
      </c>
    </row>
    <row r="100" spans="2:41" ht="24.95" customHeight="1" x14ac:dyDescent="0.25">
      <c r="B100" s="288" t="s">
        <v>148</v>
      </c>
      <c r="C100" s="230">
        <v>15</v>
      </c>
      <c r="D100" s="315" t="str">
        <f>WEEKLY!B123</f>
        <v>TISSUE</v>
      </c>
      <c r="E100" s="265">
        <v>52000</v>
      </c>
      <c r="F100" s="257">
        <v>6.5</v>
      </c>
      <c r="G100" s="257">
        <v>17500</v>
      </c>
      <c r="H100" s="257">
        <v>2.5</v>
      </c>
      <c r="I100" s="257"/>
      <c r="J100" s="257"/>
      <c r="K100" s="257"/>
      <c r="L100" s="257"/>
      <c r="M100" s="257">
        <v>19500</v>
      </c>
      <c r="N100" s="257">
        <v>3</v>
      </c>
      <c r="O100" s="257"/>
      <c r="P100" s="257"/>
      <c r="Q100" s="257"/>
      <c r="R100" s="257"/>
      <c r="S100" s="257"/>
      <c r="T100" s="257"/>
      <c r="U100" s="257">
        <v>34400</v>
      </c>
      <c r="V100" s="257">
        <v>8</v>
      </c>
      <c r="W100" s="257"/>
      <c r="X100" s="257"/>
      <c r="Y100" s="257"/>
      <c r="Z100" s="257"/>
      <c r="AA100" s="257"/>
      <c r="AB100" s="257"/>
      <c r="AC100" s="257"/>
      <c r="AD100" s="257"/>
      <c r="AE100" s="257"/>
      <c r="AF100" s="257"/>
      <c r="AG100" s="257"/>
      <c r="AH100" s="257"/>
      <c r="AI100" s="247">
        <f t="shared" si="7"/>
        <v>53900</v>
      </c>
      <c r="AJ100" s="247">
        <f t="shared" si="7"/>
        <v>11</v>
      </c>
      <c r="AK100" s="247">
        <f>WEEKLY!F123</f>
        <v>91000</v>
      </c>
      <c r="AL100" s="247">
        <f>WEEKLY!D123</f>
        <v>13</v>
      </c>
      <c r="AM100" s="247">
        <f t="shared" si="8"/>
        <v>-19600</v>
      </c>
      <c r="AN100" s="248">
        <f t="shared" si="8"/>
        <v>0.5</v>
      </c>
      <c r="AO100" s="280">
        <f t="shared" si="9"/>
        <v>-71600</v>
      </c>
    </row>
    <row r="101" spans="2:41" ht="24.95" customHeight="1" x14ac:dyDescent="0.25">
      <c r="B101" s="288" t="s">
        <v>149</v>
      </c>
      <c r="C101" s="230">
        <v>16</v>
      </c>
      <c r="D101" s="315" t="str">
        <f>WEEKLY!B124</f>
        <v>KANTONG KERTAS</v>
      </c>
      <c r="E101" s="265">
        <v>115544</v>
      </c>
      <c r="F101" s="257">
        <v>286</v>
      </c>
      <c r="G101" s="257">
        <v>237552</v>
      </c>
      <c r="H101" s="257">
        <v>588</v>
      </c>
      <c r="I101" s="257"/>
      <c r="J101" s="257"/>
      <c r="K101" s="257"/>
      <c r="L101" s="257"/>
      <c r="M101" s="257"/>
      <c r="N101" s="257"/>
      <c r="O101" s="257"/>
      <c r="P101" s="257"/>
      <c r="Q101" s="257"/>
      <c r="R101" s="257"/>
      <c r="S101" s="257"/>
      <c r="T101" s="257"/>
      <c r="U101" s="257"/>
      <c r="V101" s="257"/>
      <c r="W101" s="257"/>
      <c r="X101" s="257"/>
      <c r="Y101" s="257"/>
      <c r="Z101" s="257"/>
      <c r="AA101" s="257"/>
      <c r="AB101" s="257"/>
      <c r="AC101" s="257"/>
      <c r="AD101" s="257"/>
      <c r="AE101" s="257">
        <v>323400</v>
      </c>
      <c r="AF101" s="257">
        <v>800</v>
      </c>
      <c r="AG101" s="257"/>
      <c r="AH101" s="257"/>
      <c r="AI101" s="247">
        <f t="shared" si="7"/>
        <v>323400</v>
      </c>
      <c r="AJ101" s="247">
        <f t="shared" si="7"/>
        <v>800</v>
      </c>
      <c r="AK101" s="247">
        <f>WEEKLY!F124</f>
        <v>475912</v>
      </c>
      <c r="AL101" s="247">
        <f>WEEKLY!D124</f>
        <v>1178</v>
      </c>
      <c r="AM101" s="247">
        <f t="shared" si="8"/>
        <v>85040</v>
      </c>
      <c r="AN101" s="248">
        <f t="shared" si="8"/>
        <v>210</v>
      </c>
      <c r="AO101" s="280">
        <f t="shared" si="9"/>
        <v>-30504</v>
      </c>
    </row>
    <row r="102" spans="2:41" ht="24.95" customHeight="1" x14ac:dyDescent="0.25">
      <c r="B102" s="288" t="s">
        <v>156</v>
      </c>
      <c r="C102" s="230">
        <v>17</v>
      </c>
      <c r="D102" s="315" t="str">
        <f>WEEKLY!B125</f>
        <v>CUP MINUMAN</v>
      </c>
      <c r="E102" s="265">
        <v>245700</v>
      </c>
      <c r="F102" s="257">
        <v>450</v>
      </c>
      <c r="G102" s="277">
        <v>191100</v>
      </c>
      <c r="H102" s="277">
        <v>350</v>
      </c>
      <c r="I102" s="277"/>
      <c r="J102" s="277"/>
      <c r="K102" s="277"/>
      <c r="L102" s="277"/>
      <c r="M102" s="277"/>
      <c r="N102" s="277"/>
      <c r="O102" s="277"/>
      <c r="P102" s="277"/>
      <c r="Q102" s="277"/>
      <c r="R102" s="277"/>
      <c r="S102" s="277"/>
      <c r="T102" s="277"/>
      <c r="U102" s="277"/>
      <c r="V102" s="277"/>
      <c r="W102" s="277"/>
      <c r="X102" s="277"/>
      <c r="Y102" s="277"/>
      <c r="Z102" s="277"/>
      <c r="AA102" s="277"/>
      <c r="AB102" s="277"/>
      <c r="AC102" s="277"/>
      <c r="AD102" s="277"/>
      <c r="AE102" s="277">
        <v>1228500</v>
      </c>
      <c r="AF102" s="277">
        <v>2250</v>
      </c>
      <c r="AG102" s="277"/>
      <c r="AH102" s="277"/>
      <c r="AI102" s="247">
        <f t="shared" si="7"/>
        <v>1228500</v>
      </c>
      <c r="AJ102" s="247">
        <f t="shared" si="7"/>
        <v>2250</v>
      </c>
      <c r="AK102" s="247">
        <f>WEEKLY!F125</f>
        <v>1230684</v>
      </c>
      <c r="AL102" s="247">
        <f>WEEKLY!D125</f>
        <v>2254</v>
      </c>
      <c r="AM102" s="247">
        <f t="shared" si="8"/>
        <v>188916</v>
      </c>
      <c r="AN102" s="248">
        <f t="shared" si="8"/>
        <v>346</v>
      </c>
      <c r="AO102" s="280">
        <f t="shared" si="9"/>
        <v>-56784</v>
      </c>
    </row>
    <row r="103" spans="2:41" ht="24.95" customHeight="1" x14ac:dyDescent="0.25">
      <c r="B103" s="288" t="s">
        <v>163</v>
      </c>
      <c r="C103" s="230">
        <v>18</v>
      </c>
      <c r="D103" s="315" t="str">
        <f>WEEKLY!B126</f>
        <v>PAPER FRENCH FRIES</v>
      </c>
      <c r="E103" s="265">
        <v>328</v>
      </c>
      <c r="F103" s="257">
        <v>2</v>
      </c>
      <c r="G103" s="277">
        <v>1968</v>
      </c>
      <c r="H103" s="277">
        <v>12</v>
      </c>
      <c r="I103" s="277"/>
      <c r="J103" s="277"/>
      <c r="K103" s="277"/>
      <c r="L103" s="277"/>
      <c r="M103" s="277"/>
      <c r="N103" s="277"/>
      <c r="O103" s="277"/>
      <c r="P103" s="277"/>
      <c r="Q103" s="277"/>
      <c r="R103" s="277"/>
      <c r="S103" s="277"/>
      <c r="T103" s="277"/>
      <c r="U103" s="277"/>
      <c r="V103" s="277"/>
      <c r="W103" s="277"/>
      <c r="X103" s="277"/>
      <c r="Y103" s="277"/>
      <c r="Z103" s="277"/>
      <c r="AA103" s="277"/>
      <c r="AB103" s="277"/>
      <c r="AC103" s="277"/>
      <c r="AD103" s="277"/>
      <c r="AE103" s="277"/>
      <c r="AF103" s="277"/>
      <c r="AG103" s="277"/>
      <c r="AH103" s="277"/>
      <c r="AI103" s="247">
        <f t="shared" si="7"/>
        <v>0</v>
      </c>
      <c r="AJ103" s="247">
        <f t="shared" si="7"/>
        <v>0</v>
      </c>
      <c r="AK103" s="247">
        <f>WEEKLY!F126</f>
        <v>1148</v>
      </c>
      <c r="AL103" s="247">
        <f>WEEKLY!D126</f>
        <v>7</v>
      </c>
      <c r="AM103" s="247">
        <f t="shared" si="8"/>
        <v>820</v>
      </c>
      <c r="AN103" s="248">
        <f t="shared" si="8"/>
        <v>5</v>
      </c>
      <c r="AO103" s="280">
        <f t="shared" si="9"/>
        <v>492</v>
      </c>
    </row>
    <row r="104" spans="2:41" ht="24.95" customHeight="1" x14ac:dyDescent="0.25">
      <c r="B104" s="288"/>
      <c r="C104" s="230">
        <v>19</v>
      </c>
      <c r="D104" s="315" t="str">
        <f>WEEKLY!B127</f>
        <v>CUP PUDING 35 ML</v>
      </c>
      <c r="E104" s="265">
        <v>53100</v>
      </c>
      <c r="F104" s="257">
        <v>177</v>
      </c>
      <c r="G104" s="277">
        <v>6900</v>
      </c>
      <c r="H104" s="277">
        <v>23</v>
      </c>
      <c r="I104" s="277"/>
      <c r="J104" s="277"/>
      <c r="K104" s="277">
        <v>30000</v>
      </c>
      <c r="L104" s="277">
        <v>100</v>
      </c>
      <c r="M104" s="277"/>
      <c r="N104" s="277"/>
      <c r="O104" s="277"/>
      <c r="P104" s="277"/>
      <c r="Q104" s="277"/>
      <c r="R104" s="277"/>
      <c r="S104" s="277">
        <v>15000</v>
      </c>
      <c r="T104" s="277">
        <v>50</v>
      </c>
      <c r="U104" s="277"/>
      <c r="V104" s="277"/>
      <c r="W104" s="277"/>
      <c r="X104" s="277"/>
      <c r="Y104" s="277"/>
      <c r="Z104" s="277"/>
      <c r="AA104" s="277"/>
      <c r="AB104" s="277"/>
      <c r="AC104" s="277"/>
      <c r="AD104" s="277"/>
      <c r="AE104" s="277"/>
      <c r="AF104" s="277"/>
      <c r="AG104" s="277"/>
      <c r="AH104" s="277"/>
      <c r="AI104" s="247">
        <f t="shared" si="7"/>
        <v>45000</v>
      </c>
      <c r="AJ104" s="247">
        <f t="shared" si="7"/>
        <v>150</v>
      </c>
      <c r="AK104" s="247">
        <f>WEEKLY!F127</f>
        <v>11400</v>
      </c>
      <c r="AL104" s="247">
        <f>WEEKLY!D127</f>
        <v>38</v>
      </c>
      <c r="AM104" s="247">
        <f t="shared" si="8"/>
        <v>40500</v>
      </c>
      <c r="AN104" s="248">
        <f t="shared" si="8"/>
        <v>135</v>
      </c>
      <c r="AO104" s="280">
        <f t="shared" si="9"/>
        <v>-12600</v>
      </c>
    </row>
    <row r="105" spans="2:41" ht="24.95" customHeight="1" x14ac:dyDescent="0.25">
      <c r="B105" s="288"/>
      <c r="C105" s="230">
        <v>20</v>
      </c>
      <c r="D105" s="315" t="str">
        <f>WEEKLY!B128</f>
        <v>PLASTIK KLIP KECIL (TAKE AWAY)</v>
      </c>
      <c r="E105" s="265">
        <v>6000</v>
      </c>
      <c r="F105" s="257">
        <v>1</v>
      </c>
      <c r="G105" s="277">
        <v>0</v>
      </c>
      <c r="H105" s="277">
        <v>0</v>
      </c>
      <c r="I105" s="277"/>
      <c r="J105" s="277"/>
      <c r="K105" s="277"/>
      <c r="L105" s="277"/>
      <c r="M105" s="277"/>
      <c r="N105" s="277"/>
      <c r="O105" s="277">
        <v>5000</v>
      </c>
      <c r="P105" s="277">
        <v>1</v>
      </c>
      <c r="Q105" s="277"/>
      <c r="R105" s="277"/>
      <c r="S105" s="277"/>
      <c r="T105" s="277"/>
      <c r="U105" s="277"/>
      <c r="V105" s="277"/>
      <c r="W105" s="277"/>
      <c r="X105" s="277"/>
      <c r="Y105" s="277"/>
      <c r="Z105" s="277"/>
      <c r="AA105" s="277"/>
      <c r="AB105" s="277"/>
      <c r="AC105" s="277"/>
      <c r="AD105" s="277"/>
      <c r="AE105" s="277"/>
      <c r="AF105" s="277"/>
      <c r="AG105" s="277"/>
      <c r="AH105" s="277"/>
      <c r="AI105" s="247">
        <f t="shared" si="7"/>
        <v>5000</v>
      </c>
      <c r="AJ105" s="247">
        <f t="shared" si="7"/>
        <v>1</v>
      </c>
      <c r="AK105" s="247">
        <f>WEEKLY!F128</f>
        <v>600</v>
      </c>
      <c r="AL105" s="247">
        <f>WEEKLY!D128</f>
        <v>0.1</v>
      </c>
      <c r="AM105" s="247">
        <f t="shared" si="8"/>
        <v>4400</v>
      </c>
      <c r="AN105" s="248">
        <f t="shared" si="8"/>
        <v>0.9</v>
      </c>
      <c r="AO105" s="280">
        <f t="shared" si="9"/>
        <v>-1600</v>
      </c>
    </row>
    <row r="106" spans="2:41" ht="24.95" customHeight="1" x14ac:dyDescent="0.25">
      <c r="B106" s="288"/>
      <c r="C106" s="230">
        <v>21</v>
      </c>
      <c r="D106" s="315" t="str">
        <f>WEEKLY!B129</f>
        <v>PLASTIK JUMBO POLOS</v>
      </c>
      <c r="E106" s="265">
        <v>36250</v>
      </c>
      <c r="F106" s="257">
        <v>21</v>
      </c>
      <c r="G106" s="277">
        <v>0</v>
      </c>
      <c r="H106" s="277">
        <v>0</v>
      </c>
      <c r="I106" s="277"/>
      <c r="J106" s="277"/>
      <c r="K106" s="277"/>
      <c r="L106" s="277"/>
      <c r="M106" s="277"/>
      <c r="N106" s="277"/>
      <c r="O106" s="277"/>
      <c r="P106" s="277"/>
      <c r="Q106" s="277"/>
      <c r="R106" s="277"/>
      <c r="S106" s="277"/>
      <c r="T106" s="277"/>
      <c r="U106" s="277"/>
      <c r="V106" s="277"/>
      <c r="W106" s="277"/>
      <c r="X106" s="277"/>
      <c r="Y106" s="277"/>
      <c r="Z106" s="277"/>
      <c r="AA106" s="277"/>
      <c r="AB106" s="277"/>
      <c r="AC106" s="277"/>
      <c r="AD106" s="277"/>
      <c r="AE106" s="277"/>
      <c r="AF106" s="277"/>
      <c r="AG106" s="277"/>
      <c r="AH106" s="277"/>
      <c r="AI106" s="247">
        <f t="shared" si="7"/>
        <v>0</v>
      </c>
      <c r="AJ106" s="247">
        <f t="shared" si="7"/>
        <v>0</v>
      </c>
      <c r="AK106" s="247">
        <f>WEEKLY!F129</f>
        <v>0</v>
      </c>
      <c r="AL106" s="247">
        <f>WEEKLY!D129</f>
        <v>0</v>
      </c>
      <c r="AM106" s="247">
        <f t="shared" si="8"/>
        <v>0</v>
      </c>
      <c r="AN106" s="248">
        <f t="shared" si="8"/>
        <v>0</v>
      </c>
      <c r="AO106" s="280">
        <f t="shared" si="9"/>
        <v>-36250</v>
      </c>
    </row>
    <row r="107" spans="2:41" ht="24.95" customHeight="1" x14ac:dyDescent="0.25">
      <c r="B107" s="288"/>
      <c r="C107" s="230">
        <v>22</v>
      </c>
      <c r="D107" s="315" t="str">
        <f>WEEKLY!B130</f>
        <v>PLASTIK SEDANG POLOS</v>
      </c>
      <c r="E107" s="265">
        <v>30000</v>
      </c>
      <c r="F107" s="257">
        <v>80</v>
      </c>
      <c r="G107" s="277">
        <v>19000</v>
      </c>
      <c r="H107" s="277">
        <v>50</v>
      </c>
      <c r="I107" s="277"/>
      <c r="J107" s="277"/>
      <c r="K107" s="277"/>
      <c r="L107" s="277"/>
      <c r="M107" s="277"/>
      <c r="N107" s="277"/>
      <c r="O107" s="277"/>
      <c r="P107" s="277"/>
      <c r="Q107" s="277"/>
      <c r="R107" s="277"/>
      <c r="S107" s="277"/>
      <c r="T107" s="277"/>
      <c r="U107" s="277"/>
      <c r="V107" s="277"/>
      <c r="W107" s="277"/>
      <c r="X107" s="277"/>
      <c r="Y107" s="277"/>
      <c r="Z107" s="277"/>
      <c r="AA107" s="277"/>
      <c r="AB107" s="277"/>
      <c r="AC107" s="277"/>
      <c r="AD107" s="277"/>
      <c r="AE107" s="277"/>
      <c r="AF107" s="277"/>
      <c r="AG107" s="277"/>
      <c r="AH107" s="277"/>
      <c r="AI107" s="247">
        <f t="shared" si="7"/>
        <v>0</v>
      </c>
      <c r="AJ107" s="247">
        <f t="shared" si="7"/>
        <v>0</v>
      </c>
      <c r="AK107" s="247">
        <f>WEEKLY!F130</f>
        <v>304</v>
      </c>
      <c r="AL107" s="247">
        <f>WEEKLY!D130</f>
        <v>0.8</v>
      </c>
      <c r="AM107" s="247">
        <f t="shared" si="8"/>
        <v>18696</v>
      </c>
      <c r="AN107" s="248">
        <f t="shared" si="8"/>
        <v>49.2</v>
      </c>
      <c r="AO107" s="280">
        <f t="shared" si="9"/>
        <v>-11304</v>
      </c>
    </row>
    <row r="108" spans="2:41" ht="24.95" customHeight="1" x14ac:dyDescent="0.25">
      <c r="B108" s="288"/>
      <c r="C108" s="230">
        <v>23</v>
      </c>
      <c r="D108" s="315" t="str">
        <f>WEEKLY!B131</f>
        <v>PLASTIK KECIL POLOS</v>
      </c>
      <c r="E108" s="265">
        <v>13874</v>
      </c>
      <c r="F108" s="257">
        <v>49.1</v>
      </c>
      <c r="G108" s="277">
        <v>126</v>
      </c>
      <c r="H108" s="277">
        <v>0.9</v>
      </c>
      <c r="I108" s="277"/>
      <c r="J108" s="277"/>
      <c r="K108" s="277"/>
      <c r="L108" s="277"/>
      <c r="M108" s="277"/>
      <c r="N108" s="277"/>
      <c r="O108" s="277"/>
      <c r="P108" s="277"/>
      <c r="Q108" s="277"/>
      <c r="R108" s="277"/>
      <c r="S108" s="277"/>
      <c r="T108" s="277"/>
      <c r="U108" s="277"/>
      <c r="V108" s="277"/>
      <c r="W108" s="277"/>
      <c r="X108" s="277"/>
      <c r="Y108" s="277"/>
      <c r="Z108" s="277"/>
      <c r="AA108" s="277"/>
      <c r="AB108" s="277"/>
      <c r="AC108" s="277"/>
      <c r="AD108" s="277"/>
      <c r="AE108" s="277"/>
      <c r="AF108" s="277"/>
      <c r="AG108" s="277"/>
      <c r="AH108" s="277"/>
      <c r="AI108" s="247">
        <f t="shared" si="7"/>
        <v>0</v>
      </c>
      <c r="AJ108" s="247">
        <f t="shared" si="7"/>
        <v>0</v>
      </c>
      <c r="AK108" s="247">
        <f>WEEKLY!F131</f>
        <v>0</v>
      </c>
      <c r="AL108" s="247">
        <f>WEEKLY!D131</f>
        <v>0</v>
      </c>
      <c r="AM108" s="247">
        <f t="shared" si="8"/>
        <v>126</v>
      </c>
      <c r="AN108" s="248">
        <f t="shared" si="8"/>
        <v>0.9</v>
      </c>
      <c r="AO108" s="280">
        <f t="shared" si="9"/>
        <v>-13748</v>
      </c>
    </row>
    <row r="109" spans="2:41" ht="24.95" customHeight="1" x14ac:dyDescent="0.25">
      <c r="B109" s="288"/>
      <c r="C109" s="230">
        <v>24</v>
      </c>
      <c r="D109" s="315" t="str">
        <f>WEEKLY!B132</f>
        <v>TUSUK GIGI</v>
      </c>
      <c r="E109" s="265">
        <v>4000</v>
      </c>
      <c r="F109" s="257">
        <v>1</v>
      </c>
      <c r="G109" s="277">
        <v>0</v>
      </c>
      <c r="H109" s="277">
        <v>0</v>
      </c>
      <c r="I109" s="277"/>
      <c r="J109" s="277"/>
      <c r="K109" s="277"/>
      <c r="L109" s="277"/>
      <c r="M109" s="277"/>
      <c r="N109" s="277"/>
      <c r="O109" s="277"/>
      <c r="P109" s="277"/>
      <c r="Q109" s="277"/>
      <c r="R109" s="277"/>
      <c r="S109" s="277"/>
      <c r="T109" s="277"/>
      <c r="U109" s="277"/>
      <c r="V109" s="277"/>
      <c r="W109" s="277"/>
      <c r="X109" s="277"/>
      <c r="Y109" s="277"/>
      <c r="Z109" s="277"/>
      <c r="AA109" s="277"/>
      <c r="AB109" s="277"/>
      <c r="AC109" s="277"/>
      <c r="AD109" s="277"/>
      <c r="AE109" s="277"/>
      <c r="AF109" s="277"/>
      <c r="AG109" s="277"/>
      <c r="AH109" s="277"/>
      <c r="AI109" s="247">
        <f t="shared" si="7"/>
        <v>0</v>
      </c>
      <c r="AJ109" s="247">
        <f t="shared" si="7"/>
        <v>0</v>
      </c>
      <c r="AK109" s="247">
        <f>WEEKLY!F132</f>
        <v>2500</v>
      </c>
      <c r="AL109" s="247">
        <f>WEEKLY!D132</f>
        <v>0.5</v>
      </c>
      <c r="AM109" s="247">
        <f t="shared" si="8"/>
        <v>-2500</v>
      </c>
      <c r="AN109" s="248">
        <f t="shared" si="8"/>
        <v>-0.5</v>
      </c>
      <c r="AO109" s="280">
        <f t="shared" si="9"/>
        <v>-6500</v>
      </c>
    </row>
    <row r="110" spans="2:41" ht="24.95" customHeight="1" x14ac:dyDescent="0.25">
      <c r="B110" s="288"/>
      <c r="C110" s="230">
        <v>25</v>
      </c>
      <c r="D110" s="315" t="str">
        <f>WEEKLY!B133</f>
        <v>TUSUK SATE</v>
      </c>
      <c r="E110" s="265"/>
      <c r="F110" s="257">
        <v>0</v>
      </c>
      <c r="G110" s="277">
        <v>0</v>
      </c>
      <c r="H110" s="277">
        <v>0</v>
      </c>
      <c r="I110" s="277"/>
      <c r="J110" s="277"/>
      <c r="K110" s="277"/>
      <c r="L110" s="277"/>
      <c r="M110" s="277"/>
      <c r="N110" s="277"/>
      <c r="O110" s="277"/>
      <c r="P110" s="277"/>
      <c r="Q110" s="277"/>
      <c r="R110" s="277"/>
      <c r="S110" s="277"/>
      <c r="T110" s="277"/>
      <c r="U110" s="277"/>
      <c r="V110" s="277"/>
      <c r="W110" s="277"/>
      <c r="X110" s="277"/>
      <c r="Y110" s="277"/>
      <c r="Z110" s="277"/>
      <c r="AA110" s="277"/>
      <c r="AB110" s="277"/>
      <c r="AC110" s="277"/>
      <c r="AD110" s="277"/>
      <c r="AE110" s="277"/>
      <c r="AF110" s="277"/>
      <c r="AG110" s="277"/>
      <c r="AH110" s="277"/>
      <c r="AI110" s="247">
        <f t="shared" si="7"/>
        <v>0</v>
      </c>
      <c r="AJ110" s="247">
        <f t="shared" si="7"/>
        <v>0</v>
      </c>
      <c r="AK110" s="247">
        <f>WEEKLY!F133</f>
        <v>0</v>
      </c>
      <c r="AL110" s="247">
        <f>WEEKLY!D133</f>
        <v>0</v>
      </c>
      <c r="AM110" s="247"/>
      <c r="AN110" s="248">
        <f t="shared" si="8"/>
        <v>0</v>
      </c>
      <c r="AO110" s="280">
        <f t="shared" si="9"/>
        <v>0</v>
      </c>
    </row>
    <row r="111" spans="2:41" ht="24.95" customHeight="1" x14ac:dyDescent="0.25">
      <c r="B111" s="288"/>
      <c r="C111" s="230">
        <v>26</v>
      </c>
      <c r="D111" s="315">
        <f>WEEKLY!B134</f>
        <v>0</v>
      </c>
      <c r="E111" s="265">
        <v>0</v>
      </c>
      <c r="F111" s="257">
        <v>0</v>
      </c>
      <c r="G111" s="277">
        <v>0</v>
      </c>
      <c r="H111" s="277">
        <v>0</v>
      </c>
      <c r="I111" s="277"/>
      <c r="J111" s="277"/>
      <c r="K111" s="277"/>
      <c r="L111" s="277"/>
      <c r="M111" s="277"/>
      <c r="N111" s="277"/>
      <c r="O111" s="277"/>
      <c r="P111" s="277"/>
      <c r="Q111" s="277"/>
      <c r="R111" s="277"/>
      <c r="S111" s="277"/>
      <c r="T111" s="277"/>
      <c r="U111" s="277"/>
      <c r="V111" s="277"/>
      <c r="W111" s="277"/>
      <c r="X111" s="277"/>
      <c r="Y111" s="277"/>
      <c r="Z111" s="277"/>
      <c r="AA111" s="277"/>
      <c r="AB111" s="277"/>
      <c r="AC111" s="277"/>
      <c r="AD111" s="277"/>
      <c r="AE111" s="277"/>
      <c r="AF111" s="277"/>
      <c r="AG111" s="277"/>
      <c r="AH111" s="277"/>
      <c r="AI111" s="247">
        <f t="shared" si="7"/>
        <v>0</v>
      </c>
      <c r="AJ111" s="247">
        <f t="shared" si="7"/>
        <v>0</v>
      </c>
      <c r="AK111" s="247">
        <f>WEEKLY!F134</f>
        <v>0</v>
      </c>
      <c r="AL111" s="247">
        <f>WEEKLY!D134</f>
        <v>0</v>
      </c>
      <c r="AM111" s="247">
        <f t="shared" si="8"/>
        <v>0</v>
      </c>
      <c r="AN111" s="248">
        <f t="shared" si="8"/>
        <v>0</v>
      </c>
      <c r="AO111" s="280">
        <f t="shared" si="9"/>
        <v>0</v>
      </c>
    </row>
    <row r="112" spans="2:41" ht="24.95" customHeight="1" x14ac:dyDescent="0.25">
      <c r="B112" s="288"/>
      <c r="C112" s="230">
        <v>27</v>
      </c>
      <c r="D112" s="315" t="str">
        <f>WEEKLY!B135</f>
        <v>SENDOK PLASTIK</v>
      </c>
      <c r="E112" s="265">
        <v>-120</v>
      </c>
      <c r="F112" s="257">
        <v>-1</v>
      </c>
      <c r="G112" s="277">
        <v>9120</v>
      </c>
      <c r="H112" s="277">
        <v>76</v>
      </c>
      <c r="I112" s="277"/>
      <c r="J112" s="277"/>
      <c r="K112" s="277"/>
      <c r="L112" s="277"/>
      <c r="M112" s="277"/>
      <c r="N112" s="277"/>
      <c r="O112" s="277"/>
      <c r="P112" s="277"/>
      <c r="Q112" s="277"/>
      <c r="R112" s="277"/>
      <c r="S112" s="277"/>
      <c r="T112" s="277"/>
      <c r="U112" s="277"/>
      <c r="V112" s="277"/>
      <c r="W112" s="277"/>
      <c r="X112" s="277"/>
      <c r="Y112" s="277"/>
      <c r="Z112" s="277"/>
      <c r="AA112" s="277"/>
      <c r="AB112" s="277"/>
      <c r="AC112" s="277"/>
      <c r="AD112" s="277"/>
      <c r="AE112" s="277"/>
      <c r="AF112" s="277"/>
      <c r="AG112" s="277"/>
      <c r="AH112" s="277"/>
      <c r="AI112" s="247">
        <f t="shared" si="7"/>
        <v>0</v>
      </c>
      <c r="AJ112" s="247">
        <f t="shared" si="7"/>
        <v>0</v>
      </c>
      <c r="AK112" s="247">
        <f>WEEKLY!F135</f>
        <v>8760</v>
      </c>
      <c r="AL112" s="247">
        <f>WEEKLY!D135</f>
        <v>73</v>
      </c>
      <c r="AM112" s="247">
        <f t="shared" si="8"/>
        <v>360</v>
      </c>
      <c r="AN112" s="248">
        <f t="shared" si="8"/>
        <v>3</v>
      </c>
      <c r="AO112" s="280">
        <f t="shared" si="9"/>
        <v>480</v>
      </c>
    </row>
    <row r="113" spans="2:43" ht="24.95" customHeight="1" x14ac:dyDescent="0.25">
      <c r="B113" s="288"/>
      <c r="C113" s="230">
        <v>28</v>
      </c>
      <c r="D113" s="315" t="str">
        <f>WEEKLY!B136</f>
        <v>KARDUS CATRING</v>
      </c>
      <c r="E113" s="265">
        <v>0</v>
      </c>
      <c r="F113" s="257">
        <v>0</v>
      </c>
      <c r="G113" s="277">
        <v>39150</v>
      </c>
      <c r="H113" s="277">
        <v>5</v>
      </c>
      <c r="I113" s="277"/>
      <c r="J113" s="277"/>
      <c r="K113" s="277"/>
      <c r="L113" s="277"/>
      <c r="M113" s="277"/>
      <c r="N113" s="277"/>
      <c r="O113" s="277"/>
      <c r="P113" s="277"/>
      <c r="Q113" s="277"/>
      <c r="R113" s="277"/>
      <c r="S113" s="277"/>
      <c r="T113" s="277"/>
      <c r="U113" s="277"/>
      <c r="V113" s="277"/>
      <c r="W113" s="277"/>
      <c r="X113" s="277"/>
      <c r="Y113" s="277"/>
      <c r="Z113" s="277"/>
      <c r="AA113" s="277"/>
      <c r="AB113" s="277"/>
      <c r="AC113" s="277"/>
      <c r="AD113" s="277"/>
      <c r="AE113" s="277"/>
      <c r="AF113" s="277"/>
      <c r="AG113" s="277"/>
      <c r="AH113" s="277"/>
      <c r="AI113" s="247">
        <f t="shared" si="7"/>
        <v>0</v>
      </c>
      <c r="AJ113" s="247">
        <f t="shared" si="7"/>
        <v>0</v>
      </c>
      <c r="AK113" s="247">
        <f>WEEKLY!F136</f>
        <v>31320</v>
      </c>
      <c r="AL113" s="247">
        <f>WEEKLY!D136</f>
        <v>4</v>
      </c>
      <c r="AM113" s="247">
        <f t="shared" si="8"/>
        <v>7830</v>
      </c>
      <c r="AN113" s="248">
        <f t="shared" si="8"/>
        <v>1</v>
      </c>
      <c r="AO113" s="280">
        <f t="shared" si="9"/>
        <v>7830</v>
      </c>
    </row>
    <row r="114" spans="2:43" ht="24.95" customHeight="1" x14ac:dyDescent="0.25">
      <c r="B114" s="288"/>
      <c r="C114" s="230">
        <v>29</v>
      </c>
      <c r="D114" s="315" t="str">
        <f>WEEKLY!B137</f>
        <v>PAPER FRENCH FRIES POLOS</v>
      </c>
      <c r="E114" s="265">
        <v>8000</v>
      </c>
      <c r="F114" s="257">
        <v>1</v>
      </c>
      <c r="G114" s="277">
        <v>0</v>
      </c>
      <c r="H114" s="277">
        <v>0</v>
      </c>
      <c r="I114" s="277"/>
      <c r="J114" s="277"/>
      <c r="K114" s="277"/>
      <c r="L114" s="277"/>
      <c r="M114" s="277"/>
      <c r="N114" s="277"/>
      <c r="O114" s="277"/>
      <c r="P114" s="277"/>
      <c r="Q114" s="277"/>
      <c r="R114" s="277"/>
      <c r="S114" s="277"/>
      <c r="T114" s="277"/>
      <c r="U114" s="277"/>
      <c r="V114" s="277"/>
      <c r="W114" s="277"/>
      <c r="X114" s="277"/>
      <c r="Y114" s="277"/>
      <c r="Z114" s="277"/>
      <c r="AA114" s="277"/>
      <c r="AB114" s="277"/>
      <c r="AC114" s="277"/>
      <c r="AD114" s="277"/>
      <c r="AE114" s="277"/>
      <c r="AF114" s="277"/>
      <c r="AG114" s="277"/>
      <c r="AH114" s="277"/>
      <c r="AI114" s="247">
        <f t="shared" si="7"/>
        <v>0</v>
      </c>
      <c r="AJ114" s="247">
        <f t="shared" si="7"/>
        <v>0</v>
      </c>
      <c r="AK114" s="247">
        <f>WEEKLY!F137</f>
        <v>0</v>
      </c>
      <c r="AL114" s="247">
        <f>WEEKLY!D137</f>
        <v>0</v>
      </c>
      <c r="AM114" s="247">
        <f t="shared" si="8"/>
        <v>0</v>
      </c>
      <c r="AN114" s="248">
        <f t="shared" si="8"/>
        <v>0</v>
      </c>
      <c r="AO114" s="280">
        <f t="shared" si="9"/>
        <v>-8000</v>
      </c>
    </row>
    <row r="115" spans="2:43" ht="24.95" customHeight="1" x14ac:dyDescent="0.25">
      <c r="B115" s="288"/>
      <c r="C115" s="230">
        <v>30</v>
      </c>
      <c r="D115" s="315" t="str">
        <f>WEEKLY!B138</f>
        <v>HAND GLOVE</v>
      </c>
      <c r="E115" s="265">
        <v>-8000</v>
      </c>
      <c r="F115" s="257">
        <v>-1</v>
      </c>
      <c r="G115" s="277">
        <v>8000</v>
      </c>
      <c r="H115" s="277">
        <v>1</v>
      </c>
      <c r="I115" s="277"/>
      <c r="J115" s="277"/>
      <c r="K115" s="277"/>
      <c r="L115" s="277"/>
      <c r="M115" s="277"/>
      <c r="N115" s="277"/>
      <c r="O115" s="277"/>
      <c r="P115" s="277"/>
      <c r="Q115" s="277"/>
      <c r="R115" s="277"/>
      <c r="S115" s="277"/>
      <c r="T115" s="277"/>
      <c r="U115" s="277"/>
      <c r="V115" s="277"/>
      <c r="W115" s="277"/>
      <c r="X115" s="277"/>
      <c r="Y115" s="277"/>
      <c r="Z115" s="277"/>
      <c r="AA115" s="277"/>
      <c r="AB115" s="277"/>
      <c r="AC115" s="277"/>
      <c r="AD115" s="277"/>
      <c r="AE115" s="277"/>
      <c r="AF115" s="277"/>
      <c r="AG115" s="277"/>
      <c r="AH115" s="277"/>
      <c r="AI115" s="247">
        <f t="shared" si="7"/>
        <v>0</v>
      </c>
      <c r="AJ115" s="247">
        <f t="shared" si="7"/>
        <v>0</v>
      </c>
      <c r="AK115" s="247">
        <f>WEEKLY!F138</f>
        <v>8000</v>
      </c>
      <c r="AL115" s="247">
        <f>WEEKLY!D138</f>
        <v>1</v>
      </c>
      <c r="AM115" s="247">
        <f t="shared" si="8"/>
        <v>0</v>
      </c>
      <c r="AN115" s="248">
        <f t="shared" si="8"/>
        <v>0</v>
      </c>
      <c r="AO115" s="280">
        <f t="shared" si="9"/>
        <v>8000</v>
      </c>
    </row>
    <row r="116" spans="2:43" ht="24.95" customHeight="1" x14ac:dyDescent="0.25">
      <c r="B116" s="288"/>
      <c r="C116" s="230">
        <v>31</v>
      </c>
      <c r="D116" s="315">
        <f>WEEKLY!B139</f>
        <v>0</v>
      </c>
      <c r="E116" s="265">
        <v>0</v>
      </c>
      <c r="F116" s="257">
        <v>0</v>
      </c>
      <c r="G116" s="277">
        <v>0</v>
      </c>
      <c r="H116" s="277">
        <v>0</v>
      </c>
      <c r="I116" s="277"/>
      <c r="J116" s="277"/>
      <c r="K116" s="277"/>
      <c r="L116" s="277"/>
      <c r="M116" s="277"/>
      <c r="N116" s="277"/>
      <c r="O116" s="277"/>
      <c r="P116" s="277"/>
      <c r="Q116" s="277"/>
      <c r="R116" s="277"/>
      <c r="S116" s="277"/>
      <c r="T116" s="277"/>
      <c r="U116" s="277"/>
      <c r="V116" s="277"/>
      <c r="W116" s="277"/>
      <c r="X116" s="277"/>
      <c r="Y116" s="277"/>
      <c r="Z116" s="277"/>
      <c r="AA116" s="277"/>
      <c r="AB116" s="277"/>
      <c r="AC116" s="277"/>
      <c r="AD116" s="277"/>
      <c r="AE116" s="277"/>
      <c r="AF116" s="277"/>
      <c r="AG116" s="277"/>
      <c r="AH116" s="277"/>
      <c r="AI116" s="247">
        <f t="shared" si="7"/>
        <v>0</v>
      </c>
      <c r="AJ116" s="247">
        <f t="shared" si="7"/>
        <v>0</v>
      </c>
      <c r="AK116" s="247">
        <f>WEEKLY!F139</f>
        <v>0</v>
      </c>
      <c r="AL116" s="247">
        <f>WEEKLY!D139</f>
        <v>0</v>
      </c>
      <c r="AM116" s="247">
        <f t="shared" si="8"/>
        <v>0</v>
      </c>
      <c r="AN116" s="248">
        <f t="shared" si="8"/>
        <v>0</v>
      </c>
      <c r="AO116" s="280">
        <f t="shared" si="9"/>
        <v>0</v>
      </c>
    </row>
    <row r="117" spans="2:43" ht="24.95" customHeight="1" x14ac:dyDescent="0.25">
      <c r="B117" s="288"/>
      <c r="C117" s="230">
        <v>32</v>
      </c>
      <c r="D117" s="315">
        <f>WEEKLY!B140</f>
        <v>0</v>
      </c>
      <c r="E117" s="265">
        <v>0</v>
      </c>
      <c r="F117" s="257">
        <v>0</v>
      </c>
      <c r="G117" s="277">
        <v>0</v>
      </c>
      <c r="H117" s="277">
        <v>0</v>
      </c>
      <c r="I117" s="277"/>
      <c r="J117" s="277"/>
      <c r="K117" s="277"/>
      <c r="L117" s="277"/>
      <c r="M117" s="277"/>
      <c r="N117" s="277"/>
      <c r="O117" s="277"/>
      <c r="P117" s="277"/>
      <c r="Q117" s="277"/>
      <c r="R117" s="277"/>
      <c r="S117" s="277"/>
      <c r="T117" s="277"/>
      <c r="U117" s="277"/>
      <c r="V117" s="277"/>
      <c r="W117" s="277"/>
      <c r="X117" s="277"/>
      <c r="Y117" s="277"/>
      <c r="Z117" s="277"/>
      <c r="AA117" s="277"/>
      <c r="AB117" s="277"/>
      <c r="AC117" s="277"/>
      <c r="AD117" s="277"/>
      <c r="AE117" s="277"/>
      <c r="AF117" s="277"/>
      <c r="AG117" s="277"/>
      <c r="AH117" s="277"/>
      <c r="AI117" s="247">
        <f t="shared" si="7"/>
        <v>0</v>
      </c>
      <c r="AJ117" s="247">
        <f t="shared" si="7"/>
        <v>0</v>
      </c>
      <c r="AK117" s="247">
        <f>WEEKLY!F140</f>
        <v>0</v>
      </c>
      <c r="AL117" s="247">
        <f>WEEKLY!D140</f>
        <v>0</v>
      </c>
      <c r="AM117" s="247">
        <f t="shared" si="8"/>
        <v>0</v>
      </c>
      <c r="AN117" s="248">
        <f t="shared" si="8"/>
        <v>0</v>
      </c>
      <c r="AO117" s="280">
        <f t="shared" si="9"/>
        <v>0</v>
      </c>
    </row>
    <row r="118" spans="2:43" ht="24.95" customHeight="1" x14ac:dyDescent="0.25">
      <c r="B118" s="288"/>
      <c r="C118" s="230">
        <v>33</v>
      </c>
      <c r="D118" s="315">
        <f>WEEKLY!B141</f>
        <v>0</v>
      </c>
      <c r="E118" s="265">
        <v>0</v>
      </c>
      <c r="F118" s="257">
        <v>0</v>
      </c>
      <c r="G118" s="277">
        <v>0</v>
      </c>
      <c r="H118" s="277">
        <v>0</v>
      </c>
      <c r="I118" s="277"/>
      <c r="J118" s="277"/>
      <c r="K118" s="277"/>
      <c r="L118" s="277"/>
      <c r="M118" s="277"/>
      <c r="N118" s="277"/>
      <c r="O118" s="277"/>
      <c r="P118" s="277"/>
      <c r="Q118" s="277"/>
      <c r="R118" s="277"/>
      <c r="S118" s="277"/>
      <c r="T118" s="277"/>
      <c r="U118" s="277"/>
      <c r="V118" s="277"/>
      <c r="W118" s="277"/>
      <c r="X118" s="277"/>
      <c r="Y118" s="277"/>
      <c r="Z118" s="277"/>
      <c r="AA118" s="277"/>
      <c r="AB118" s="277"/>
      <c r="AC118" s="277"/>
      <c r="AD118" s="277"/>
      <c r="AE118" s="277"/>
      <c r="AF118" s="277"/>
      <c r="AG118" s="277"/>
      <c r="AH118" s="277"/>
      <c r="AI118" s="247">
        <f t="shared" si="7"/>
        <v>0</v>
      </c>
      <c r="AJ118" s="247">
        <f t="shared" si="7"/>
        <v>0</v>
      </c>
      <c r="AK118" s="247">
        <f>WEEKLY!F141</f>
        <v>0</v>
      </c>
      <c r="AL118" s="247">
        <f>WEEKLY!D141</f>
        <v>0</v>
      </c>
      <c r="AM118" s="247">
        <f t="shared" si="8"/>
        <v>0</v>
      </c>
      <c r="AN118" s="248">
        <f t="shared" si="8"/>
        <v>0</v>
      </c>
    </row>
    <row r="119" spans="2:43" ht="24.95" customHeight="1" thickBot="1" x14ac:dyDescent="0.3">
      <c r="B119" s="288"/>
      <c r="C119" s="230">
        <v>34</v>
      </c>
      <c r="D119" s="315">
        <f>WEEKLY!B142</f>
        <v>0</v>
      </c>
      <c r="E119" s="265">
        <v>0</v>
      </c>
      <c r="F119" s="257">
        <v>0</v>
      </c>
      <c r="G119" s="277">
        <v>0</v>
      </c>
      <c r="H119" s="277">
        <v>0</v>
      </c>
      <c r="I119" s="277"/>
      <c r="J119" s="277"/>
      <c r="K119" s="277"/>
      <c r="L119" s="277"/>
      <c r="M119" s="277"/>
      <c r="N119" s="277"/>
      <c r="O119" s="277"/>
      <c r="P119" s="277"/>
      <c r="Q119" s="277"/>
      <c r="R119" s="277"/>
      <c r="S119" s="277"/>
      <c r="T119" s="277"/>
      <c r="U119" s="277"/>
      <c r="V119" s="277"/>
      <c r="W119" s="277"/>
      <c r="X119" s="277"/>
      <c r="Y119" s="277"/>
      <c r="Z119" s="277"/>
      <c r="AA119" s="277"/>
      <c r="AB119" s="277"/>
      <c r="AC119" s="277"/>
      <c r="AD119" s="277"/>
      <c r="AE119" s="277"/>
      <c r="AF119" s="277"/>
      <c r="AG119" s="277"/>
      <c r="AH119" s="277"/>
      <c r="AI119" s="278">
        <f t="shared" si="7"/>
        <v>0</v>
      </c>
      <c r="AJ119" s="278">
        <f t="shared" si="7"/>
        <v>0</v>
      </c>
      <c r="AK119" s="247">
        <f>WEEKLY!F142</f>
        <v>0</v>
      </c>
      <c r="AL119" s="247">
        <f>WEEKLY!D142</f>
        <v>0</v>
      </c>
      <c r="AM119" s="247">
        <f t="shared" si="8"/>
        <v>0</v>
      </c>
      <c r="AN119" s="279">
        <f t="shared" si="8"/>
        <v>0</v>
      </c>
      <c r="AO119" s="215" t="s">
        <v>164</v>
      </c>
      <c r="AP119" s="280">
        <f>SUM(AM86:AM119)</f>
        <v>2407123.2000000002</v>
      </c>
    </row>
    <row r="120" spans="2:43" ht="24.95" customHeight="1" thickBot="1" x14ac:dyDescent="0.3">
      <c r="B120" s="311"/>
      <c r="C120" s="330"/>
      <c r="D120" s="311" t="s">
        <v>165</v>
      </c>
      <c r="E120" s="1314"/>
      <c r="F120" s="1315"/>
      <c r="G120" s="1299">
        <f>SUM(G86:G119)</f>
        <v>2273313.6</v>
      </c>
      <c r="H120" s="1300"/>
      <c r="I120" s="1299"/>
      <c r="J120" s="1300"/>
      <c r="K120" s="1299"/>
      <c r="L120" s="1300"/>
      <c r="M120" s="1299"/>
      <c r="N120" s="1300"/>
      <c r="O120" s="1299"/>
      <c r="P120" s="1300"/>
      <c r="Q120" s="1299"/>
      <c r="R120" s="1300"/>
      <c r="S120" s="1299"/>
      <c r="T120" s="1300"/>
      <c r="U120" s="1299"/>
      <c r="V120" s="1300"/>
      <c r="W120" s="1299"/>
      <c r="X120" s="1300"/>
      <c r="Y120" s="1299"/>
      <c r="Z120" s="1300"/>
      <c r="AA120" s="1299"/>
      <c r="AB120" s="1300"/>
      <c r="AC120" s="1299">
        <f>SUM(AC86:AC119)</f>
        <v>0</v>
      </c>
      <c r="AD120" s="1300"/>
      <c r="AE120" s="1299">
        <f>SUM(AE86:AE119)</f>
        <v>6579650</v>
      </c>
      <c r="AF120" s="1300"/>
      <c r="AG120" s="1299">
        <f>SUM(AG86:AG119)</f>
        <v>0</v>
      </c>
      <c r="AH120" s="1300"/>
      <c r="AI120" s="1299">
        <f>SUM(I120:AH120)</f>
        <v>6579650</v>
      </c>
      <c r="AJ120" s="1300"/>
      <c r="AK120" s="1299">
        <f>SUM(AK86:AK119)</f>
        <v>6867740.4000000004</v>
      </c>
      <c r="AL120" s="1300"/>
      <c r="AM120" s="1299">
        <f>SUM(AM86:AM119)</f>
        <v>2407123.2000000002</v>
      </c>
      <c r="AN120" s="1301"/>
    </row>
    <row r="121" spans="2:43" ht="30" customHeight="1" thickBot="1" x14ac:dyDescent="0.3">
      <c r="B121" s="1262" t="s">
        <v>92</v>
      </c>
      <c r="C121" s="331">
        <v>1</v>
      </c>
      <c r="D121" s="283" t="str">
        <f>WEEKLY!B146</f>
        <v>MINYAK FREYER</v>
      </c>
      <c r="E121" s="332">
        <v>2024910.4</v>
      </c>
      <c r="F121" s="333">
        <v>86</v>
      </c>
      <c r="G121" s="333">
        <v>1811408.83</v>
      </c>
      <c r="H121" s="334">
        <v>77</v>
      </c>
      <c r="I121" s="333"/>
      <c r="J121" s="333"/>
      <c r="K121" s="333"/>
      <c r="L121" s="333"/>
      <c r="M121" s="333"/>
      <c r="N121" s="333"/>
      <c r="O121" s="333"/>
      <c r="P121" s="333"/>
      <c r="Q121" s="333"/>
      <c r="R121" s="333"/>
      <c r="S121" s="333"/>
      <c r="T121" s="333"/>
      <c r="U121" s="333"/>
      <c r="V121" s="333"/>
      <c r="W121" s="333"/>
      <c r="X121" s="333"/>
      <c r="Y121" s="333"/>
      <c r="Z121" s="333"/>
      <c r="AA121" s="333"/>
      <c r="AB121" s="333"/>
      <c r="AC121" s="333"/>
      <c r="AD121" s="333"/>
      <c r="AE121" s="333"/>
      <c r="AF121" s="333"/>
      <c r="AG121" s="333"/>
      <c r="AH121" s="333"/>
      <c r="AI121" s="286">
        <f t="shared" ref="AI121:AJ150" si="10">SUM(I121,K121,M121,O121,Q121,S121,U121,W121,Y121,AA121,AC121,AE121,AG121)</f>
        <v>0</v>
      </c>
      <c r="AJ121" s="285">
        <f t="shared" si="10"/>
        <v>0</v>
      </c>
      <c r="AK121" s="286">
        <f>WEEKLY!F146</f>
        <v>705743.70000000007</v>
      </c>
      <c r="AL121" s="335">
        <f>WEEKLY!D146</f>
        <v>30</v>
      </c>
      <c r="AM121" s="286">
        <f t="shared" ref="AM121:AN150" si="11">G121+AI121-AK121</f>
        <v>1105665.1299999999</v>
      </c>
      <c r="AN121" s="336">
        <f t="shared" si="11"/>
        <v>47</v>
      </c>
      <c r="AP121" s="337" t="e">
        <f>AM121/'[1]IKHTISAR FOOD COST'!B48</f>
        <v>#DIV/0!</v>
      </c>
      <c r="AQ121" s="338"/>
    </row>
    <row r="122" spans="2:43" ht="30" customHeight="1" thickBot="1" x14ac:dyDescent="0.3">
      <c r="B122" s="1316"/>
      <c r="C122" s="339">
        <v>2</v>
      </c>
      <c r="D122" s="283" t="str">
        <f>WEEKLY!B147</f>
        <v>MINYAK WAJAN</v>
      </c>
      <c r="E122" s="340">
        <v>0</v>
      </c>
      <c r="F122" s="278">
        <v>0</v>
      </c>
      <c r="G122" s="278">
        <v>0</v>
      </c>
      <c r="H122" s="278">
        <v>0</v>
      </c>
      <c r="I122" s="278"/>
      <c r="J122" s="278"/>
      <c r="K122" s="278"/>
      <c r="L122" s="278"/>
      <c r="M122" s="278"/>
      <c r="N122" s="278"/>
      <c r="O122" s="278"/>
      <c r="P122" s="278"/>
      <c r="Q122" s="278"/>
      <c r="R122" s="278"/>
      <c r="S122" s="278"/>
      <c r="T122" s="278"/>
      <c r="U122" s="278"/>
      <c r="V122" s="278"/>
      <c r="W122" s="278"/>
      <c r="X122" s="278"/>
      <c r="Y122" s="278"/>
      <c r="Z122" s="278"/>
      <c r="AA122" s="278"/>
      <c r="AB122" s="278"/>
      <c r="AC122" s="278"/>
      <c r="AD122" s="278"/>
      <c r="AE122" s="278"/>
      <c r="AF122" s="278"/>
      <c r="AG122" s="278"/>
      <c r="AH122" s="278"/>
      <c r="AI122" s="278">
        <f t="shared" si="10"/>
        <v>0</v>
      </c>
      <c r="AJ122" s="293">
        <f t="shared" si="10"/>
        <v>0</v>
      </c>
      <c r="AK122" s="277">
        <f>WEEKLY!F147</f>
        <v>0</v>
      </c>
      <c r="AL122" s="278">
        <f>WEEKLY!D147</f>
        <v>0</v>
      </c>
      <c r="AM122" s="278">
        <f t="shared" si="11"/>
        <v>0</v>
      </c>
      <c r="AN122" s="279">
        <f t="shared" si="11"/>
        <v>0</v>
      </c>
      <c r="AO122" s="215" t="s">
        <v>92</v>
      </c>
      <c r="AP122" s="280">
        <f>SUM(AM121:AM122)</f>
        <v>1105665.1299999999</v>
      </c>
      <c r="AQ122" s="338"/>
    </row>
    <row r="123" spans="2:43" ht="30" customHeight="1" x14ac:dyDescent="0.25">
      <c r="B123" s="341"/>
      <c r="C123" s="329">
        <v>1</v>
      </c>
      <c r="D123" s="283" t="s">
        <v>166</v>
      </c>
      <c r="E123" s="246">
        <v>78230</v>
      </c>
      <c r="F123" s="247">
        <v>0</v>
      </c>
      <c r="G123" s="247">
        <v>23200</v>
      </c>
      <c r="H123" s="247"/>
      <c r="I123" s="247">
        <v>10000</v>
      </c>
      <c r="J123" s="247"/>
      <c r="K123" s="247">
        <v>15000</v>
      </c>
      <c r="L123" s="247"/>
      <c r="M123" s="247">
        <v>147000</v>
      </c>
      <c r="N123" s="247"/>
      <c r="O123" s="247"/>
      <c r="P123" s="247"/>
      <c r="Q123" s="247"/>
      <c r="R123" s="247"/>
      <c r="S123" s="247">
        <v>17000</v>
      </c>
      <c r="T123" s="247"/>
      <c r="U123" s="247">
        <v>16000</v>
      </c>
      <c r="V123" s="247"/>
      <c r="W123" s="247"/>
      <c r="X123" s="247"/>
      <c r="Y123" s="247"/>
      <c r="Z123" s="247"/>
      <c r="AA123" s="247"/>
      <c r="AB123" s="247"/>
      <c r="AC123" s="257">
        <f>-('TO-TI'!S15+'TO-TI'!S16+'TO-TI'!S17+'TO-TI'!D7+'TO-TI'!D9+'TO-TI'!D11+'TO-TI'!D12+'TO-TI'!D14+'TO-TI'!D15+'TO-TI'!D16)</f>
        <v>-141186</v>
      </c>
      <c r="AD123" s="257"/>
      <c r="AE123" s="247"/>
      <c r="AF123" s="247"/>
      <c r="AG123" s="247"/>
      <c r="AH123" s="247"/>
      <c r="AI123" s="247">
        <f t="shared" si="10"/>
        <v>63814</v>
      </c>
      <c r="AJ123" s="286">
        <f t="shared" si="10"/>
        <v>0</v>
      </c>
      <c r="AK123" s="286">
        <f>WEEKLY!I281</f>
        <v>66000</v>
      </c>
      <c r="AL123" s="247"/>
      <c r="AM123" s="247">
        <f t="shared" si="11"/>
        <v>21014</v>
      </c>
      <c r="AN123" s="248">
        <f t="shared" si="11"/>
        <v>0</v>
      </c>
      <c r="AO123" s="280">
        <f>AM123-E123</f>
        <v>-57216</v>
      </c>
      <c r="AQ123" s="280"/>
    </row>
    <row r="124" spans="2:43" ht="30" customHeight="1" x14ac:dyDescent="0.25">
      <c r="B124" s="341"/>
      <c r="C124" s="329">
        <v>2</v>
      </c>
      <c r="D124" s="290" t="s">
        <v>167</v>
      </c>
      <c r="E124" s="265">
        <v>550114.24</v>
      </c>
      <c r="F124" s="257">
        <v>0</v>
      </c>
      <c r="G124" s="257">
        <v>81000</v>
      </c>
      <c r="H124" s="257"/>
      <c r="I124" s="257">
        <v>47000</v>
      </c>
      <c r="J124" s="257"/>
      <c r="K124" s="257">
        <v>21000</v>
      </c>
      <c r="L124" s="257"/>
      <c r="M124" s="257">
        <v>51000</v>
      </c>
      <c r="N124" s="257"/>
      <c r="O124" s="257">
        <v>32000</v>
      </c>
      <c r="P124" s="257"/>
      <c r="Q124" s="257">
        <v>250000</v>
      </c>
      <c r="R124" s="257"/>
      <c r="S124" s="257">
        <v>59000</v>
      </c>
      <c r="T124" s="257"/>
      <c r="U124" s="257">
        <v>10000</v>
      </c>
      <c r="V124" s="257"/>
      <c r="W124" s="257"/>
      <c r="X124" s="257"/>
      <c r="Y124" s="257"/>
      <c r="Z124" s="257"/>
      <c r="AA124" s="257"/>
      <c r="AB124" s="257"/>
      <c r="AC124" s="257">
        <f>-('TO-TI'!S13+'TO-TI'!D10)</f>
        <v>-1161</v>
      </c>
      <c r="AD124" s="257"/>
      <c r="AE124" s="257"/>
      <c r="AF124" s="257"/>
      <c r="AG124" s="257"/>
      <c r="AH124" s="257"/>
      <c r="AI124" s="247">
        <f t="shared" si="10"/>
        <v>468839</v>
      </c>
      <c r="AJ124" s="247">
        <f t="shared" si="10"/>
        <v>0</v>
      </c>
      <c r="AK124" s="257">
        <f>WEEKLY!I303</f>
        <v>311203.09999999998</v>
      </c>
      <c r="AL124" s="257"/>
      <c r="AM124" s="247">
        <f t="shared" si="11"/>
        <v>238635.90000000002</v>
      </c>
      <c r="AN124" s="248">
        <f t="shared" si="11"/>
        <v>0</v>
      </c>
      <c r="AO124" s="280">
        <f t="shared" ref="AO124:AO149" si="12">AM124-E124</f>
        <v>-311478.33999999997</v>
      </c>
    </row>
    <row r="125" spans="2:43" ht="30" customHeight="1" x14ac:dyDescent="0.25">
      <c r="B125" s="341"/>
      <c r="C125" s="329">
        <v>3</v>
      </c>
      <c r="D125" s="290" t="str">
        <f>WEEKLY!B304</f>
        <v>MARINADE KARKAS</v>
      </c>
      <c r="E125" s="265">
        <v>0</v>
      </c>
      <c r="F125" s="260">
        <v>0</v>
      </c>
      <c r="G125" s="257">
        <v>0</v>
      </c>
      <c r="H125" s="260">
        <v>0</v>
      </c>
      <c r="I125" s="257"/>
      <c r="J125" s="260"/>
      <c r="K125" s="257"/>
      <c r="L125" s="260"/>
      <c r="M125" s="257"/>
      <c r="N125" s="260"/>
      <c r="O125" s="257"/>
      <c r="P125" s="260"/>
      <c r="Q125" s="257"/>
      <c r="R125" s="260"/>
      <c r="S125" s="257"/>
      <c r="T125" s="260"/>
      <c r="U125" s="257"/>
      <c r="V125" s="260"/>
      <c r="W125" s="257"/>
      <c r="X125" s="260"/>
      <c r="Y125" s="257"/>
      <c r="Z125" s="260"/>
      <c r="AA125" s="257"/>
      <c r="AB125" s="260"/>
      <c r="AC125" s="257"/>
      <c r="AD125" s="260"/>
      <c r="AE125" s="257"/>
      <c r="AF125" s="260"/>
      <c r="AG125" s="257">
        <f>AQ15</f>
        <v>0</v>
      </c>
      <c r="AH125" s="260">
        <f>AR15</f>
        <v>0</v>
      </c>
      <c r="AI125" s="247">
        <f t="shared" si="10"/>
        <v>0</v>
      </c>
      <c r="AJ125" s="256">
        <f t="shared" si="10"/>
        <v>0</v>
      </c>
      <c r="AK125" s="257">
        <f>WEEKLY!F304</f>
        <v>0</v>
      </c>
      <c r="AL125" s="342">
        <f>WEEKLY!D304</f>
        <v>0</v>
      </c>
      <c r="AM125" s="247">
        <f t="shared" si="11"/>
        <v>0</v>
      </c>
      <c r="AN125" s="287">
        <f t="shared" si="11"/>
        <v>0</v>
      </c>
      <c r="AO125" s="280">
        <f t="shared" si="12"/>
        <v>0</v>
      </c>
    </row>
    <row r="126" spans="2:43" ht="30" customHeight="1" x14ac:dyDescent="0.25">
      <c r="B126" s="341"/>
      <c r="C126" s="329">
        <v>4</v>
      </c>
      <c r="D126" s="290" t="str">
        <f>WEEKLY!B305</f>
        <v>MARINADE WHOLE</v>
      </c>
      <c r="E126" s="265">
        <v>0</v>
      </c>
      <c r="F126" s="257">
        <v>0</v>
      </c>
      <c r="G126" s="257">
        <v>0</v>
      </c>
      <c r="H126" s="257">
        <v>0</v>
      </c>
      <c r="I126" s="257"/>
      <c r="J126" s="257"/>
      <c r="K126" s="257"/>
      <c r="L126" s="257"/>
      <c r="M126" s="257"/>
      <c r="N126" s="257"/>
      <c r="O126" s="257"/>
      <c r="P126" s="257"/>
      <c r="Q126" s="257"/>
      <c r="R126" s="257"/>
      <c r="S126" s="257"/>
      <c r="T126" s="257"/>
      <c r="U126" s="257"/>
      <c r="V126" s="257"/>
      <c r="W126" s="257"/>
      <c r="X126" s="257"/>
      <c r="Y126" s="257"/>
      <c r="Z126" s="257"/>
      <c r="AA126" s="257"/>
      <c r="AB126" s="257"/>
      <c r="AC126" s="257"/>
      <c r="AD126" s="257"/>
      <c r="AE126" s="257"/>
      <c r="AF126" s="257"/>
      <c r="AG126" s="257"/>
      <c r="AH126" s="257"/>
      <c r="AI126" s="247">
        <f t="shared" si="10"/>
        <v>0</v>
      </c>
      <c r="AJ126" s="247">
        <f t="shared" si="10"/>
        <v>0</v>
      </c>
      <c r="AK126" s="257">
        <f>WEEKLY!F305</f>
        <v>0</v>
      </c>
      <c r="AL126" s="342">
        <f>WEEKLY!D305</f>
        <v>0</v>
      </c>
      <c r="AM126" s="247">
        <f t="shared" si="11"/>
        <v>0</v>
      </c>
      <c r="AN126" s="248">
        <f t="shared" si="11"/>
        <v>0</v>
      </c>
      <c r="AO126" s="280">
        <f t="shared" si="12"/>
        <v>0</v>
      </c>
    </row>
    <row r="127" spans="2:43" ht="30" customHeight="1" x14ac:dyDescent="0.25">
      <c r="B127" s="341"/>
      <c r="C127" s="329">
        <v>5</v>
      </c>
      <c r="D127" s="290">
        <f>WEEKLY!B306</f>
        <v>0</v>
      </c>
      <c r="E127" s="265">
        <v>0</v>
      </c>
      <c r="F127" s="260">
        <v>0</v>
      </c>
      <c r="G127" s="257">
        <v>0</v>
      </c>
      <c r="H127" s="260">
        <v>0</v>
      </c>
      <c r="I127" s="257"/>
      <c r="J127" s="257"/>
      <c r="K127" s="257"/>
      <c r="L127" s="257"/>
      <c r="M127" s="257"/>
      <c r="N127" s="257"/>
      <c r="O127" s="257"/>
      <c r="P127" s="257"/>
      <c r="Q127" s="257"/>
      <c r="R127" s="257"/>
      <c r="S127" s="257"/>
      <c r="T127" s="257"/>
      <c r="U127" s="257"/>
      <c r="V127" s="257"/>
      <c r="W127" s="257"/>
      <c r="X127" s="257"/>
      <c r="Y127" s="257"/>
      <c r="Z127" s="257"/>
      <c r="AA127" s="257"/>
      <c r="AB127" s="257"/>
      <c r="AC127" s="257"/>
      <c r="AD127" s="257"/>
      <c r="AE127" s="257"/>
      <c r="AF127" s="257"/>
      <c r="AG127" s="257"/>
      <c r="AH127" s="257"/>
      <c r="AI127" s="247">
        <f t="shared" si="10"/>
        <v>0</v>
      </c>
      <c r="AJ127" s="247">
        <f t="shared" si="10"/>
        <v>0</v>
      </c>
      <c r="AK127" s="257">
        <f>WEEKLY!F306</f>
        <v>0</v>
      </c>
      <c r="AL127" s="342">
        <f>WEEKLY!D306</f>
        <v>0</v>
      </c>
      <c r="AM127" s="247">
        <f t="shared" si="11"/>
        <v>0</v>
      </c>
      <c r="AN127" s="287">
        <f t="shared" si="11"/>
        <v>0</v>
      </c>
      <c r="AO127" s="280">
        <f t="shared" si="12"/>
        <v>0</v>
      </c>
    </row>
    <row r="128" spans="2:43" ht="30" customHeight="1" x14ac:dyDescent="0.25">
      <c r="B128" s="341"/>
      <c r="C128" s="329">
        <v>6</v>
      </c>
      <c r="D128" s="290" t="str">
        <f>WEEKLY!B307</f>
        <v>BUTTER MIX</v>
      </c>
      <c r="E128" s="265">
        <v>24990</v>
      </c>
      <c r="F128" s="257">
        <v>2</v>
      </c>
      <c r="G128" s="257">
        <v>49980</v>
      </c>
      <c r="H128" s="257">
        <v>4</v>
      </c>
      <c r="I128" s="257"/>
      <c r="J128" s="257"/>
      <c r="K128" s="257"/>
      <c r="L128" s="257"/>
      <c r="M128" s="257"/>
      <c r="N128" s="257"/>
      <c r="O128" s="257"/>
      <c r="P128" s="257"/>
      <c r="Q128" s="257"/>
      <c r="R128" s="257"/>
      <c r="S128" s="257"/>
      <c r="T128" s="257"/>
      <c r="U128" s="257"/>
      <c r="V128" s="257"/>
      <c r="W128" s="257"/>
      <c r="X128" s="257"/>
      <c r="Y128" s="257"/>
      <c r="Z128" s="257"/>
      <c r="AA128" s="257"/>
      <c r="AB128" s="257"/>
      <c r="AC128" s="257"/>
      <c r="AD128" s="257"/>
      <c r="AE128" s="257"/>
      <c r="AF128" s="257"/>
      <c r="AG128" s="257"/>
      <c r="AH128" s="257"/>
      <c r="AI128" s="247">
        <f t="shared" si="10"/>
        <v>0</v>
      </c>
      <c r="AJ128" s="247">
        <f t="shared" si="10"/>
        <v>0</v>
      </c>
      <c r="AK128" s="257">
        <f>WEEKLY!F307</f>
        <v>37485</v>
      </c>
      <c r="AL128" s="342">
        <f>WEEKLY!D307</f>
        <v>3</v>
      </c>
      <c r="AM128" s="247">
        <f t="shared" si="11"/>
        <v>12495</v>
      </c>
      <c r="AN128" s="248">
        <f t="shared" si="11"/>
        <v>1</v>
      </c>
      <c r="AO128" s="280">
        <f t="shared" si="12"/>
        <v>-12495</v>
      </c>
    </row>
    <row r="129" spans="2:42" ht="30" customHeight="1" x14ac:dyDescent="0.25">
      <c r="B129" s="341"/>
      <c r="C129" s="329">
        <v>7</v>
      </c>
      <c r="D129" s="290" t="str">
        <f>WEEKLY!B308</f>
        <v>MAYONASE</v>
      </c>
      <c r="E129" s="265">
        <v>33000</v>
      </c>
      <c r="F129" s="257">
        <v>1</v>
      </c>
      <c r="G129" s="257">
        <v>0</v>
      </c>
      <c r="H129" s="257">
        <v>0</v>
      </c>
      <c r="I129" s="257"/>
      <c r="J129" s="257"/>
      <c r="K129" s="257"/>
      <c r="L129" s="257"/>
      <c r="M129" s="257"/>
      <c r="N129" s="257"/>
      <c r="O129" s="257"/>
      <c r="P129" s="257"/>
      <c r="Q129" s="257"/>
      <c r="R129" s="257"/>
      <c r="S129" s="257"/>
      <c r="T129" s="257"/>
      <c r="U129" s="257"/>
      <c r="V129" s="257"/>
      <c r="W129" s="257"/>
      <c r="X129" s="257"/>
      <c r="Y129" s="257"/>
      <c r="Z129" s="257"/>
      <c r="AA129" s="257"/>
      <c r="AB129" s="257"/>
      <c r="AC129" s="257"/>
      <c r="AD129" s="257"/>
      <c r="AE129" s="257"/>
      <c r="AF129" s="257"/>
      <c r="AG129" s="257"/>
      <c r="AH129" s="257"/>
      <c r="AI129" s="247">
        <f t="shared" si="10"/>
        <v>0</v>
      </c>
      <c r="AJ129" s="247">
        <f t="shared" si="10"/>
        <v>0</v>
      </c>
      <c r="AK129" s="257">
        <f>WEEKLY!F308</f>
        <v>0</v>
      </c>
      <c r="AL129" s="342">
        <f>WEEKLY!D308</f>
        <v>0</v>
      </c>
      <c r="AM129" s="247">
        <f t="shared" si="11"/>
        <v>0</v>
      </c>
      <c r="AN129" s="248">
        <f t="shared" si="11"/>
        <v>0</v>
      </c>
      <c r="AO129" s="280">
        <f t="shared" si="12"/>
        <v>-33000</v>
      </c>
      <c r="AP129" s="280"/>
    </row>
    <row r="130" spans="2:42" ht="30" customHeight="1" x14ac:dyDescent="0.25">
      <c r="B130" s="341"/>
      <c r="C130" s="329">
        <v>8</v>
      </c>
      <c r="D130" s="290" t="str">
        <f>WEEKLY!B309</f>
        <v>SAOS BLACKPEPPER</v>
      </c>
      <c r="E130" s="265">
        <v>50400</v>
      </c>
      <c r="F130" s="257">
        <v>0.8</v>
      </c>
      <c r="G130" s="257">
        <v>50400</v>
      </c>
      <c r="H130" s="257">
        <v>0.8</v>
      </c>
      <c r="I130" s="257"/>
      <c r="J130" s="257"/>
      <c r="K130" s="257"/>
      <c r="L130" s="257"/>
      <c r="M130" s="257"/>
      <c r="N130" s="257"/>
      <c r="O130" s="257"/>
      <c r="P130" s="257"/>
      <c r="Q130" s="257"/>
      <c r="R130" s="257"/>
      <c r="S130" s="257"/>
      <c r="T130" s="257"/>
      <c r="U130" s="257"/>
      <c r="V130" s="257"/>
      <c r="W130" s="257"/>
      <c r="X130" s="257"/>
      <c r="Y130" s="257"/>
      <c r="Z130" s="257"/>
      <c r="AA130" s="257"/>
      <c r="AB130" s="257"/>
      <c r="AC130" s="257"/>
      <c r="AD130" s="257"/>
      <c r="AE130" s="257">
        <v>63000</v>
      </c>
      <c r="AF130" s="257">
        <v>1</v>
      </c>
      <c r="AG130" s="257"/>
      <c r="AH130" s="257"/>
      <c r="AI130" s="247">
        <f t="shared" si="10"/>
        <v>63000</v>
      </c>
      <c r="AJ130" s="247">
        <f t="shared" si="10"/>
        <v>1</v>
      </c>
      <c r="AK130" s="257">
        <f>WEEKLY!F309</f>
        <v>25200</v>
      </c>
      <c r="AL130" s="342">
        <f>WEEKLY!D309</f>
        <v>0.4</v>
      </c>
      <c r="AM130" s="247">
        <f t="shared" si="11"/>
        <v>88200</v>
      </c>
      <c r="AN130" s="248">
        <f t="shared" si="11"/>
        <v>1.4</v>
      </c>
      <c r="AO130" s="280">
        <f t="shared" si="12"/>
        <v>37800</v>
      </c>
    </row>
    <row r="131" spans="2:42" ht="30" customHeight="1" x14ac:dyDescent="0.25">
      <c r="B131" s="341" t="s">
        <v>148</v>
      </c>
      <c r="C131" s="329">
        <v>9</v>
      </c>
      <c r="D131" s="290" t="str">
        <f>WEEKLY!B310</f>
        <v>TEPUNG CAKRA</v>
      </c>
      <c r="E131" s="265">
        <v>-239040</v>
      </c>
      <c r="F131" s="257">
        <v>-29.900000000000006</v>
      </c>
      <c r="G131" s="257">
        <v>1248000</v>
      </c>
      <c r="H131" s="257">
        <v>130</v>
      </c>
      <c r="I131" s="257"/>
      <c r="J131" s="257"/>
      <c r="K131" s="257"/>
      <c r="L131" s="257"/>
      <c r="M131" s="257"/>
      <c r="N131" s="257"/>
      <c r="O131" s="257"/>
      <c r="P131" s="257"/>
      <c r="Q131" s="257"/>
      <c r="R131" s="257"/>
      <c r="S131" s="257"/>
      <c r="T131" s="257"/>
      <c r="U131" s="257"/>
      <c r="V131" s="257"/>
      <c r="W131" s="257"/>
      <c r="X131" s="257"/>
      <c r="Y131" s="257"/>
      <c r="Z131" s="257"/>
      <c r="AA131" s="257"/>
      <c r="AB131" s="257"/>
      <c r="AC131" s="257"/>
      <c r="AD131" s="257"/>
      <c r="AE131" s="257"/>
      <c r="AF131" s="257"/>
      <c r="AG131" s="257">
        <f>'PEMBELIAN KREDIT'!G14</f>
        <v>756000</v>
      </c>
      <c r="AH131" s="257">
        <v>75</v>
      </c>
      <c r="AI131" s="247">
        <f t="shared" si="10"/>
        <v>756000</v>
      </c>
      <c r="AJ131" s="247">
        <f t="shared" si="10"/>
        <v>75</v>
      </c>
      <c r="AK131" s="257">
        <f>WEEKLY!F310</f>
        <v>1680000</v>
      </c>
      <c r="AL131" s="342">
        <f>WEEKLY!D310</f>
        <v>175</v>
      </c>
      <c r="AM131" s="247">
        <f t="shared" si="11"/>
        <v>324000</v>
      </c>
      <c r="AN131" s="248">
        <f t="shared" si="11"/>
        <v>30</v>
      </c>
      <c r="AO131" s="280">
        <f t="shared" si="12"/>
        <v>563040</v>
      </c>
    </row>
    <row r="132" spans="2:42" ht="30" customHeight="1" x14ac:dyDescent="0.25">
      <c r="B132" s="341" t="s">
        <v>168</v>
      </c>
      <c r="C132" s="329">
        <v>10</v>
      </c>
      <c r="D132" s="290">
        <f>WEEKLY!B311</f>
        <v>0</v>
      </c>
      <c r="E132" s="265">
        <v>0</v>
      </c>
      <c r="F132" s="260">
        <v>0</v>
      </c>
      <c r="G132" s="257">
        <v>0</v>
      </c>
      <c r="H132" s="260">
        <v>0</v>
      </c>
      <c r="I132" s="257"/>
      <c r="J132" s="257"/>
      <c r="K132" s="257"/>
      <c r="L132" s="257"/>
      <c r="M132" s="257"/>
      <c r="N132" s="257"/>
      <c r="O132" s="257"/>
      <c r="P132" s="257"/>
      <c r="Q132" s="257"/>
      <c r="R132" s="257"/>
      <c r="S132" s="257"/>
      <c r="T132" s="257"/>
      <c r="U132" s="257"/>
      <c r="V132" s="257"/>
      <c r="W132" s="257"/>
      <c r="X132" s="257"/>
      <c r="Y132" s="257"/>
      <c r="Z132" s="257"/>
      <c r="AA132" s="257"/>
      <c r="AB132" s="257"/>
      <c r="AC132" s="257"/>
      <c r="AD132" s="257"/>
      <c r="AE132" s="257"/>
      <c r="AF132" s="257"/>
      <c r="AG132" s="257"/>
      <c r="AH132" s="257"/>
      <c r="AI132" s="247">
        <f t="shared" si="10"/>
        <v>0</v>
      </c>
      <c r="AJ132" s="247">
        <f t="shared" si="10"/>
        <v>0</v>
      </c>
      <c r="AK132" s="257">
        <f>WEEKLY!F311</f>
        <v>0</v>
      </c>
      <c r="AL132" s="342">
        <f>WEEKLY!D311</f>
        <v>0</v>
      </c>
      <c r="AM132" s="247">
        <f t="shared" si="11"/>
        <v>0</v>
      </c>
      <c r="AN132" s="248">
        <f t="shared" si="11"/>
        <v>0</v>
      </c>
      <c r="AO132" s="280">
        <f t="shared" si="12"/>
        <v>0</v>
      </c>
    </row>
    <row r="133" spans="2:42" ht="30" customHeight="1" x14ac:dyDescent="0.25">
      <c r="B133" s="341" t="s">
        <v>169</v>
      </c>
      <c r="C133" s="329">
        <v>11</v>
      </c>
      <c r="D133" s="290">
        <f>WEEKLY!B312</f>
        <v>0</v>
      </c>
      <c r="E133" s="265">
        <v>0</v>
      </c>
      <c r="F133" s="260">
        <v>0</v>
      </c>
      <c r="G133" s="257">
        <v>0</v>
      </c>
      <c r="H133" s="260">
        <v>0</v>
      </c>
      <c r="I133" s="257"/>
      <c r="J133" s="257"/>
      <c r="K133" s="257"/>
      <c r="L133" s="257"/>
      <c r="M133" s="257"/>
      <c r="N133" s="257"/>
      <c r="O133" s="257"/>
      <c r="P133" s="257"/>
      <c r="Q133" s="257"/>
      <c r="R133" s="257"/>
      <c r="S133" s="257"/>
      <c r="T133" s="257"/>
      <c r="U133" s="257"/>
      <c r="V133" s="257"/>
      <c r="W133" s="257"/>
      <c r="X133" s="257"/>
      <c r="Y133" s="257"/>
      <c r="Z133" s="257"/>
      <c r="AA133" s="257"/>
      <c r="AB133" s="257"/>
      <c r="AC133" s="257"/>
      <c r="AD133" s="257"/>
      <c r="AE133" s="257"/>
      <c r="AF133" s="257"/>
      <c r="AG133" s="257"/>
      <c r="AH133" s="257"/>
      <c r="AI133" s="247">
        <f t="shared" si="10"/>
        <v>0</v>
      </c>
      <c r="AJ133" s="247">
        <f t="shared" si="10"/>
        <v>0</v>
      </c>
      <c r="AK133" s="257">
        <f>WEEKLY!F312</f>
        <v>0</v>
      </c>
      <c r="AL133" s="342">
        <f>WEEKLY!D312</f>
        <v>0</v>
      </c>
      <c r="AM133" s="247">
        <f t="shared" si="11"/>
        <v>0</v>
      </c>
      <c r="AN133" s="287">
        <f t="shared" si="11"/>
        <v>0</v>
      </c>
      <c r="AO133" s="280">
        <f t="shared" si="12"/>
        <v>0</v>
      </c>
    </row>
    <row r="134" spans="2:42" ht="30" customHeight="1" x14ac:dyDescent="0.25">
      <c r="B134" s="341" t="s">
        <v>170</v>
      </c>
      <c r="C134" s="329">
        <v>12</v>
      </c>
      <c r="D134" s="290" t="str">
        <f>WEEKLY!B313</f>
        <v>SAMBAL SACHET</v>
      </c>
      <c r="E134" s="265">
        <v>926698</v>
      </c>
      <c r="F134" s="260">
        <v>3134</v>
      </c>
      <c r="G134" s="257">
        <v>15147</v>
      </c>
      <c r="H134" s="260">
        <v>51</v>
      </c>
      <c r="I134" s="257">
        <v>24000</v>
      </c>
      <c r="J134" s="257">
        <v>72</v>
      </c>
      <c r="K134" s="257">
        <v>61000</v>
      </c>
      <c r="L134" s="257">
        <v>168</v>
      </c>
      <c r="M134" s="257">
        <v>57200</v>
      </c>
      <c r="N134" s="257">
        <v>264</v>
      </c>
      <c r="O134" s="257">
        <v>36000</v>
      </c>
      <c r="P134" s="257">
        <v>96</v>
      </c>
      <c r="Q134" s="257">
        <v>70000</v>
      </c>
      <c r="R134" s="257">
        <v>600</v>
      </c>
      <c r="S134" s="257"/>
      <c r="T134" s="257"/>
      <c r="U134" s="257">
        <v>16000</v>
      </c>
      <c r="V134" s="257">
        <v>48</v>
      </c>
      <c r="W134" s="257"/>
      <c r="X134" s="257"/>
      <c r="Y134" s="257"/>
      <c r="Z134" s="257"/>
      <c r="AA134" s="257"/>
      <c r="AB134" s="257"/>
      <c r="AC134" s="257"/>
      <c r="AD134" s="257"/>
      <c r="AE134" s="257"/>
      <c r="AF134" s="257"/>
      <c r="AG134" s="257"/>
      <c r="AH134" s="257"/>
      <c r="AI134" s="247">
        <f t="shared" si="10"/>
        <v>264200</v>
      </c>
      <c r="AJ134" s="247">
        <f t="shared" si="10"/>
        <v>1248</v>
      </c>
      <c r="AK134" s="257">
        <f>WEEKLY!F313</f>
        <v>93555</v>
      </c>
      <c r="AL134" s="342">
        <f>WEEKLY!D313</f>
        <v>315</v>
      </c>
      <c r="AM134" s="247">
        <f t="shared" si="11"/>
        <v>185792</v>
      </c>
      <c r="AN134" s="287">
        <f t="shared" si="11"/>
        <v>984</v>
      </c>
      <c r="AO134" s="280">
        <f t="shared" si="12"/>
        <v>-740906</v>
      </c>
    </row>
    <row r="135" spans="2:42" ht="30" customHeight="1" x14ac:dyDescent="0.25">
      <c r="B135" s="341" t="s">
        <v>145</v>
      </c>
      <c r="C135" s="329">
        <v>13</v>
      </c>
      <c r="D135" s="290" t="str">
        <f>WEEKLY!B314</f>
        <v>TOMATO SACHET</v>
      </c>
      <c r="E135" s="265">
        <v>510239.8000000001</v>
      </c>
      <c r="F135" s="257">
        <v>2106</v>
      </c>
      <c r="G135" s="257">
        <v>68882.8</v>
      </c>
      <c r="H135" s="257">
        <v>292</v>
      </c>
      <c r="I135" s="257">
        <v>26000</v>
      </c>
      <c r="J135" s="257">
        <v>120</v>
      </c>
      <c r="K135" s="257"/>
      <c r="L135" s="257"/>
      <c r="M135" s="257"/>
      <c r="N135" s="257"/>
      <c r="O135" s="257">
        <v>232000</v>
      </c>
      <c r="P135" s="257">
        <v>816</v>
      </c>
      <c r="Q135" s="257"/>
      <c r="R135" s="257"/>
      <c r="S135" s="257"/>
      <c r="T135" s="257"/>
      <c r="U135" s="257"/>
      <c r="V135" s="257"/>
      <c r="W135" s="257"/>
      <c r="X135" s="257"/>
      <c r="Y135" s="257"/>
      <c r="Z135" s="257"/>
      <c r="AA135" s="257"/>
      <c r="AB135" s="257"/>
      <c r="AC135" s="257"/>
      <c r="AD135" s="257"/>
      <c r="AE135" s="257"/>
      <c r="AF135" s="257"/>
      <c r="AG135" s="257"/>
      <c r="AH135" s="257"/>
      <c r="AI135" s="247">
        <f t="shared" si="10"/>
        <v>258000</v>
      </c>
      <c r="AJ135" s="247">
        <f t="shared" si="10"/>
        <v>936</v>
      </c>
      <c r="AK135" s="257">
        <f>WEEKLY!F314</f>
        <v>103088.3</v>
      </c>
      <c r="AL135" s="342">
        <f>WEEKLY!D314</f>
        <v>437</v>
      </c>
      <c r="AM135" s="247">
        <f t="shared" si="11"/>
        <v>223794.5</v>
      </c>
      <c r="AN135" s="248">
        <f t="shared" si="11"/>
        <v>791</v>
      </c>
      <c r="AO135" s="280">
        <f t="shared" si="12"/>
        <v>-286445.3000000001</v>
      </c>
    </row>
    <row r="136" spans="2:42" ht="30" customHeight="1" x14ac:dyDescent="0.25">
      <c r="B136" s="341" t="s">
        <v>168</v>
      </c>
      <c r="C136" s="329">
        <v>14</v>
      </c>
      <c r="D136" s="290" t="str">
        <f>WEEKLY!B315</f>
        <v>PREMIX MIE GORENG</v>
      </c>
      <c r="E136" s="265">
        <v>31996.5</v>
      </c>
      <c r="F136" s="257">
        <v>0.5</v>
      </c>
      <c r="G136" s="257">
        <v>50242.5</v>
      </c>
      <c r="H136" s="257">
        <v>2.9</v>
      </c>
      <c r="I136" s="257"/>
      <c r="J136" s="257"/>
      <c r="K136" s="257"/>
      <c r="L136" s="257"/>
      <c r="M136" s="257"/>
      <c r="N136" s="257"/>
      <c r="O136" s="257"/>
      <c r="P136" s="257"/>
      <c r="Q136" s="257"/>
      <c r="R136" s="257"/>
      <c r="S136" s="257"/>
      <c r="T136" s="257"/>
      <c r="U136" s="257"/>
      <c r="V136" s="257"/>
      <c r="W136" s="257"/>
      <c r="X136" s="257"/>
      <c r="Y136" s="257"/>
      <c r="Z136" s="257"/>
      <c r="AA136" s="257"/>
      <c r="AB136" s="257"/>
      <c r="AC136" s="257"/>
      <c r="AD136" s="257"/>
      <c r="AE136" s="257"/>
      <c r="AF136" s="257"/>
      <c r="AG136" s="257"/>
      <c r="AH136" s="257"/>
      <c r="AI136" s="247">
        <f t="shared" si="10"/>
        <v>0</v>
      </c>
      <c r="AJ136" s="247">
        <f t="shared" si="10"/>
        <v>0</v>
      </c>
      <c r="AK136" s="257">
        <f>WEEKLY!F315</f>
        <v>34650</v>
      </c>
      <c r="AL136" s="342">
        <f>WEEKLY!D315</f>
        <v>2</v>
      </c>
      <c r="AM136" s="247">
        <f t="shared" si="11"/>
        <v>15592.5</v>
      </c>
      <c r="AN136" s="248">
        <f t="shared" si="11"/>
        <v>0.89999999999999991</v>
      </c>
      <c r="AO136" s="280">
        <f t="shared" si="12"/>
        <v>-16404</v>
      </c>
    </row>
    <row r="137" spans="2:42" ht="30" customHeight="1" x14ac:dyDescent="0.25">
      <c r="B137" s="341" t="s">
        <v>155</v>
      </c>
      <c r="C137" s="329">
        <v>15</v>
      </c>
      <c r="D137" s="290" t="str">
        <f>WEEKLY!B316</f>
        <v>PREMIX GEPREK</v>
      </c>
      <c r="E137" s="265">
        <v>19335</v>
      </c>
      <c r="F137" s="260">
        <v>3</v>
      </c>
      <c r="G137" s="257">
        <v>32225</v>
      </c>
      <c r="H137" s="260">
        <v>5</v>
      </c>
      <c r="I137" s="257"/>
      <c r="J137" s="257"/>
      <c r="K137" s="257"/>
      <c r="L137" s="257"/>
      <c r="M137" s="257"/>
      <c r="N137" s="257"/>
      <c r="O137" s="257"/>
      <c r="P137" s="257"/>
      <c r="Q137" s="257"/>
      <c r="R137" s="257"/>
      <c r="S137" s="257"/>
      <c r="T137" s="257"/>
      <c r="U137" s="257"/>
      <c r="V137" s="257"/>
      <c r="W137" s="257"/>
      <c r="X137" s="257"/>
      <c r="Y137" s="257"/>
      <c r="Z137" s="257"/>
      <c r="AA137" s="257"/>
      <c r="AB137" s="257"/>
      <c r="AC137" s="257"/>
      <c r="AD137" s="257"/>
      <c r="AE137" s="257">
        <v>64450</v>
      </c>
      <c r="AF137" s="257">
        <v>10</v>
      </c>
      <c r="AG137" s="257"/>
      <c r="AH137" s="257"/>
      <c r="AI137" s="247">
        <f t="shared" si="10"/>
        <v>64450</v>
      </c>
      <c r="AJ137" s="247">
        <f t="shared" si="10"/>
        <v>10</v>
      </c>
      <c r="AK137" s="257">
        <f>WEEKLY!F316</f>
        <v>83785</v>
      </c>
      <c r="AL137" s="342">
        <f>WEEKLY!D316</f>
        <v>13</v>
      </c>
      <c r="AM137" s="247">
        <f t="shared" si="11"/>
        <v>12890</v>
      </c>
      <c r="AN137" s="287">
        <f t="shared" si="11"/>
        <v>2</v>
      </c>
      <c r="AO137" s="280">
        <f t="shared" si="12"/>
        <v>-6445</v>
      </c>
    </row>
    <row r="138" spans="2:42" ht="30" customHeight="1" x14ac:dyDescent="0.25">
      <c r="B138" s="341" t="s">
        <v>145</v>
      </c>
      <c r="C138" s="329">
        <v>16</v>
      </c>
      <c r="D138" s="290" t="str">
        <f>WEEKLY!B317</f>
        <v>PREMIK STEAK</v>
      </c>
      <c r="E138" s="265">
        <v>0</v>
      </c>
      <c r="F138" s="260">
        <v>0</v>
      </c>
      <c r="G138" s="257">
        <v>24378</v>
      </c>
      <c r="H138" s="260">
        <v>1</v>
      </c>
      <c r="I138" s="257"/>
      <c r="J138" s="257"/>
      <c r="K138" s="257"/>
      <c r="L138" s="257"/>
      <c r="M138" s="257"/>
      <c r="N138" s="257"/>
      <c r="O138" s="257"/>
      <c r="P138" s="257"/>
      <c r="Q138" s="257"/>
      <c r="R138" s="257"/>
      <c r="S138" s="257"/>
      <c r="T138" s="257"/>
      <c r="U138" s="257"/>
      <c r="V138" s="257"/>
      <c r="W138" s="257"/>
      <c r="X138" s="257"/>
      <c r="Y138" s="257"/>
      <c r="Z138" s="257"/>
      <c r="AA138" s="257"/>
      <c r="AB138" s="257"/>
      <c r="AC138" s="257"/>
      <c r="AD138" s="257"/>
      <c r="AE138" s="257">
        <v>24378</v>
      </c>
      <c r="AF138" s="257">
        <v>1</v>
      </c>
      <c r="AG138" s="257"/>
      <c r="AH138" s="257"/>
      <c r="AI138" s="247">
        <f t="shared" si="10"/>
        <v>24378</v>
      </c>
      <c r="AJ138" s="247">
        <f t="shared" si="10"/>
        <v>1</v>
      </c>
      <c r="AK138" s="257">
        <f>WEEKLY!F317</f>
        <v>24378</v>
      </c>
      <c r="AL138" s="342">
        <f>WEEKLY!D317</f>
        <v>1</v>
      </c>
      <c r="AM138" s="247">
        <f t="shared" si="11"/>
        <v>24378</v>
      </c>
      <c r="AN138" s="287">
        <f t="shared" si="11"/>
        <v>1</v>
      </c>
      <c r="AO138" s="280">
        <f t="shared" si="12"/>
        <v>24378</v>
      </c>
    </row>
    <row r="139" spans="2:42" ht="30" customHeight="1" x14ac:dyDescent="0.25">
      <c r="B139" s="341" t="s">
        <v>163</v>
      </c>
      <c r="C139" s="329">
        <v>17</v>
      </c>
      <c r="D139" s="290" t="str">
        <f>WEEKLY!B318</f>
        <v>PREMIK NASGOR</v>
      </c>
      <c r="E139" s="265">
        <v>22200</v>
      </c>
      <c r="F139" s="257">
        <v>1</v>
      </c>
      <c r="G139" s="257">
        <v>44400</v>
      </c>
      <c r="H139" s="257">
        <v>2</v>
      </c>
      <c r="I139" s="257"/>
      <c r="J139" s="257"/>
      <c r="K139" s="257"/>
      <c r="L139" s="257"/>
      <c r="M139" s="257"/>
      <c r="N139" s="257"/>
      <c r="O139" s="257"/>
      <c r="P139" s="257"/>
      <c r="Q139" s="257"/>
      <c r="R139" s="257"/>
      <c r="S139" s="257"/>
      <c r="T139" s="257"/>
      <c r="U139" s="257"/>
      <c r="V139" s="257"/>
      <c r="W139" s="257"/>
      <c r="X139" s="257"/>
      <c r="Y139" s="257"/>
      <c r="Z139" s="257"/>
      <c r="AA139" s="257"/>
      <c r="AB139" s="257"/>
      <c r="AC139" s="257"/>
      <c r="AD139" s="257"/>
      <c r="AE139" s="257">
        <v>44400</v>
      </c>
      <c r="AF139" s="257">
        <v>2</v>
      </c>
      <c r="AG139" s="257"/>
      <c r="AH139" s="257"/>
      <c r="AI139" s="247">
        <f t="shared" si="10"/>
        <v>44400</v>
      </c>
      <c r="AJ139" s="247">
        <f t="shared" si="10"/>
        <v>2</v>
      </c>
      <c r="AK139" s="257">
        <f>WEEKLY!F318</f>
        <v>44400</v>
      </c>
      <c r="AL139" s="342">
        <f>WEEKLY!D318</f>
        <v>2</v>
      </c>
      <c r="AM139" s="247">
        <f t="shared" si="11"/>
        <v>44400</v>
      </c>
      <c r="AN139" s="248">
        <f t="shared" si="11"/>
        <v>2</v>
      </c>
      <c r="AO139" s="280">
        <f t="shared" si="12"/>
        <v>22200</v>
      </c>
    </row>
    <row r="140" spans="2:42" ht="30" customHeight="1" x14ac:dyDescent="0.25">
      <c r="B140" s="341"/>
      <c r="C140" s="329">
        <v>18</v>
      </c>
      <c r="D140" s="290" t="str">
        <f>WEEKLY!B319</f>
        <v>MASAKO AYAM</v>
      </c>
      <c r="E140" s="265">
        <v>0</v>
      </c>
      <c r="F140" s="257">
        <v>0</v>
      </c>
      <c r="G140" s="257">
        <v>0</v>
      </c>
      <c r="H140" s="257">
        <v>0</v>
      </c>
      <c r="I140" s="257"/>
      <c r="J140" s="257"/>
      <c r="K140" s="257"/>
      <c r="L140" s="257"/>
      <c r="M140" s="257">
        <v>6500</v>
      </c>
      <c r="N140" s="257">
        <v>1</v>
      </c>
      <c r="O140" s="257"/>
      <c r="P140" s="257"/>
      <c r="Q140" s="257"/>
      <c r="R140" s="257"/>
      <c r="S140" s="257"/>
      <c r="T140" s="257"/>
      <c r="U140" s="257"/>
      <c r="V140" s="257"/>
      <c r="W140" s="257"/>
      <c r="X140" s="257"/>
      <c r="Y140" s="257"/>
      <c r="Z140" s="257"/>
      <c r="AA140" s="257"/>
      <c r="AB140" s="257"/>
      <c r="AC140" s="257"/>
      <c r="AD140" s="257"/>
      <c r="AE140" s="257"/>
      <c r="AF140" s="257"/>
      <c r="AG140" s="257"/>
      <c r="AH140" s="257"/>
      <c r="AI140" s="247">
        <f t="shared" si="10"/>
        <v>6500</v>
      </c>
      <c r="AJ140" s="247">
        <f t="shared" si="10"/>
        <v>1</v>
      </c>
      <c r="AK140" s="257">
        <f>WEEKLY!F319</f>
        <v>0</v>
      </c>
      <c r="AL140" s="342">
        <f>WEEKLY!D319</f>
        <v>0</v>
      </c>
      <c r="AM140" s="247">
        <f t="shared" si="11"/>
        <v>6500</v>
      </c>
      <c r="AN140" s="248">
        <f t="shared" si="11"/>
        <v>1</v>
      </c>
      <c r="AO140" s="280">
        <f t="shared" si="12"/>
        <v>6500</v>
      </c>
    </row>
    <row r="141" spans="2:42" ht="30" customHeight="1" x14ac:dyDescent="0.25">
      <c r="B141" s="341"/>
      <c r="C141" s="329">
        <v>19</v>
      </c>
      <c r="D141" s="290" t="str">
        <f>WEEKLY!B320</f>
        <v>MIE GORENG CAP 3</v>
      </c>
      <c r="E141" s="265">
        <v>39000</v>
      </c>
      <c r="F141" s="257">
        <v>7</v>
      </c>
      <c r="G141" s="257">
        <v>0</v>
      </c>
      <c r="H141" s="257">
        <v>0</v>
      </c>
      <c r="I141" s="257">
        <v>29500</v>
      </c>
      <c r="J141" s="257">
        <v>5</v>
      </c>
      <c r="K141" s="257"/>
      <c r="L141" s="257"/>
      <c r="M141" s="257">
        <v>22400</v>
      </c>
      <c r="N141" s="257">
        <v>3</v>
      </c>
      <c r="O141" s="257"/>
      <c r="P141" s="257"/>
      <c r="Q141" s="257"/>
      <c r="R141" s="257"/>
      <c r="S141" s="257"/>
      <c r="T141" s="257"/>
      <c r="U141" s="257"/>
      <c r="V141" s="257"/>
      <c r="W141" s="257"/>
      <c r="X141" s="257"/>
      <c r="Y141" s="257"/>
      <c r="Z141" s="257"/>
      <c r="AA141" s="257"/>
      <c r="AB141" s="257"/>
      <c r="AC141" s="257"/>
      <c r="AD141" s="257"/>
      <c r="AE141" s="257"/>
      <c r="AF141" s="257"/>
      <c r="AG141" s="257"/>
      <c r="AH141" s="257"/>
      <c r="AI141" s="247">
        <f t="shared" si="10"/>
        <v>51900</v>
      </c>
      <c r="AJ141" s="247">
        <f t="shared" si="10"/>
        <v>8</v>
      </c>
      <c r="AK141" s="257">
        <f>WEEKLY!F320</f>
        <v>26000</v>
      </c>
      <c r="AL141" s="342">
        <f>WEEKLY!D320</f>
        <v>4</v>
      </c>
      <c r="AM141" s="247">
        <f t="shared" si="11"/>
        <v>25900</v>
      </c>
      <c r="AN141" s="248">
        <f t="shared" si="11"/>
        <v>4</v>
      </c>
      <c r="AO141" s="280">
        <f t="shared" si="12"/>
        <v>-13100</v>
      </c>
    </row>
    <row r="142" spans="2:42" ht="30" customHeight="1" x14ac:dyDescent="0.25">
      <c r="B142" s="341"/>
      <c r="C142" s="329">
        <v>18</v>
      </c>
      <c r="D142" s="290" t="str">
        <f>WEEKLY!B321</f>
        <v>PREMIX BUMBU INTI</v>
      </c>
      <c r="E142" s="265">
        <v>203049</v>
      </c>
      <c r="F142" s="257">
        <v>10.5</v>
      </c>
      <c r="G142" s="257">
        <v>164373</v>
      </c>
      <c r="H142" s="257">
        <v>8.5</v>
      </c>
      <c r="I142" s="257"/>
      <c r="J142" s="257"/>
      <c r="K142" s="257"/>
      <c r="L142" s="257"/>
      <c r="M142" s="257"/>
      <c r="N142" s="257"/>
      <c r="O142" s="257"/>
      <c r="P142" s="257"/>
      <c r="Q142" s="257"/>
      <c r="R142" s="257"/>
      <c r="S142" s="257"/>
      <c r="T142" s="257"/>
      <c r="U142" s="257"/>
      <c r="V142" s="257"/>
      <c r="W142" s="257"/>
      <c r="X142" s="257"/>
      <c r="Y142" s="257"/>
      <c r="Z142" s="257"/>
      <c r="AA142" s="257"/>
      <c r="AB142" s="257"/>
      <c r="AC142" s="257"/>
      <c r="AD142" s="257"/>
      <c r="AE142" s="257">
        <v>580140</v>
      </c>
      <c r="AF142" s="257">
        <v>30</v>
      </c>
      <c r="AG142" s="257"/>
      <c r="AH142" s="257"/>
      <c r="AI142" s="247">
        <f t="shared" si="10"/>
        <v>580140</v>
      </c>
      <c r="AJ142" s="247">
        <f t="shared" si="10"/>
        <v>30</v>
      </c>
      <c r="AK142" s="257">
        <f>WEEKLY!F321</f>
        <v>599478</v>
      </c>
      <c r="AL142" s="342">
        <f>WEEKLY!D321</f>
        <v>31</v>
      </c>
      <c r="AM142" s="247">
        <f t="shared" si="11"/>
        <v>145035</v>
      </c>
      <c r="AN142" s="248">
        <f t="shared" si="11"/>
        <v>7.5</v>
      </c>
      <c r="AO142" s="280">
        <f t="shared" si="12"/>
        <v>-58014</v>
      </c>
    </row>
    <row r="143" spans="2:42" ht="30" customHeight="1" x14ac:dyDescent="0.25">
      <c r="B143" s="341"/>
      <c r="C143" s="329">
        <v>19</v>
      </c>
      <c r="D143" s="290" t="str">
        <f>WEEKLY!B322</f>
        <v>SAMBAL POUCH ( 1KG )</v>
      </c>
      <c r="E143" s="265">
        <v>68550</v>
      </c>
      <c r="F143" s="257">
        <v>4</v>
      </c>
      <c r="G143" s="257">
        <v>53550</v>
      </c>
      <c r="H143" s="257">
        <v>3</v>
      </c>
      <c r="I143" s="257"/>
      <c r="J143" s="257"/>
      <c r="K143" s="257"/>
      <c r="L143" s="257"/>
      <c r="M143" s="257"/>
      <c r="N143" s="257"/>
      <c r="O143" s="257"/>
      <c r="P143" s="257"/>
      <c r="Q143" s="257"/>
      <c r="R143" s="257"/>
      <c r="S143" s="257"/>
      <c r="T143" s="257"/>
      <c r="U143" s="257"/>
      <c r="V143" s="257"/>
      <c r="W143" s="257"/>
      <c r="X143" s="257"/>
      <c r="Y143" s="257"/>
      <c r="Z143" s="257"/>
      <c r="AA143" s="257"/>
      <c r="AB143" s="257"/>
      <c r="AC143" s="257"/>
      <c r="AD143" s="257"/>
      <c r="AE143" s="257">
        <v>89250</v>
      </c>
      <c r="AF143" s="257">
        <v>5</v>
      </c>
      <c r="AG143" s="257"/>
      <c r="AH143" s="257"/>
      <c r="AI143" s="247">
        <f t="shared" si="10"/>
        <v>89250</v>
      </c>
      <c r="AJ143" s="247">
        <f t="shared" si="10"/>
        <v>5</v>
      </c>
      <c r="AK143" s="257">
        <f>WEEKLY!F322</f>
        <v>89250</v>
      </c>
      <c r="AL143" s="342">
        <f>WEEKLY!D322</f>
        <v>5</v>
      </c>
      <c r="AM143" s="247">
        <f t="shared" si="11"/>
        <v>53550</v>
      </c>
      <c r="AN143" s="248">
        <f t="shared" si="11"/>
        <v>3</v>
      </c>
      <c r="AO143" s="280">
        <f t="shared" si="12"/>
        <v>-15000</v>
      </c>
    </row>
    <row r="144" spans="2:42" ht="30" customHeight="1" x14ac:dyDescent="0.25">
      <c r="B144" s="341"/>
      <c r="C144" s="329">
        <v>20</v>
      </c>
      <c r="D144" s="290" t="str">
        <f>WEEKLY!B323</f>
        <v>TOMAT POUCH ( 1 KG )</v>
      </c>
      <c r="E144" s="265">
        <v>65700</v>
      </c>
      <c r="F144" s="257">
        <v>4</v>
      </c>
      <c r="G144" s="257">
        <v>53550</v>
      </c>
      <c r="H144" s="257">
        <v>3</v>
      </c>
      <c r="I144" s="257"/>
      <c r="J144" s="257"/>
      <c r="K144" s="257"/>
      <c r="L144" s="257"/>
      <c r="M144" s="257"/>
      <c r="N144" s="257"/>
      <c r="O144" s="257"/>
      <c r="P144" s="257"/>
      <c r="Q144" s="257"/>
      <c r="R144" s="257"/>
      <c r="S144" s="257"/>
      <c r="T144" s="257"/>
      <c r="U144" s="257"/>
      <c r="V144" s="257"/>
      <c r="W144" s="257"/>
      <c r="X144" s="257"/>
      <c r="Y144" s="257"/>
      <c r="Z144" s="257"/>
      <c r="AA144" s="257"/>
      <c r="AB144" s="257"/>
      <c r="AC144" s="257"/>
      <c r="AD144" s="257"/>
      <c r="AE144" s="257">
        <v>89250</v>
      </c>
      <c r="AF144" s="257">
        <v>5</v>
      </c>
      <c r="AG144" s="257"/>
      <c r="AH144" s="257"/>
      <c r="AI144" s="247">
        <f t="shared" si="10"/>
        <v>89250</v>
      </c>
      <c r="AJ144" s="247">
        <f t="shared" si="10"/>
        <v>5</v>
      </c>
      <c r="AK144" s="257">
        <f>WEEKLY!F323</f>
        <v>89250</v>
      </c>
      <c r="AL144" s="342">
        <f>WEEKLY!D323</f>
        <v>5</v>
      </c>
      <c r="AM144" s="247">
        <f t="shared" si="11"/>
        <v>53550</v>
      </c>
      <c r="AN144" s="248">
        <f t="shared" si="11"/>
        <v>3</v>
      </c>
      <c r="AO144" s="280">
        <f t="shared" si="12"/>
        <v>-12150</v>
      </c>
    </row>
    <row r="145" spans="2:42" ht="30" customHeight="1" x14ac:dyDescent="0.25">
      <c r="B145" s="341"/>
      <c r="C145" s="288">
        <v>21</v>
      </c>
      <c r="D145" s="290" t="str">
        <f>WEEKLY!B324</f>
        <v>SAMBAL GEPREK</v>
      </c>
      <c r="E145" s="276">
        <v>-8369.8499999999985</v>
      </c>
      <c r="F145" s="277">
        <v>-9.9999999999999978E-2</v>
      </c>
      <c r="G145" s="277">
        <v>41849.25</v>
      </c>
      <c r="H145" s="277">
        <v>0.5</v>
      </c>
      <c r="I145" s="277"/>
      <c r="J145" s="277"/>
      <c r="K145" s="277"/>
      <c r="L145" s="277"/>
      <c r="M145" s="277"/>
      <c r="N145" s="277"/>
      <c r="O145" s="277"/>
      <c r="P145" s="277"/>
      <c r="Q145" s="277"/>
      <c r="R145" s="277"/>
      <c r="S145" s="277"/>
      <c r="T145" s="277"/>
      <c r="U145" s="277"/>
      <c r="V145" s="277"/>
      <c r="W145" s="277"/>
      <c r="X145" s="277"/>
      <c r="Y145" s="277"/>
      <c r="Z145" s="277"/>
      <c r="AA145" s="277"/>
      <c r="AB145" s="277"/>
      <c r="AC145" s="277"/>
      <c r="AD145" s="277"/>
      <c r="AE145" s="277"/>
      <c r="AF145" s="277"/>
      <c r="AG145" s="277"/>
      <c r="AH145" s="277"/>
      <c r="AI145" s="247">
        <f t="shared" si="10"/>
        <v>0</v>
      </c>
      <c r="AJ145" s="247">
        <f t="shared" si="10"/>
        <v>0</v>
      </c>
      <c r="AK145" s="257">
        <f>WEEKLY!F324</f>
        <v>25109.55</v>
      </c>
      <c r="AL145" s="342">
        <f>WEEKLY!D324</f>
        <v>0.3</v>
      </c>
      <c r="AM145" s="247">
        <f t="shared" si="11"/>
        <v>16739.7</v>
      </c>
      <c r="AN145" s="248">
        <f t="shared" si="11"/>
        <v>0.2</v>
      </c>
      <c r="AO145" s="280">
        <f t="shared" si="12"/>
        <v>25109.55</v>
      </c>
    </row>
    <row r="146" spans="2:42" ht="30" customHeight="1" x14ac:dyDescent="0.25">
      <c r="B146" s="341"/>
      <c r="C146" s="230">
        <v>22</v>
      </c>
      <c r="D146" s="290" t="str">
        <f>WEEKLY!B325</f>
        <v>SAUS STEAK</v>
      </c>
      <c r="E146" s="276">
        <v>8372.9210526315765</v>
      </c>
      <c r="F146" s="277">
        <v>0.20000000000000007</v>
      </c>
      <c r="G146" s="277">
        <v>25118.763157894737</v>
      </c>
      <c r="H146" s="277">
        <v>0.6</v>
      </c>
      <c r="I146" s="277"/>
      <c r="J146" s="277"/>
      <c r="K146" s="277"/>
      <c r="L146" s="277"/>
      <c r="M146" s="277"/>
      <c r="N146" s="277"/>
      <c r="O146" s="277"/>
      <c r="P146" s="277"/>
      <c r="Q146" s="277"/>
      <c r="R146" s="277"/>
      <c r="S146" s="277"/>
      <c r="T146" s="277"/>
      <c r="U146" s="277"/>
      <c r="V146" s="277"/>
      <c r="W146" s="277"/>
      <c r="X146" s="277"/>
      <c r="Y146" s="277"/>
      <c r="Z146" s="277"/>
      <c r="AA146" s="277"/>
      <c r="AB146" s="277"/>
      <c r="AC146" s="277"/>
      <c r="AD146" s="277"/>
      <c r="AE146" s="277"/>
      <c r="AF146" s="277"/>
      <c r="AG146" s="277"/>
      <c r="AH146" s="277"/>
      <c r="AI146" s="247">
        <f t="shared" si="10"/>
        <v>0</v>
      </c>
      <c r="AJ146" s="247">
        <f t="shared" si="10"/>
        <v>0</v>
      </c>
      <c r="AK146" s="257">
        <f>WEEKLY!F325</f>
        <v>41864.605263157893</v>
      </c>
      <c r="AL146" s="342">
        <f>WEEKLY!D325</f>
        <v>1</v>
      </c>
      <c r="AM146" s="247">
        <f t="shared" si="11"/>
        <v>-16745.842105263157</v>
      </c>
      <c r="AN146" s="248">
        <f t="shared" si="11"/>
        <v>-0.4</v>
      </c>
      <c r="AO146" s="280">
        <f t="shared" si="12"/>
        <v>-25118.763157894733</v>
      </c>
    </row>
    <row r="147" spans="2:42" ht="30" customHeight="1" x14ac:dyDescent="0.25">
      <c r="B147" s="341"/>
      <c r="C147" s="288">
        <v>23</v>
      </c>
      <c r="D147" s="290">
        <f>WEEKLY!B326</f>
        <v>0</v>
      </c>
      <c r="E147" s="276">
        <v>0</v>
      </c>
      <c r="F147" s="277">
        <v>0</v>
      </c>
      <c r="G147" s="277">
        <v>0</v>
      </c>
      <c r="H147" s="277">
        <v>0</v>
      </c>
      <c r="I147" s="277"/>
      <c r="J147" s="277"/>
      <c r="K147" s="277"/>
      <c r="L147" s="277"/>
      <c r="M147" s="277"/>
      <c r="N147" s="277"/>
      <c r="O147" s="277"/>
      <c r="P147" s="277"/>
      <c r="Q147" s="277"/>
      <c r="R147" s="277"/>
      <c r="S147" s="277"/>
      <c r="T147" s="277"/>
      <c r="U147" s="277"/>
      <c r="V147" s="277"/>
      <c r="W147" s="277"/>
      <c r="X147" s="277"/>
      <c r="Y147" s="277"/>
      <c r="Z147" s="277"/>
      <c r="AA147" s="277"/>
      <c r="AB147" s="277"/>
      <c r="AC147" s="277"/>
      <c r="AD147" s="277"/>
      <c r="AE147" s="277"/>
      <c r="AF147" s="277"/>
      <c r="AG147" s="277"/>
      <c r="AH147" s="277"/>
      <c r="AI147" s="247">
        <f t="shared" si="10"/>
        <v>0</v>
      </c>
      <c r="AJ147" s="247">
        <f t="shared" si="10"/>
        <v>0</v>
      </c>
      <c r="AK147" s="257">
        <f>WEEKLY!F326</f>
        <v>0</v>
      </c>
      <c r="AL147" s="342">
        <f>WEEKLY!D326</f>
        <v>0</v>
      </c>
      <c r="AM147" s="247">
        <f t="shared" si="11"/>
        <v>0</v>
      </c>
      <c r="AN147" s="248">
        <f t="shared" si="11"/>
        <v>0</v>
      </c>
      <c r="AO147" s="280">
        <f t="shared" si="12"/>
        <v>0</v>
      </c>
    </row>
    <row r="148" spans="2:42" ht="30" customHeight="1" x14ac:dyDescent="0.25">
      <c r="B148" s="341"/>
      <c r="C148" s="329">
        <v>24</v>
      </c>
      <c r="D148" s="290">
        <f>WEEKLY!B327</f>
        <v>0</v>
      </c>
      <c r="E148" s="276">
        <v>0</v>
      </c>
      <c r="F148" s="277">
        <v>0</v>
      </c>
      <c r="G148" s="277">
        <v>0</v>
      </c>
      <c r="H148" s="277">
        <v>0</v>
      </c>
      <c r="I148" s="277"/>
      <c r="J148" s="277"/>
      <c r="K148" s="277"/>
      <c r="L148" s="277"/>
      <c r="M148" s="277"/>
      <c r="N148" s="277"/>
      <c r="O148" s="277"/>
      <c r="P148" s="277"/>
      <c r="Q148" s="277"/>
      <c r="R148" s="277"/>
      <c r="S148" s="277"/>
      <c r="T148" s="277"/>
      <c r="U148" s="277"/>
      <c r="V148" s="277"/>
      <c r="W148" s="277"/>
      <c r="X148" s="277"/>
      <c r="Y148" s="277"/>
      <c r="Z148" s="277"/>
      <c r="AA148" s="277"/>
      <c r="AB148" s="277"/>
      <c r="AC148" s="277"/>
      <c r="AD148" s="277"/>
      <c r="AE148" s="277"/>
      <c r="AF148" s="277"/>
      <c r="AG148" s="277"/>
      <c r="AH148" s="277"/>
      <c r="AI148" s="247">
        <f t="shared" si="10"/>
        <v>0</v>
      </c>
      <c r="AJ148" s="247">
        <f t="shared" si="10"/>
        <v>0</v>
      </c>
      <c r="AK148" s="257">
        <f>WEEKLY!F327</f>
        <v>0</v>
      </c>
      <c r="AL148" s="342">
        <f>WEEKLY!D327</f>
        <v>0</v>
      </c>
      <c r="AM148" s="247">
        <f t="shared" si="11"/>
        <v>0</v>
      </c>
      <c r="AN148" s="248">
        <f t="shared" si="11"/>
        <v>0</v>
      </c>
      <c r="AO148" s="280">
        <f t="shared" si="12"/>
        <v>0</v>
      </c>
    </row>
    <row r="149" spans="2:42" ht="30" customHeight="1" x14ac:dyDescent="0.25">
      <c r="B149" s="341"/>
      <c r="C149" s="288">
        <v>25</v>
      </c>
      <c r="D149" s="290">
        <f>WEEKLY!B328</f>
        <v>0</v>
      </c>
      <c r="E149" s="276">
        <v>0</v>
      </c>
      <c r="F149" s="277">
        <v>0</v>
      </c>
      <c r="G149" s="277">
        <v>0</v>
      </c>
      <c r="H149" s="277">
        <v>0</v>
      </c>
      <c r="I149" s="277"/>
      <c r="J149" s="277"/>
      <c r="K149" s="277"/>
      <c r="L149" s="277"/>
      <c r="M149" s="277"/>
      <c r="N149" s="277"/>
      <c r="O149" s="277"/>
      <c r="P149" s="277"/>
      <c r="Q149" s="277"/>
      <c r="R149" s="277"/>
      <c r="S149" s="277"/>
      <c r="T149" s="277"/>
      <c r="U149" s="277"/>
      <c r="V149" s="277"/>
      <c r="W149" s="277"/>
      <c r="X149" s="277"/>
      <c r="Y149" s="277"/>
      <c r="Z149" s="277"/>
      <c r="AA149" s="277"/>
      <c r="AB149" s="277"/>
      <c r="AC149" s="277"/>
      <c r="AD149" s="277"/>
      <c r="AE149" s="277"/>
      <c r="AF149" s="277"/>
      <c r="AG149" s="277"/>
      <c r="AH149" s="277"/>
      <c r="AI149" s="247">
        <f t="shared" si="10"/>
        <v>0</v>
      </c>
      <c r="AJ149" s="247">
        <f t="shared" si="10"/>
        <v>0</v>
      </c>
      <c r="AK149" s="257">
        <f>WEEKLY!F328</f>
        <v>0</v>
      </c>
      <c r="AL149" s="342">
        <f>WEEKLY!D328</f>
        <v>0</v>
      </c>
      <c r="AM149" s="247">
        <f t="shared" si="11"/>
        <v>0</v>
      </c>
      <c r="AN149" s="248">
        <f t="shared" si="11"/>
        <v>0</v>
      </c>
      <c r="AO149" s="280">
        <f t="shared" si="12"/>
        <v>0</v>
      </c>
    </row>
    <row r="150" spans="2:42" ht="30" customHeight="1" thickBot="1" x14ac:dyDescent="0.3">
      <c r="B150" s="341"/>
      <c r="C150" s="329">
        <v>26</v>
      </c>
      <c r="D150" s="290">
        <f>WEEKLY!B329</f>
        <v>0</v>
      </c>
      <c r="E150" s="340">
        <v>0</v>
      </c>
      <c r="F150" s="277">
        <v>0</v>
      </c>
      <c r="G150" s="277">
        <v>0</v>
      </c>
      <c r="H150" s="277">
        <v>0</v>
      </c>
      <c r="I150" s="277"/>
      <c r="J150" s="277"/>
      <c r="K150" s="277"/>
      <c r="L150" s="277"/>
      <c r="M150" s="277"/>
      <c r="N150" s="277"/>
      <c r="O150" s="277"/>
      <c r="P150" s="277"/>
      <c r="Q150" s="277"/>
      <c r="R150" s="277"/>
      <c r="S150" s="277"/>
      <c r="T150" s="277"/>
      <c r="U150" s="277"/>
      <c r="V150" s="277"/>
      <c r="W150" s="277"/>
      <c r="X150" s="277"/>
      <c r="Y150" s="277"/>
      <c r="Z150" s="277"/>
      <c r="AA150" s="277"/>
      <c r="AB150" s="277"/>
      <c r="AC150" s="277"/>
      <c r="AD150" s="277"/>
      <c r="AE150" s="277"/>
      <c r="AF150" s="277"/>
      <c r="AG150" s="277"/>
      <c r="AH150" s="277"/>
      <c r="AI150" s="247">
        <f t="shared" si="10"/>
        <v>0</v>
      </c>
      <c r="AJ150" s="247">
        <f t="shared" si="10"/>
        <v>0</v>
      </c>
      <c r="AK150" s="257">
        <f>WEEKLY!F329</f>
        <v>0</v>
      </c>
      <c r="AL150" s="342">
        <f>WEEKLY!D329</f>
        <v>0</v>
      </c>
      <c r="AM150" s="247">
        <f t="shared" si="11"/>
        <v>0</v>
      </c>
      <c r="AN150" s="248">
        <f t="shared" si="11"/>
        <v>0</v>
      </c>
      <c r="AO150" s="215" t="s">
        <v>171</v>
      </c>
      <c r="AP150" s="280">
        <f>SUM(AM123:AM150)</f>
        <v>1475720.7578947367</v>
      </c>
    </row>
    <row r="151" spans="2:42" ht="30" customHeight="1" thickBot="1" x14ac:dyDescent="0.3">
      <c r="B151" s="343"/>
      <c r="C151" s="1265"/>
      <c r="D151" s="312" t="s">
        <v>172</v>
      </c>
      <c r="E151" s="1317">
        <f>SUM(E86:E119)+SUM(E121:E150)</f>
        <v>7982493.1110526323</v>
      </c>
      <c r="F151" s="1318"/>
      <c r="G151" s="1319">
        <f>SUM(G86:G119)+SUM(G121:G150)</f>
        <v>6111018.7431578953</v>
      </c>
      <c r="H151" s="1318"/>
      <c r="I151" s="1320">
        <f>SUM(I86:I119)+SUM(I121:I150)</f>
        <v>156500</v>
      </c>
      <c r="J151" s="1321"/>
      <c r="K151" s="1322">
        <f>SUM(K86:K119)+SUM(K121:K150)</f>
        <v>127000</v>
      </c>
      <c r="L151" s="1321"/>
      <c r="M151" s="1322">
        <f>SUM(M86:M119)+SUM(M121:M150)</f>
        <v>383600</v>
      </c>
      <c r="N151" s="1321"/>
      <c r="O151" s="1322">
        <f>SUM(O86:O119)+SUM(O121:O150)</f>
        <v>315000</v>
      </c>
      <c r="P151" s="1321"/>
      <c r="Q151" s="1322">
        <f>SUM(Q86:Q119)+SUM(Q121:Q150)</f>
        <v>320000</v>
      </c>
      <c r="R151" s="1321"/>
      <c r="S151" s="1322">
        <f>SUM(S86:S119)+SUM(S121:S150)</f>
        <v>299000</v>
      </c>
      <c r="T151" s="1321"/>
      <c r="U151" s="1322">
        <f>SUM(U86:U119)+SUM(U121:U150)</f>
        <v>76400</v>
      </c>
      <c r="V151" s="1321"/>
      <c r="W151" s="1320">
        <f>SUM(W86:W119)+SUM(W121:W150)</f>
        <v>0</v>
      </c>
      <c r="X151" s="1321"/>
      <c r="Y151" s="1320">
        <f>SUM(Y86:Y119)+SUM(Y121:Y150)</f>
        <v>0</v>
      </c>
      <c r="Z151" s="1321"/>
      <c r="AA151" s="1320">
        <f>SUM(AA86:AA119)+SUM(AA121:AA150)</f>
        <v>0</v>
      </c>
      <c r="AB151" s="1321"/>
      <c r="AC151" s="1333">
        <f>SUM(AC86:AC119)+SUM(AC121:AC150)</f>
        <v>-142347</v>
      </c>
      <c r="AD151" s="1334"/>
      <c r="AE151" s="1320">
        <f>SUM(AE86:AE119)+SUM(AE121:AE150)</f>
        <v>7534518</v>
      </c>
      <c r="AF151" s="1321"/>
      <c r="AG151" s="1322">
        <f>SUM(AG86:AG119)+SUM(AG121:AG150)</f>
        <v>756000</v>
      </c>
      <c r="AH151" s="1321"/>
      <c r="AI151" s="1323">
        <f>SUM(I151:AH151)</f>
        <v>9825671</v>
      </c>
      <c r="AJ151" s="1324"/>
      <c r="AK151" s="1323">
        <f>SUM(AK86:AK119)+SUM(AK121:AK150)</f>
        <v>10948180.655263158</v>
      </c>
      <c r="AL151" s="1324"/>
      <c r="AM151" s="1325">
        <f>SUM(AM86:AM119)+SUM(AM121:AM150)</f>
        <v>4988509.0878947368</v>
      </c>
      <c r="AN151" s="1326"/>
    </row>
    <row r="152" spans="2:42" ht="30" customHeight="1" thickBot="1" x14ac:dyDescent="0.3">
      <c r="B152" s="343"/>
      <c r="C152" s="1265"/>
      <c r="D152" s="312" t="s">
        <v>173</v>
      </c>
      <c r="E152" s="1327">
        <f>E74+E151</f>
        <v>24859636.948172793</v>
      </c>
      <c r="F152" s="1328"/>
      <c r="G152" s="1329">
        <f>G74+G151</f>
        <v>14600505.323700052</v>
      </c>
      <c r="H152" s="1328"/>
      <c r="I152" s="1330">
        <f>I74+I151</f>
        <v>433500</v>
      </c>
      <c r="J152" s="1331"/>
      <c r="K152" s="1332">
        <f>K74+K151</f>
        <v>326000</v>
      </c>
      <c r="L152" s="1331"/>
      <c r="M152" s="1332">
        <f>M74+M151</f>
        <v>647038</v>
      </c>
      <c r="N152" s="1331"/>
      <c r="O152" s="1332">
        <f>O74+O151</f>
        <v>665000</v>
      </c>
      <c r="P152" s="1331"/>
      <c r="Q152" s="1332">
        <f>Q74+Q151</f>
        <v>426000</v>
      </c>
      <c r="R152" s="1331"/>
      <c r="S152" s="1332">
        <f>S74+S151</f>
        <v>344000</v>
      </c>
      <c r="T152" s="1331"/>
      <c r="U152" s="1332">
        <f>U74+U151</f>
        <v>389800</v>
      </c>
      <c r="V152" s="1331"/>
      <c r="W152" s="1330">
        <f>W74+W151</f>
        <v>0</v>
      </c>
      <c r="X152" s="1331"/>
      <c r="Y152" s="1330">
        <f>Y74+Y151</f>
        <v>0</v>
      </c>
      <c r="Z152" s="1331"/>
      <c r="AA152" s="1329">
        <f>AA74+AA151</f>
        <v>0</v>
      </c>
      <c r="AB152" s="1328"/>
      <c r="AC152" s="1342">
        <f>AC74+AC151</f>
        <v>-160667.95954824478</v>
      </c>
      <c r="AD152" s="1343"/>
      <c r="AE152" s="1329">
        <f>AE74+AE151</f>
        <v>7930518</v>
      </c>
      <c r="AF152" s="1328"/>
      <c r="AG152" s="1329">
        <f>AG74+AG151</f>
        <v>10770010</v>
      </c>
      <c r="AH152" s="1328"/>
      <c r="AI152" s="1329">
        <f>AI74+AI151</f>
        <v>21771198.040451758</v>
      </c>
      <c r="AJ152" s="1328"/>
      <c r="AK152" s="1335">
        <f>AK74+AK151</f>
        <v>20938718.381056808</v>
      </c>
      <c r="AL152" s="1336"/>
      <c r="AM152" s="1337"/>
      <c r="AN152" s="1338"/>
    </row>
    <row r="153" spans="2:42" ht="30" customHeight="1" x14ac:dyDescent="0.25">
      <c r="B153" s="343"/>
      <c r="C153" s="1265"/>
      <c r="D153" s="298" t="s">
        <v>174</v>
      </c>
      <c r="E153" s="1339"/>
      <c r="F153" s="1340"/>
      <c r="G153" s="1341"/>
      <c r="H153" s="1340"/>
      <c r="I153" s="1341"/>
      <c r="J153" s="1340"/>
      <c r="K153" s="1341"/>
      <c r="L153" s="1340"/>
      <c r="M153" s="1341"/>
      <c r="N153" s="1340"/>
      <c r="O153" s="1341"/>
      <c r="P153" s="1340"/>
      <c r="Q153" s="1341"/>
      <c r="R153" s="1340"/>
      <c r="S153" s="1341"/>
      <c r="T153" s="1340"/>
      <c r="U153" s="1341"/>
      <c r="V153" s="1340"/>
      <c r="W153" s="1341"/>
      <c r="X153" s="1340"/>
      <c r="Y153" s="1341"/>
      <c r="Z153" s="1340"/>
      <c r="AA153" s="1341"/>
      <c r="AB153" s="1340"/>
      <c r="AC153" s="1341"/>
      <c r="AD153" s="1340"/>
      <c r="AE153" s="1341"/>
      <c r="AF153" s="1340"/>
      <c r="AG153" s="1333" t="s">
        <v>175</v>
      </c>
      <c r="AH153" s="1334"/>
      <c r="AI153" s="1344">
        <f>SUM(AE10:AE73)+SUM(AG10:AG73)+SUM(AE121:AE150)+SUM(AG121:AG150)</f>
        <v>12120878</v>
      </c>
      <c r="AJ153" s="1344"/>
      <c r="AK153" s="1345"/>
      <c r="AL153" s="1346" t="s">
        <v>176</v>
      </c>
      <c r="AM153" s="1346"/>
      <c r="AN153" s="1346"/>
    </row>
    <row r="154" spans="2:42" ht="30" customHeight="1" thickBot="1" x14ac:dyDescent="0.3">
      <c r="B154" s="343"/>
      <c r="C154" s="1265"/>
      <c r="D154" s="236" t="s">
        <v>177</v>
      </c>
      <c r="E154" s="1347"/>
      <c r="F154" s="1348"/>
      <c r="G154" s="1349"/>
      <c r="H154" s="1348"/>
      <c r="I154" s="1349"/>
      <c r="J154" s="1348"/>
      <c r="K154" s="1349"/>
      <c r="L154" s="1348"/>
      <c r="M154" s="1349"/>
      <c r="N154" s="1348"/>
      <c r="O154" s="1349"/>
      <c r="P154" s="1348"/>
      <c r="Q154" s="1349"/>
      <c r="R154" s="1348"/>
      <c r="S154" s="1349"/>
      <c r="T154" s="1348"/>
      <c r="U154" s="1349"/>
      <c r="V154" s="1348"/>
      <c r="W154" s="1349"/>
      <c r="X154" s="1348"/>
      <c r="Y154" s="1349"/>
      <c r="Z154" s="1348"/>
      <c r="AA154" s="1349"/>
      <c r="AB154" s="1348"/>
      <c r="AC154" s="1349"/>
      <c r="AD154" s="1348"/>
      <c r="AE154" s="1349"/>
      <c r="AF154" s="1348"/>
      <c r="AG154" s="344" t="s">
        <v>178</v>
      </c>
      <c r="AH154" s="345"/>
      <c r="AI154" s="1335">
        <f>SUM(AE86:AE119)+SUM(AG86:AG119)</f>
        <v>6579650</v>
      </c>
      <c r="AJ154" s="1350"/>
      <c r="AK154" s="1336"/>
      <c r="AL154" s="1351"/>
      <c r="AM154" s="1351"/>
      <c r="AN154" s="1351"/>
    </row>
    <row r="155" spans="2:42" ht="30" customHeight="1" x14ac:dyDescent="0.25">
      <c r="B155" s="343"/>
      <c r="C155" s="1265"/>
      <c r="D155" s="305" t="s">
        <v>179</v>
      </c>
      <c r="E155" s="1344"/>
      <c r="F155" s="1345"/>
      <c r="G155" s="1325">
        <f>SUM(G10:G73)+SUM(G121:G150)</f>
        <v>12327191.72370005</v>
      </c>
      <c r="H155" s="1345"/>
      <c r="I155" s="1325">
        <f>SUM(I10:I73)+SUM(I121:I150)</f>
        <v>413500</v>
      </c>
      <c r="J155" s="1345"/>
      <c r="K155" s="1325">
        <f>SUM(K10:K73)+SUM(K121:K150)</f>
        <v>296000</v>
      </c>
      <c r="L155" s="1345"/>
      <c r="M155" s="1325">
        <f>SUM(M10:M73)+SUM(M121:M150)</f>
        <v>547538</v>
      </c>
      <c r="N155" s="1345"/>
      <c r="O155" s="1325">
        <f>SUM(O10:O73)+SUM(O121:O150)</f>
        <v>650000</v>
      </c>
      <c r="P155" s="1345"/>
      <c r="Q155" s="1325">
        <f>SUM(Q10:Q73)+SUM(Q121:Q150)</f>
        <v>426000</v>
      </c>
      <c r="R155" s="1345"/>
      <c r="S155" s="1325">
        <f>SUM(S10:S73)+SUM(S121:S150)</f>
        <v>121000</v>
      </c>
      <c r="T155" s="1345"/>
      <c r="U155" s="1325">
        <f>SUM(U10:U73)+SUM(U121:U150)</f>
        <v>355400</v>
      </c>
      <c r="V155" s="1345"/>
      <c r="W155" s="1325">
        <f>SUM(W10:W73)+SUM(W121:W150)</f>
        <v>0</v>
      </c>
      <c r="X155" s="1345"/>
      <c r="Y155" s="1325">
        <f>SUM(Y10:Y73)+SUM(Y121:Y150)</f>
        <v>0</v>
      </c>
      <c r="Z155" s="1345"/>
      <c r="AA155" s="1325">
        <f>SUM(AA10:AA73)+SUM(AA121:AA150)</f>
        <v>0</v>
      </c>
      <c r="AB155" s="1345"/>
      <c r="AC155" s="1325"/>
      <c r="AD155" s="1345"/>
      <c r="AE155" s="1325"/>
      <c r="AF155" s="1345"/>
      <c r="AG155" s="1352" t="s">
        <v>180</v>
      </c>
      <c r="AH155" s="1353"/>
      <c r="AI155" s="1325">
        <f>SUM(I155:AB155)</f>
        <v>2809438</v>
      </c>
      <c r="AJ155" s="1344"/>
      <c r="AK155" s="1345"/>
      <c r="AL155" s="1325">
        <f>AM74+AM151</f>
        <v>15432984.983094998</v>
      </c>
      <c r="AM155" s="1344"/>
      <c r="AN155" s="1326"/>
    </row>
    <row r="156" spans="2:42" ht="30" customHeight="1" thickBot="1" x14ac:dyDescent="0.3">
      <c r="B156" s="343"/>
      <c r="C156" s="1265"/>
      <c r="D156" s="236" t="s">
        <v>181</v>
      </c>
      <c r="E156" s="1350"/>
      <c r="F156" s="1336"/>
      <c r="G156" s="1335">
        <f>SUM(G86:G119)</f>
        <v>2273313.6</v>
      </c>
      <c r="H156" s="1336"/>
      <c r="I156" s="1335">
        <f>SUM(I86:I119)</f>
        <v>20000</v>
      </c>
      <c r="J156" s="1336"/>
      <c r="K156" s="1335">
        <f>SUM(K86:K119)</f>
        <v>30000</v>
      </c>
      <c r="L156" s="1336"/>
      <c r="M156" s="1335">
        <f>SUM(M86:M119)</f>
        <v>99500</v>
      </c>
      <c r="N156" s="1336"/>
      <c r="O156" s="1335">
        <f>SUM(O86:O119)</f>
        <v>15000</v>
      </c>
      <c r="P156" s="1336"/>
      <c r="Q156" s="1335">
        <f>SUM(Q86:Q119)</f>
        <v>0</v>
      </c>
      <c r="R156" s="1336"/>
      <c r="S156" s="1335">
        <f>SUM(S86:S119)</f>
        <v>223000</v>
      </c>
      <c r="T156" s="1336"/>
      <c r="U156" s="1335">
        <f>SUM(U86:U119)</f>
        <v>34400</v>
      </c>
      <c r="V156" s="1336"/>
      <c r="W156" s="1335">
        <f>SUM(W86:W119)</f>
        <v>0</v>
      </c>
      <c r="X156" s="1336"/>
      <c r="Y156" s="1335">
        <f>SUM(Y86:Y119)</f>
        <v>0</v>
      </c>
      <c r="Z156" s="1336"/>
      <c r="AA156" s="1335">
        <f>SUM(AA86:AA119)</f>
        <v>0</v>
      </c>
      <c r="AB156" s="1336"/>
      <c r="AC156" s="1335"/>
      <c r="AD156" s="1336"/>
      <c r="AE156" s="1335"/>
      <c r="AF156" s="1336"/>
      <c r="AG156" s="1354" t="s">
        <v>182</v>
      </c>
      <c r="AH156" s="1355"/>
      <c r="AI156" s="1356">
        <f>SUM(I156:AB156)</f>
        <v>421900</v>
      </c>
      <c r="AJ156" s="1356"/>
      <c r="AK156" s="1356"/>
      <c r="AL156" s="1335">
        <f>AI152-AI153-AI154-AI155-AI156-AL157+AI157</f>
        <v>2.3865140974521637E-9</v>
      </c>
      <c r="AM156" s="1350"/>
      <c r="AN156" s="1357"/>
    </row>
    <row r="157" spans="2:42" ht="30" customHeight="1" thickBot="1" x14ac:dyDescent="0.3">
      <c r="B157" s="346"/>
      <c r="C157" s="1266"/>
      <c r="D157" s="301" t="s">
        <v>183</v>
      </c>
      <c r="E157" s="1358"/>
      <c r="F157" s="1359"/>
      <c r="G157" s="1360"/>
      <c r="H157" s="1359"/>
      <c r="I157" s="1360">
        <f>'LAPORAN KAS PERIODE'!$D$15</f>
        <v>4454000</v>
      </c>
      <c r="J157" s="1359"/>
      <c r="K157" s="1360">
        <f>'LAPORAN KAS PERIODE'!$E$15</f>
        <v>3639000</v>
      </c>
      <c r="L157" s="1359"/>
      <c r="M157" s="1360">
        <f>'LAPORAN KAS PERIODE'!$F$15</f>
        <v>3173500</v>
      </c>
      <c r="N157" s="1359"/>
      <c r="O157" s="1360">
        <f>'LAPORAN KAS PERIODE'!$G$15</f>
        <v>3484000</v>
      </c>
      <c r="P157" s="1359"/>
      <c r="Q157" s="1360">
        <f>'LAPORAN KAS PERIODE'!$H$15</f>
        <v>4920500</v>
      </c>
      <c r="R157" s="1359"/>
      <c r="S157" s="1360">
        <f>'LAPORAN KAS PERIODE'!$I$15</f>
        <v>4009000</v>
      </c>
      <c r="T157" s="1359"/>
      <c r="U157" s="1360">
        <f>'LAPORAN KAS PERIODE'!$J$15</f>
        <v>3711500</v>
      </c>
      <c r="V157" s="1359"/>
      <c r="W157" s="1360">
        <f>'LAPORAN KAS PERIODE'!$K$15</f>
        <v>0</v>
      </c>
      <c r="X157" s="1359"/>
      <c r="Y157" s="1360">
        <f>'LAPORAN KAS PERIODE'!$L$15</f>
        <v>0</v>
      </c>
      <c r="Z157" s="1359"/>
      <c r="AA157" s="1360">
        <f>'LAPORAN KAS PERIODE'!$M$15</f>
        <v>0</v>
      </c>
      <c r="AB157" s="1359"/>
      <c r="AC157" s="1360"/>
      <c r="AD157" s="1359"/>
      <c r="AE157" s="1360">
        <f>SUM(I157:AB157)</f>
        <v>27391500</v>
      </c>
      <c r="AF157" s="1359"/>
      <c r="AG157" s="1360" t="s">
        <v>184</v>
      </c>
      <c r="AH157" s="1359"/>
      <c r="AI157" s="1360">
        <f>'TO-TI'!D18+'TO-TI'!I20+'TO-TI'!N21+'TO-TI'!S19</f>
        <v>385574.33454824478</v>
      </c>
      <c r="AJ157" s="1358"/>
      <c r="AK157" s="1359"/>
      <c r="AL157" s="1361">
        <f>'TO-TI'!S19+'TO-TI'!D18</f>
        <v>224906.375</v>
      </c>
      <c r="AM157" s="1362"/>
      <c r="AN157" s="1363"/>
    </row>
    <row r="158" spans="2:42" ht="24" customHeight="1" x14ac:dyDescent="0.25">
      <c r="B158" s="347"/>
      <c r="C158" s="326"/>
      <c r="D158" s="327"/>
      <c r="E158" s="348"/>
      <c r="F158" s="328"/>
      <c r="G158" s="280">
        <f>SUM(G121:G150)</f>
        <v>3837705.1431578947</v>
      </c>
      <c r="H158" s="328"/>
      <c r="J158" s="328"/>
      <c r="L158" s="328"/>
      <c r="N158" s="328"/>
      <c r="P158" s="328"/>
      <c r="R158" s="328"/>
      <c r="T158" s="328"/>
      <c r="V158" s="328"/>
      <c r="X158" s="328"/>
      <c r="Z158" s="328"/>
      <c r="AB158" s="328"/>
      <c r="AE158" s="274"/>
      <c r="AF158" s="349"/>
      <c r="AG158" s="274"/>
      <c r="AH158" s="349"/>
      <c r="AI158" s="274"/>
      <c r="AJ158" s="349"/>
      <c r="AK158" s="274"/>
      <c r="AL158" s="349"/>
      <c r="AM158" s="274"/>
      <c r="AN158" s="349"/>
    </row>
    <row r="159" spans="2:42" ht="20.25" customHeight="1" x14ac:dyDescent="0.25">
      <c r="B159" s="1259" t="s">
        <v>113</v>
      </c>
      <c r="C159" s="1259"/>
      <c r="D159" s="1259"/>
      <c r="E159" s="1259"/>
      <c r="F159" s="1259"/>
      <c r="G159" s="1259"/>
      <c r="H159" s="1259"/>
      <c r="I159" s="1259"/>
      <c r="J159" s="1259"/>
      <c r="K159" s="1259"/>
      <c r="L159" s="1259"/>
      <c r="M159" s="1259"/>
      <c r="N159" s="1259"/>
      <c r="O159" s="1259"/>
      <c r="P159" s="1259"/>
      <c r="Q159" s="1259"/>
      <c r="R159" s="1259"/>
      <c r="S159" s="1259"/>
      <c r="T159" s="1259"/>
      <c r="U159" s="1259"/>
      <c r="V159" s="1259"/>
      <c r="W159" s="1259"/>
      <c r="X159" s="1259"/>
      <c r="Y159" s="1259"/>
      <c r="Z159" s="1259"/>
      <c r="AA159" s="1259"/>
      <c r="AB159" s="1259"/>
      <c r="AC159" s="1259"/>
      <c r="AD159" s="1259"/>
      <c r="AE159" s="1259"/>
      <c r="AF159" s="1259"/>
      <c r="AG159" s="1259"/>
      <c r="AH159" s="1259"/>
      <c r="AI159" s="1259"/>
      <c r="AJ159" s="1259"/>
      <c r="AK159" s="1259"/>
      <c r="AL159" s="1259"/>
      <c r="AM159" s="1259"/>
      <c r="AN159" s="1259"/>
    </row>
    <row r="160" spans="2:42" ht="22.5" customHeight="1" x14ac:dyDescent="0.25">
      <c r="B160" s="216"/>
      <c r="C160" s="216"/>
      <c r="D160" s="216"/>
      <c r="E160" s="216"/>
      <c r="F160" s="218"/>
      <c r="G160" s="216"/>
      <c r="H160" s="218"/>
      <c r="I160" s="216"/>
      <c r="J160" s="218"/>
      <c r="K160" s="216"/>
      <c r="L160" s="218"/>
      <c r="M160" s="216"/>
      <c r="N160" s="218"/>
      <c r="O160" s="216"/>
      <c r="P160" s="218"/>
      <c r="Q160" s="216"/>
      <c r="R160" s="218"/>
      <c r="S160" s="216"/>
      <c r="T160" s="218"/>
      <c r="U160" s="216"/>
      <c r="V160" s="218"/>
      <c r="W160" s="216"/>
      <c r="X160" s="218"/>
      <c r="Y160" s="216"/>
      <c r="Z160" s="218"/>
      <c r="AA160" s="216"/>
      <c r="AB160" s="218"/>
      <c r="AC160" s="216"/>
      <c r="AD160" s="216"/>
      <c r="AE160" s="216"/>
      <c r="AF160" s="218"/>
      <c r="AG160" s="216"/>
      <c r="AH160" s="218"/>
      <c r="AI160" s="216" t="s">
        <v>1</v>
      </c>
      <c r="AJ160" s="1305" t="str">
        <f>AJ2</f>
        <v>SC MARABAHAN</v>
      </c>
      <c r="AK160" s="1305"/>
      <c r="AL160" s="1305"/>
      <c r="AM160" s="1305"/>
      <c r="AN160" s="218"/>
    </row>
    <row r="161" spans="2:42" ht="20.25" customHeight="1" x14ac:dyDescent="0.25">
      <c r="B161" s="216"/>
      <c r="C161" s="216"/>
      <c r="D161" s="216"/>
      <c r="E161" s="216"/>
      <c r="F161" s="218"/>
      <c r="G161" s="216"/>
      <c r="H161" s="218"/>
      <c r="I161" s="216"/>
      <c r="J161" s="218"/>
      <c r="K161" s="216"/>
      <c r="L161" s="218"/>
      <c r="M161" s="216"/>
      <c r="N161" s="218"/>
      <c r="O161" s="216"/>
      <c r="P161" s="218"/>
      <c r="Q161" s="216"/>
      <c r="R161" s="218"/>
      <c r="S161" s="216"/>
      <c r="T161" s="218"/>
      <c r="U161" s="216"/>
      <c r="V161" s="218"/>
      <c r="W161" s="216"/>
      <c r="X161" s="218"/>
      <c r="Y161" s="216"/>
      <c r="Z161" s="218"/>
      <c r="AA161" s="216"/>
      <c r="AB161" s="218"/>
      <c r="AC161" s="216"/>
      <c r="AD161" s="216"/>
      <c r="AE161" s="216"/>
      <c r="AF161" s="218"/>
      <c r="AG161" s="216"/>
      <c r="AH161" s="218"/>
      <c r="AI161" s="216" t="s">
        <v>3</v>
      </c>
      <c r="AJ161" s="1305" t="str">
        <f>AJ3</f>
        <v>1-7 JULI 2026</v>
      </c>
      <c r="AK161" s="1305"/>
      <c r="AL161" s="1305"/>
      <c r="AM161" s="1305"/>
      <c r="AN161" s="218"/>
    </row>
    <row r="162" spans="2:42" ht="5.0999999999999996" customHeight="1" thickBot="1" x14ac:dyDescent="0.3">
      <c r="B162" s="350"/>
      <c r="C162" s="351"/>
      <c r="D162" s="351"/>
      <c r="E162" s="351"/>
      <c r="F162" s="352"/>
      <c r="G162" s="351"/>
      <c r="H162" s="352"/>
      <c r="I162" s="351"/>
      <c r="J162" s="352"/>
      <c r="K162" s="351" t="s">
        <v>112</v>
      </c>
      <c r="L162" s="352"/>
      <c r="M162" s="351"/>
      <c r="N162" s="352"/>
      <c r="O162" s="351"/>
      <c r="P162" s="352"/>
      <c r="Q162" s="351"/>
      <c r="R162" s="352"/>
      <c r="S162" s="351"/>
      <c r="T162" s="352"/>
      <c r="U162" s="351"/>
      <c r="V162" s="352"/>
      <c r="W162" s="351"/>
      <c r="X162" s="352"/>
      <c r="Y162" s="351"/>
      <c r="Z162" s="352"/>
      <c r="AA162" s="351"/>
      <c r="AB162" s="352"/>
      <c r="AC162" s="351"/>
      <c r="AD162" s="351"/>
      <c r="AE162" s="351"/>
      <c r="AF162" s="352"/>
      <c r="AG162" s="351"/>
      <c r="AH162" s="352"/>
      <c r="AI162" s="351"/>
      <c r="AJ162" s="352"/>
      <c r="AK162" s="351"/>
      <c r="AL162" s="352"/>
      <c r="AM162" s="351"/>
      <c r="AN162" s="315"/>
    </row>
    <row r="163" spans="2:42" ht="30" customHeight="1" x14ac:dyDescent="0.25">
      <c r="B163" s="1262" t="s">
        <v>115</v>
      </c>
      <c r="C163" s="1364" t="s">
        <v>89</v>
      </c>
      <c r="D163" s="220"/>
      <c r="E163" s="1268" t="s">
        <v>116</v>
      </c>
      <c r="F163" s="1307"/>
      <c r="G163" s="1307" t="s">
        <v>117</v>
      </c>
      <c r="H163" s="1307"/>
      <c r="I163" s="1308">
        <f>I5</f>
        <v>46204</v>
      </c>
      <c r="J163" s="1308"/>
      <c r="K163" s="1308">
        <f>K5</f>
        <v>46205</v>
      </c>
      <c r="L163" s="1308"/>
      <c r="M163" s="1308">
        <f>M5</f>
        <v>46206</v>
      </c>
      <c r="N163" s="1308"/>
      <c r="O163" s="1308">
        <f>O5</f>
        <v>46207</v>
      </c>
      <c r="P163" s="1308"/>
      <c r="Q163" s="1308">
        <f>Q5</f>
        <v>46208</v>
      </c>
      <c r="R163" s="1308"/>
      <c r="S163" s="1308">
        <f>S5</f>
        <v>46209</v>
      </c>
      <c r="T163" s="1308"/>
      <c r="U163" s="1308">
        <f>U5</f>
        <v>46210</v>
      </c>
      <c r="V163" s="1308"/>
      <c r="W163" s="1308">
        <f>W5</f>
        <v>0</v>
      </c>
      <c r="X163" s="1308"/>
      <c r="Y163" s="1308">
        <f>Y5</f>
        <v>0</v>
      </c>
      <c r="Z163" s="1308"/>
      <c r="AA163" s="1308">
        <f>AA5</f>
        <v>0</v>
      </c>
      <c r="AB163" s="1308"/>
      <c r="AC163" s="1368"/>
      <c r="AD163" s="1369"/>
      <c r="AE163" s="1372"/>
      <c r="AF163" s="1372"/>
      <c r="AG163" s="1372"/>
      <c r="AH163" s="1372"/>
      <c r="AI163" s="1307" t="s">
        <v>10</v>
      </c>
      <c r="AJ163" s="1307"/>
      <c r="AK163" s="1307" t="s">
        <v>117</v>
      </c>
      <c r="AL163" s="1307"/>
      <c r="AM163" s="1307" t="s">
        <v>116</v>
      </c>
      <c r="AN163" s="1310"/>
    </row>
    <row r="164" spans="2:42" ht="30" customHeight="1" x14ac:dyDescent="0.25">
      <c r="B164" s="1263"/>
      <c r="C164" s="1365"/>
      <c r="D164" s="1311" t="s">
        <v>121</v>
      </c>
      <c r="E164" s="1277" t="s">
        <v>122</v>
      </c>
      <c r="F164" s="1312"/>
      <c r="G164" s="1312" t="s">
        <v>123</v>
      </c>
      <c r="H164" s="1312"/>
      <c r="I164" s="1309"/>
      <c r="J164" s="1309"/>
      <c r="K164" s="1309"/>
      <c r="L164" s="1309"/>
      <c r="M164" s="1309"/>
      <c r="N164" s="1309"/>
      <c r="O164" s="1309"/>
      <c r="P164" s="1309"/>
      <c r="Q164" s="1309"/>
      <c r="R164" s="1309"/>
      <c r="S164" s="1309"/>
      <c r="T164" s="1309"/>
      <c r="U164" s="1309"/>
      <c r="V164" s="1309"/>
      <c r="W164" s="1309"/>
      <c r="X164" s="1309"/>
      <c r="Y164" s="1309"/>
      <c r="Z164" s="1309"/>
      <c r="AA164" s="1309"/>
      <c r="AB164" s="1309"/>
      <c r="AC164" s="1370"/>
      <c r="AD164" s="1371"/>
      <c r="AE164" s="1373"/>
      <c r="AF164" s="1373"/>
      <c r="AG164" s="1373"/>
      <c r="AH164" s="1373"/>
      <c r="AI164" s="1312" t="s">
        <v>125</v>
      </c>
      <c r="AJ164" s="1312"/>
      <c r="AK164" s="1312" t="s">
        <v>126</v>
      </c>
      <c r="AL164" s="1312"/>
      <c r="AM164" s="1312" t="s">
        <v>127</v>
      </c>
      <c r="AN164" s="1313"/>
    </row>
    <row r="165" spans="2:42" ht="30" customHeight="1" x14ac:dyDescent="0.25">
      <c r="B165" s="230" t="s">
        <v>128</v>
      </c>
      <c r="C165" s="1365"/>
      <c r="D165" s="1311"/>
      <c r="E165" s="1277" t="s">
        <v>129</v>
      </c>
      <c r="F165" s="1312"/>
      <c r="G165" s="1312" t="s">
        <v>129</v>
      </c>
      <c r="H165" s="1312"/>
      <c r="I165" s="1367" t="str">
        <f>I7</f>
        <v>RABU</v>
      </c>
      <c r="J165" s="1367"/>
      <c r="K165" s="1367" t="str">
        <f>K7</f>
        <v>KAMIS</v>
      </c>
      <c r="L165" s="1367"/>
      <c r="M165" s="1367" t="str">
        <f>M7</f>
        <v>JUM'AT</v>
      </c>
      <c r="N165" s="1367"/>
      <c r="O165" s="1367" t="str">
        <f>O7</f>
        <v>SABTU</v>
      </c>
      <c r="P165" s="1367"/>
      <c r="Q165" s="1367" t="str">
        <f>Q7</f>
        <v>MINGGU</v>
      </c>
      <c r="R165" s="1367"/>
      <c r="S165" s="1367" t="str">
        <f>S7</f>
        <v>SENIN</v>
      </c>
      <c r="T165" s="1367"/>
      <c r="U165" s="1367" t="str">
        <f>U7</f>
        <v>SELASA</v>
      </c>
      <c r="V165" s="1367"/>
      <c r="W165" s="1367">
        <f>W7</f>
        <v>0</v>
      </c>
      <c r="X165" s="1367"/>
      <c r="Y165" s="1367">
        <f>Y7</f>
        <v>0</v>
      </c>
      <c r="Z165" s="1367"/>
      <c r="AA165" s="1383">
        <f>AA7</f>
        <v>0</v>
      </c>
      <c r="AB165" s="1384"/>
      <c r="AC165" s="1278"/>
      <c r="AD165" s="1277"/>
      <c r="AE165" s="1278"/>
      <c r="AF165" s="1277"/>
      <c r="AG165" s="1312"/>
      <c r="AH165" s="1312"/>
      <c r="AI165" s="1312" t="s">
        <v>129</v>
      </c>
      <c r="AJ165" s="1312"/>
      <c r="AK165" s="1312" t="s">
        <v>129</v>
      </c>
      <c r="AL165" s="1312"/>
      <c r="AM165" s="1312" t="s">
        <v>129</v>
      </c>
      <c r="AN165" s="1313"/>
    </row>
    <row r="166" spans="2:42" ht="30" customHeight="1" thickBot="1" x14ac:dyDescent="0.3">
      <c r="B166" s="236"/>
      <c r="C166" s="1366"/>
      <c r="D166" s="869"/>
      <c r="E166" s="238" t="s">
        <v>134</v>
      </c>
      <c r="F166" s="239" t="s">
        <v>135</v>
      </c>
      <c r="G166" s="240" t="s">
        <v>134</v>
      </c>
      <c r="H166" s="239" t="s">
        <v>135</v>
      </c>
      <c r="I166" s="240"/>
      <c r="J166" s="239" t="s">
        <v>135</v>
      </c>
      <c r="K166" s="240"/>
      <c r="L166" s="239" t="s">
        <v>135</v>
      </c>
      <c r="M166" s="240"/>
      <c r="N166" s="239" t="s">
        <v>135</v>
      </c>
      <c r="O166" s="240"/>
      <c r="P166" s="239" t="s">
        <v>135</v>
      </c>
      <c r="Q166" s="240"/>
      <c r="R166" s="239" t="s">
        <v>135</v>
      </c>
      <c r="S166" s="240"/>
      <c r="T166" s="239" t="s">
        <v>135</v>
      </c>
      <c r="U166" s="240"/>
      <c r="V166" s="239" t="s">
        <v>135</v>
      </c>
      <c r="W166" s="240"/>
      <c r="X166" s="239" t="s">
        <v>135</v>
      </c>
      <c r="Y166" s="240"/>
      <c r="Z166" s="239" t="s">
        <v>135</v>
      </c>
      <c r="AA166" s="240"/>
      <c r="AB166" s="239" t="s">
        <v>135</v>
      </c>
      <c r="AC166" s="240"/>
      <c r="AD166" s="240" t="s">
        <v>135</v>
      </c>
      <c r="AE166" s="240"/>
      <c r="AF166" s="239" t="s">
        <v>135</v>
      </c>
      <c r="AG166" s="240"/>
      <c r="AH166" s="239" t="s">
        <v>135</v>
      </c>
      <c r="AI166" s="240" t="s">
        <v>134</v>
      </c>
      <c r="AJ166" s="239" t="s">
        <v>135</v>
      </c>
      <c r="AK166" s="240" t="s">
        <v>134</v>
      </c>
      <c r="AL166" s="239" t="s">
        <v>135</v>
      </c>
      <c r="AM166" s="240" t="s">
        <v>134</v>
      </c>
      <c r="AN166" s="241" t="s">
        <v>135</v>
      </c>
    </row>
    <row r="167" spans="2:42" ht="30" customHeight="1" x14ac:dyDescent="0.25">
      <c r="B167" s="288"/>
      <c r="C167" s="282">
        <v>1</v>
      </c>
      <c r="D167" s="305" t="str">
        <f>WEEKLY!B338</f>
        <v xml:space="preserve">BALON </v>
      </c>
      <c r="E167" s="246">
        <v>0</v>
      </c>
      <c r="F167" s="247">
        <v>0</v>
      </c>
      <c r="G167" s="247">
        <v>0</v>
      </c>
      <c r="H167" s="247">
        <v>0</v>
      </c>
      <c r="I167" s="247"/>
      <c r="J167" s="247"/>
      <c r="K167" s="247"/>
      <c r="L167" s="247"/>
      <c r="M167" s="247"/>
      <c r="N167" s="247"/>
      <c r="O167" s="247"/>
      <c r="P167" s="247"/>
      <c r="Q167" s="247"/>
      <c r="R167" s="247"/>
      <c r="S167" s="247"/>
      <c r="T167" s="247"/>
      <c r="U167" s="247"/>
      <c r="V167" s="247"/>
      <c r="W167" s="247"/>
      <c r="X167" s="247"/>
      <c r="Y167" s="247"/>
      <c r="Z167" s="247"/>
      <c r="AA167" s="247"/>
      <c r="AB167" s="247"/>
      <c r="AC167" s="247"/>
      <c r="AD167" s="247"/>
      <c r="AE167" s="247"/>
      <c r="AF167" s="247"/>
      <c r="AG167" s="247"/>
      <c r="AH167" s="247"/>
      <c r="AI167" s="247">
        <f t="shared" ref="AI167:AJ204" si="13">SUM(I167,K167,M167,O167,Q167,S167,U167,W167,Y167,AA167,AC167,AE167,AG167)</f>
        <v>0</v>
      </c>
      <c r="AJ167" s="247">
        <f t="shared" si="13"/>
        <v>0</v>
      </c>
      <c r="AK167" s="247">
        <f>WEEKLY!F338</f>
        <v>0</v>
      </c>
      <c r="AL167" s="247">
        <f>WEEKLY!D338</f>
        <v>0</v>
      </c>
      <c r="AM167" s="247">
        <f t="shared" ref="AM167:AN204" si="14">G167+AI167-AK167</f>
        <v>0</v>
      </c>
      <c r="AN167" s="248">
        <f t="shared" si="14"/>
        <v>0</v>
      </c>
    </row>
    <row r="168" spans="2:42" ht="30" customHeight="1" x14ac:dyDescent="0.25">
      <c r="B168" s="288"/>
      <c r="C168" s="329">
        <v>2</v>
      </c>
      <c r="D168" s="231" t="str">
        <f>WEEKLY!B339</f>
        <v>UNDANGAN</v>
      </c>
      <c r="E168" s="246">
        <v>0</v>
      </c>
      <c r="F168" s="247">
        <v>0</v>
      </c>
      <c r="G168" s="247">
        <v>0</v>
      </c>
      <c r="H168" s="247">
        <v>0</v>
      </c>
      <c r="I168" s="247"/>
      <c r="J168" s="247"/>
      <c r="K168" s="247"/>
      <c r="L168" s="247"/>
      <c r="M168" s="247"/>
      <c r="N168" s="247"/>
      <c r="O168" s="247"/>
      <c r="P168" s="247"/>
      <c r="Q168" s="247"/>
      <c r="R168" s="247"/>
      <c r="S168" s="247"/>
      <c r="T168" s="247"/>
      <c r="U168" s="247"/>
      <c r="V168" s="247"/>
      <c r="W168" s="247"/>
      <c r="X168" s="247"/>
      <c r="Y168" s="247"/>
      <c r="Z168" s="247"/>
      <c r="AA168" s="247"/>
      <c r="AB168" s="247"/>
      <c r="AC168" s="247"/>
      <c r="AD168" s="247"/>
      <c r="AE168" s="247"/>
      <c r="AF168" s="247"/>
      <c r="AG168" s="247"/>
      <c r="AH168" s="247"/>
      <c r="AI168" s="247">
        <f t="shared" si="13"/>
        <v>0</v>
      </c>
      <c r="AJ168" s="247">
        <f t="shared" si="13"/>
        <v>0</v>
      </c>
      <c r="AK168" s="247">
        <f>WEEKLY!F339</f>
        <v>0</v>
      </c>
      <c r="AL168" s="247">
        <f>WEEKLY!D339</f>
        <v>0</v>
      </c>
      <c r="AM168" s="247">
        <f t="shared" si="14"/>
        <v>0</v>
      </c>
      <c r="AN168" s="248">
        <f t="shared" si="14"/>
        <v>0</v>
      </c>
    </row>
    <row r="169" spans="2:42" ht="30" customHeight="1" x14ac:dyDescent="0.25">
      <c r="B169" s="288"/>
      <c r="C169" s="329">
        <v>3</v>
      </c>
      <c r="D169" s="231" t="str">
        <f>WEEKLY!B340</f>
        <v>MOBIL - MOBILAN (PAKET PROMO)</v>
      </c>
      <c r="E169" s="246">
        <v>0</v>
      </c>
      <c r="F169" s="247">
        <v>0</v>
      </c>
      <c r="G169" s="247">
        <v>0</v>
      </c>
      <c r="H169" s="247">
        <v>0</v>
      </c>
      <c r="I169" s="247"/>
      <c r="J169" s="247"/>
      <c r="K169" s="247"/>
      <c r="L169" s="247"/>
      <c r="M169" s="247"/>
      <c r="N169" s="247"/>
      <c r="O169" s="247"/>
      <c r="P169" s="247"/>
      <c r="Q169" s="247"/>
      <c r="R169" s="247"/>
      <c r="S169" s="247"/>
      <c r="T169" s="247"/>
      <c r="U169" s="247"/>
      <c r="V169" s="247"/>
      <c r="W169" s="247"/>
      <c r="X169" s="247"/>
      <c r="Y169" s="247"/>
      <c r="Z169" s="247"/>
      <c r="AA169" s="247"/>
      <c r="AB169" s="247"/>
      <c r="AC169" s="247"/>
      <c r="AD169" s="247"/>
      <c r="AE169" s="247"/>
      <c r="AF169" s="247"/>
      <c r="AG169" s="247"/>
      <c r="AH169" s="247"/>
      <c r="AI169" s="247">
        <f t="shared" si="13"/>
        <v>0</v>
      </c>
      <c r="AJ169" s="247">
        <f t="shared" si="13"/>
        <v>0</v>
      </c>
      <c r="AK169" s="247">
        <f>WEEKLY!F340</f>
        <v>0</v>
      </c>
      <c r="AL169" s="247">
        <f>WEEKLY!D340</f>
        <v>0</v>
      </c>
      <c r="AM169" s="247">
        <f t="shared" si="14"/>
        <v>0</v>
      </c>
      <c r="AN169" s="248">
        <f t="shared" si="14"/>
        <v>0</v>
      </c>
    </row>
    <row r="170" spans="2:42" ht="30" customHeight="1" x14ac:dyDescent="0.25">
      <c r="B170" s="288"/>
      <c r="C170" s="329">
        <v>4</v>
      </c>
      <c r="D170" s="231" t="str">
        <f>WEEKLY!B341</f>
        <v>TOPI ULTAH</v>
      </c>
      <c r="E170" s="246">
        <v>0</v>
      </c>
      <c r="F170" s="247">
        <v>0</v>
      </c>
      <c r="G170" s="247">
        <v>0</v>
      </c>
      <c r="H170" s="247">
        <v>0</v>
      </c>
      <c r="I170" s="247"/>
      <c r="J170" s="247"/>
      <c r="K170" s="247"/>
      <c r="L170" s="247"/>
      <c r="M170" s="247"/>
      <c r="N170" s="247"/>
      <c r="O170" s="247"/>
      <c r="P170" s="247"/>
      <c r="Q170" s="247"/>
      <c r="R170" s="247"/>
      <c r="S170" s="247"/>
      <c r="T170" s="247"/>
      <c r="U170" s="247"/>
      <c r="V170" s="247"/>
      <c r="W170" s="247"/>
      <c r="X170" s="247"/>
      <c r="Y170" s="247"/>
      <c r="Z170" s="247"/>
      <c r="AA170" s="247"/>
      <c r="AB170" s="247"/>
      <c r="AC170" s="247"/>
      <c r="AD170" s="247"/>
      <c r="AE170" s="247"/>
      <c r="AF170" s="247"/>
      <c r="AG170" s="247"/>
      <c r="AH170" s="247"/>
      <c r="AI170" s="247">
        <f t="shared" si="13"/>
        <v>0</v>
      </c>
      <c r="AJ170" s="247">
        <f t="shared" si="13"/>
        <v>0</v>
      </c>
      <c r="AK170" s="247">
        <f>WEEKLY!F341</f>
        <v>0</v>
      </c>
      <c r="AL170" s="247">
        <f>WEEKLY!D341</f>
        <v>0</v>
      </c>
      <c r="AM170" s="247">
        <f t="shared" si="14"/>
        <v>0</v>
      </c>
      <c r="AN170" s="248">
        <f t="shared" si="14"/>
        <v>0</v>
      </c>
    </row>
    <row r="171" spans="2:42" ht="30" customHeight="1" x14ac:dyDescent="0.25">
      <c r="B171" s="288"/>
      <c r="C171" s="329">
        <v>5</v>
      </c>
      <c r="D171" s="231" t="str">
        <f>WEEKLY!B346</f>
        <v>GAS ELPIJI</v>
      </c>
      <c r="E171" s="265">
        <v>1092000</v>
      </c>
      <c r="F171" s="260">
        <v>4.2</v>
      </c>
      <c r="G171" s="257">
        <v>520000</v>
      </c>
      <c r="H171" s="260">
        <v>2</v>
      </c>
      <c r="I171" s="257">
        <v>520000</v>
      </c>
      <c r="J171" s="257">
        <v>2</v>
      </c>
      <c r="K171" s="257"/>
      <c r="L171" s="257"/>
      <c r="M171" s="257"/>
      <c r="N171" s="257"/>
      <c r="O171" s="257">
        <v>520000</v>
      </c>
      <c r="P171" s="257">
        <v>2</v>
      </c>
      <c r="Q171" s="257"/>
      <c r="R171" s="257"/>
      <c r="S171" s="257"/>
      <c r="T171" s="257"/>
      <c r="U171" s="257"/>
      <c r="V171" s="257"/>
      <c r="W171" s="257"/>
      <c r="X171" s="257"/>
      <c r="Y171" s="257"/>
      <c r="Z171" s="257"/>
      <c r="AA171" s="257"/>
      <c r="AB171" s="257"/>
      <c r="AC171" s="257"/>
      <c r="AD171" s="257"/>
      <c r="AE171" s="257"/>
      <c r="AF171" s="257"/>
      <c r="AG171" s="257"/>
      <c r="AH171" s="257"/>
      <c r="AI171" s="247">
        <f t="shared" si="13"/>
        <v>1040000</v>
      </c>
      <c r="AJ171" s="247">
        <f t="shared" si="13"/>
        <v>4</v>
      </c>
      <c r="AK171" s="257">
        <f>WEEKLY!F346</f>
        <v>312000</v>
      </c>
      <c r="AL171" s="260">
        <f>WEEKLY!D346</f>
        <v>1.2</v>
      </c>
      <c r="AM171" s="247">
        <f t="shared" si="14"/>
        <v>1248000</v>
      </c>
      <c r="AN171" s="287">
        <f t="shared" si="14"/>
        <v>4.8</v>
      </c>
      <c r="AO171" s="280"/>
      <c r="AP171" s="337" t="e">
        <f>AM171/'[1]IKHTISAR FOOD COST'!B48</f>
        <v>#DIV/0!</v>
      </c>
    </row>
    <row r="172" spans="2:42" ht="30" customHeight="1" x14ac:dyDescent="0.25">
      <c r="B172" s="288"/>
      <c r="C172" s="329">
        <v>6</v>
      </c>
      <c r="D172" s="231" t="str">
        <f>WEEKLY!B347</f>
        <v>GAS FIRE TORCH</v>
      </c>
      <c r="E172" s="265">
        <v>0</v>
      </c>
      <c r="F172" s="257">
        <v>0</v>
      </c>
      <c r="G172" s="257">
        <v>0</v>
      </c>
      <c r="H172" s="257">
        <v>0</v>
      </c>
      <c r="I172" s="257"/>
      <c r="J172" s="257"/>
      <c r="K172" s="257"/>
      <c r="L172" s="257"/>
      <c r="M172" s="257"/>
      <c r="N172" s="257"/>
      <c r="O172" s="257"/>
      <c r="P172" s="257"/>
      <c r="Q172" s="257"/>
      <c r="R172" s="257"/>
      <c r="S172" s="257"/>
      <c r="T172" s="257"/>
      <c r="U172" s="257"/>
      <c r="V172" s="257"/>
      <c r="W172" s="257"/>
      <c r="X172" s="257"/>
      <c r="Y172" s="257"/>
      <c r="Z172" s="257"/>
      <c r="AA172" s="257"/>
      <c r="AB172" s="257"/>
      <c r="AC172" s="257"/>
      <c r="AD172" s="257"/>
      <c r="AE172" s="257"/>
      <c r="AF172" s="257"/>
      <c r="AG172" s="257"/>
      <c r="AH172" s="257"/>
      <c r="AI172" s="247">
        <f t="shared" si="13"/>
        <v>0</v>
      </c>
      <c r="AJ172" s="247">
        <f t="shared" si="13"/>
        <v>0</v>
      </c>
      <c r="AK172" s="247">
        <f>WEEKLY!F347</f>
        <v>0</v>
      </c>
      <c r="AL172" s="248">
        <f>WEEKLY!D347</f>
        <v>0</v>
      </c>
      <c r="AM172" s="247">
        <f t="shared" si="14"/>
        <v>0</v>
      </c>
      <c r="AN172" s="248">
        <f t="shared" si="14"/>
        <v>0</v>
      </c>
    </row>
    <row r="173" spans="2:42" ht="30" customHeight="1" x14ac:dyDescent="0.25">
      <c r="B173" s="288"/>
      <c r="C173" s="329">
        <v>7</v>
      </c>
      <c r="D173" s="231" t="str">
        <f>WEEKLY!B371</f>
        <v>ISOLASI BESAR</v>
      </c>
      <c r="E173" s="265">
        <v>-6300</v>
      </c>
      <c r="F173" s="257">
        <v>0.10000000000000009</v>
      </c>
      <c r="G173" s="257">
        <v>36000</v>
      </c>
      <c r="H173" s="257">
        <v>2</v>
      </c>
      <c r="I173" s="257"/>
      <c r="J173" s="257"/>
      <c r="K173" s="257"/>
      <c r="L173" s="257"/>
      <c r="M173" s="257"/>
      <c r="N173" s="257"/>
      <c r="O173" s="257"/>
      <c r="P173" s="257"/>
      <c r="Q173" s="257"/>
      <c r="R173" s="257"/>
      <c r="S173" s="257"/>
      <c r="T173" s="257"/>
      <c r="U173" s="257"/>
      <c r="V173" s="257"/>
      <c r="W173" s="257"/>
      <c r="X173" s="257"/>
      <c r="Y173" s="257"/>
      <c r="Z173" s="257"/>
      <c r="AA173" s="257"/>
      <c r="AB173" s="257"/>
      <c r="AC173" s="257"/>
      <c r="AD173" s="257"/>
      <c r="AE173" s="257"/>
      <c r="AF173" s="257"/>
      <c r="AG173" s="257"/>
      <c r="AH173" s="257"/>
      <c r="AI173" s="247">
        <f t="shared" si="13"/>
        <v>0</v>
      </c>
      <c r="AJ173" s="247">
        <f t="shared" si="13"/>
        <v>0</v>
      </c>
      <c r="AK173" s="257">
        <f>WEEKLY!F371</f>
        <v>30600</v>
      </c>
      <c r="AL173" s="257">
        <f>WEEKLY!D371</f>
        <v>1.7</v>
      </c>
      <c r="AM173" s="247">
        <f t="shared" si="14"/>
        <v>5400</v>
      </c>
      <c r="AN173" s="248">
        <f t="shared" si="14"/>
        <v>0.30000000000000004</v>
      </c>
    </row>
    <row r="174" spans="2:42" ht="30" customHeight="1" x14ac:dyDescent="0.25">
      <c r="B174" s="288"/>
      <c r="C174" s="329">
        <v>8</v>
      </c>
      <c r="D174" s="231" t="str">
        <f>WEEKLY!B372</f>
        <v>ISOLASI KECIL</v>
      </c>
      <c r="E174" s="265">
        <v>8004.2000000000044</v>
      </c>
      <c r="F174" s="257">
        <v>-0.59999999999999964</v>
      </c>
      <c r="G174" s="257">
        <v>45328.799999999996</v>
      </c>
      <c r="H174" s="257">
        <v>13.6</v>
      </c>
      <c r="I174" s="257"/>
      <c r="J174" s="257"/>
      <c r="K174" s="257"/>
      <c r="L174" s="257"/>
      <c r="M174" s="257"/>
      <c r="N174" s="257"/>
      <c r="O174" s="257"/>
      <c r="P174" s="257"/>
      <c r="Q174" s="257"/>
      <c r="R174" s="257"/>
      <c r="S174" s="257"/>
      <c r="T174" s="257"/>
      <c r="U174" s="257"/>
      <c r="V174" s="257"/>
      <c r="W174" s="257"/>
      <c r="X174" s="257"/>
      <c r="Y174" s="257"/>
      <c r="Z174" s="257"/>
      <c r="AA174" s="257"/>
      <c r="AB174" s="257"/>
      <c r="AC174" s="257"/>
      <c r="AD174" s="257"/>
      <c r="AE174" s="257"/>
      <c r="AF174" s="257"/>
      <c r="AG174" s="257"/>
      <c r="AH174" s="257"/>
      <c r="AI174" s="247">
        <f t="shared" si="13"/>
        <v>0</v>
      </c>
      <c r="AJ174" s="247">
        <f t="shared" si="13"/>
        <v>0</v>
      </c>
      <c r="AK174" s="257">
        <f>WEEKLY!F372</f>
        <v>39996</v>
      </c>
      <c r="AL174" s="257">
        <f>WEEKLY!D372</f>
        <v>12</v>
      </c>
      <c r="AM174" s="247">
        <f t="shared" si="14"/>
        <v>5332.7999999999956</v>
      </c>
      <c r="AN174" s="248">
        <f t="shared" si="14"/>
        <v>1.5999999999999996</v>
      </c>
    </row>
    <row r="175" spans="2:42" ht="30" customHeight="1" thickBot="1" x14ac:dyDescent="0.3">
      <c r="B175" s="353"/>
      <c r="C175" s="354">
        <v>9</v>
      </c>
      <c r="D175" s="236" t="str">
        <f>WEEKLY!B373</f>
        <v>STRUK REGISTER</v>
      </c>
      <c r="E175" s="302">
        <v>80000</v>
      </c>
      <c r="F175" s="303">
        <v>20</v>
      </c>
      <c r="G175" s="303">
        <v>196000</v>
      </c>
      <c r="H175" s="303">
        <v>49</v>
      </c>
      <c r="I175" s="303"/>
      <c r="J175" s="303"/>
      <c r="K175" s="303"/>
      <c r="L175" s="303"/>
      <c r="M175" s="303"/>
      <c r="N175" s="303"/>
      <c r="O175" s="303"/>
      <c r="P175" s="303"/>
      <c r="Q175" s="303"/>
      <c r="R175" s="303"/>
      <c r="S175" s="303"/>
      <c r="T175" s="303"/>
      <c r="U175" s="303"/>
      <c r="V175" s="303"/>
      <c r="W175" s="303"/>
      <c r="X175" s="303"/>
      <c r="Y175" s="303"/>
      <c r="Z175" s="303"/>
      <c r="AA175" s="303"/>
      <c r="AB175" s="303"/>
      <c r="AC175" s="303"/>
      <c r="AD175" s="303"/>
      <c r="AE175" s="303"/>
      <c r="AF175" s="303"/>
      <c r="AG175" s="303"/>
      <c r="AH175" s="303"/>
      <c r="AI175" s="278">
        <f t="shared" si="13"/>
        <v>0</v>
      </c>
      <c r="AJ175" s="278">
        <f t="shared" si="13"/>
        <v>0</v>
      </c>
      <c r="AK175" s="278">
        <f>WEEKLY!F373</f>
        <v>140000</v>
      </c>
      <c r="AL175" s="278">
        <f>WEEKLY!D373</f>
        <v>35</v>
      </c>
      <c r="AM175" s="278">
        <f t="shared" si="14"/>
        <v>56000</v>
      </c>
      <c r="AN175" s="279">
        <f t="shared" si="14"/>
        <v>14</v>
      </c>
    </row>
    <row r="176" spans="2:42" ht="30" customHeight="1" x14ac:dyDescent="0.25">
      <c r="B176" s="1374" t="s">
        <v>190</v>
      </c>
      <c r="C176" s="244">
        <v>1</v>
      </c>
      <c r="D176" s="249" t="s">
        <v>191</v>
      </c>
      <c r="E176" s="246">
        <v>87197.75</v>
      </c>
      <c r="F176" s="247">
        <v>0</v>
      </c>
      <c r="G176" s="247">
        <v>293902.75</v>
      </c>
      <c r="H176" s="247"/>
      <c r="I176" s="247"/>
      <c r="J176" s="247"/>
      <c r="K176" s="247"/>
      <c r="L176" s="247"/>
      <c r="M176" s="247">
        <v>55400</v>
      </c>
      <c r="N176" s="247"/>
      <c r="O176" s="247"/>
      <c r="P176" s="247"/>
      <c r="Q176" s="247"/>
      <c r="R176" s="247"/>
      <c r="S176" s="247"/>
      <c r="T176" s="247"/>
      <c r="U176" s="247">
        <v>87700</v>
      </c>
      <c r="V176" s="247"/>
      <c r="W176" s="247"/>
      <c r="X176" s="247"/>
      <c r="Y176" s="247"/>
      <c r="Z176" s="247"/>
      <c r="AA176" s="247"/>
      <c r="AB176" s="247"/>
      <c r="AC176" s="247"/>
      <c r="AD176" s="247"/>
      <c r="AE176" s="247">
        <v>63830</v>
      </c>
      <c r="AF176" s="247"/>
      <c r="AG176" s="247"/>
      <c r="AH176" s="247"/>
      <c r="AI176" s="247">
        <f t="shared" si="13"/>
        <v>206930</v>
      </c>
      <c r="AJ176" s="247">
        <f t="shared" si="13"/>
        <v>0</v>
      </c>
      <c r="AK176" s="247">
        <f>WEEKLY!F369</f>
        <v>329946.75</v>
      </c>
      <c r="AL176" s="247"/>
      <c r="AM176" s="247">
        <f t="shared" si="14"/>
        <v>170886</v>
      </c>
      <c r="AN176" s="248">
        <f t="shared" si="14"/>
        <v>0</v>
      </c>
      <c r="AO176" s="215" t="s">
        <v>107</v>
      </c>
      <c r="AP176" s="280">
        <f>SUM(AM175:AM176)</f>
        <v>226886</v>
      </c>
    </row>
    <row r="177" spans="2:40" ht="30" customHeight="1" x14ac:dyDescent="0.25">
      <c r="B177" s="1375"/>
      <c r="C177" s="230">
        <v>2</v>
      </c>
      <c r="D177" s="355" t="s">
        <v>192</v>
      </c>
      <c r="E177" s="265">
        <v>75000</v>
      </c>
      <c r="F177" s="257">
        <v>0</v>
      </c>
      <c r="G177" s="257"/>
      <c r="H177" s="257"/>
      <c r="I177" s="257">
        <v>7000</v>
      </c>
      <c r="J177" s="257"/>
      <c r="K177" s="257"/>
      <c r="L177" s="257"/>
      <c r="M177" s="257">
        <v>52000</v>
      </c>
      <c r="N177" s="257"/>
      <c r="O177" s="257"/>
      <c r="P177" s="257"/>
      <c r="Q177" s="257"/>
      <c r="R177" s="257"/>
      <c r="S177" s="257"/>
      <c r="T177" s="257"/>
      <c r="U177" s="257"/>
      <c r="V177" s="257"/>
      <c r="W177" s="257"/>
      <c r="X177" s="257"/>
      <c r="Y177" s="257"/>
      <c r="Z177" s="257"/>
      <c r="AA177" s="257"/>
      <c r="AB177" s="257"/>
      <c r="AC177" s="257"/>
      <c r="AD177" s="257"/>
      <c r="AE177" s="257"/>
      <c r="AF177" s="257"/>
      <c r="AG177" s="257"/>
      <c r="AH177" s="257"/>
      <c r="AI177" s="247">
        <f t="shared" si="13"/>
        <v>59000</v>
      </c>
      <c r="AJ177" s="247">
        <f t="shared" si="13"/>
        <v>0</v>
      </c>
      <c r="AK177" s="257"/>
      <c r="AL177" s="257"/>
      <c r="AM177" s="247">
        <f t="shared" si="14"/>
        <v>59000</v>
      </c>
      <c r="AN177" s="248">
        <f t="shared" si="14"/>
        <v>0</v>
      </c>
    </row>
    <row r="178" spans="2:40" ht="30" customHeight="1" x14ac:dyDescent="0.25">
      <c r="B178" s="1375"/>
      <c r="C178" s="230">
        <v>3</v>
      </c>
      <c r="D178" s="355" t="s">
        <v>94</v>
      </c>
      <c r="E178" s="265">
        <v>13000</v>
      </c>
      <c r="F178" s="257">
        <v>0</v>
      </c>
      <c r="G178" s="257"/>
      <c r="H178" s="257"/>
      <c r="I178" s="257"/>
      <c r="J178" s="257"/>
      <c r="K178" s="257">
        <v>500000</v>
      </c>
      <c r="L178" s="257"/>
      <c r="M178" s="257"/>
      <c r="N178" s="257"/>
      <c r="O178" s="257"/>
      <c r="P178" s="257"/>
      <c r="Q178" s="257">
        <v>26000</v>
      </c>
      <c r="R178" s="257"/>
      <c r="S178" s="257"/>
      <c r="T178" s="257"/>
      <c r="U178" s="257"/>
      <c r="V178" s="257"/>
      <c r="W178" s="257"/>
      <c r="X178" s="257"/>
      <c r="Y178" s="257"/>
      <c r="Z178" s="257"/>
      <c r="AA178" s="257"/>
      <c r="AB178" s="257"/>
      <c r="AC178" s="257"/>
      <c r="AD178" s="257"/>
      <c r="AE178" s="257"/>
      <c r="AF178" s="257"/>
      <c r="AG178" s="257"/>
      <c r="AH178" s="257"/>
      <c r="AI178" s="247">
        <f t="shared" si="13"/>
        <v>526000</v>
      </c>
      <c r="AJ178" s="247">
        <f t="shared" si="13"/>
        <v>0</v>
      </c>
      <c r="AK178" s="257"/>
      <c r="AL178" s="257"/>
      <c r="AM178" s="247">
        <f t="shared" si="14"/>
        <v>526000</v>
      </c>
      <c r="AN178" s="248">
        <f t="shared" si="14"/>
        <v>0</v>
      </c>
    </row>
    <row r="179" spans="2:40" ht="30" customHeight="1" x14ac:dyDescent="0.25">
      <c r="B179" s="1375"/>
      <c r="C179" s="230">
        <v>4</v>
      </c>
      <c r="D179" s="355" t="s">
        <v>953</v>
      </c>
      <c r="E179" s="265">
        <v>10000000</v>
      </c>
      <c r="F179" s="257">
        <v>0</v>
      </c>
      <c r="G179" s="257"/>
      <c r="H179" s="257"/>
      <c r="I179" s="257"/>
      <c r="J179" s="257"/>
      <c r="K179" s="257"/>
      <c r="L179" s="257"/>
      <c r="M179" s="257"/>
      <c r="N179" s="257"/>
      <c r="O179" s="257"/>
      <c r="P179" s="257"/>
      <c r="Q179" s="257"/>
      <c r="R179" s="257"/>
      <c r="S179" s="257">
        <v>1500000</v>
      </c>
      <c r="T179" s="257"/>
      <c r="U179" s="257">
        <v>1500000</v>
      </c>
      <c r="V179" s="257"/>
      <c r="W179" s="257"/>
      <c r="X179" s="257"/>
      <c r="Y179" s="257"/>
      <c r="Z179" s="257"/>
      <c r="AA179" s="257"/>
      <c r="AB179" s="257"/>
      <c r="AC179" s="257"/>
      <c r="AD179" s="257"/>
      <c r="AE179" s="257"/>
      <c r="AF179" s="257"/>
      <c r="AG179" s="257"/>
      <c r="AH179" s="257"/>
      <c r="AI179" s="247">
        <f t="shared" si="13"/>
        <v>3000000</v>
      </c>
      <c r="AJ179" s="247">
        <f t="shared" si="13"/>
        <v>0</v>
      </c>
      <c r="AK179" s="257"/>
      <c r="AL179" s="257"/>
      <c r="AM179" s="247">
        <f t="shared" si="14"/>
        <v>3000000</v>
      </c>
      <c r="AN179" s="248">
        <f t="shared" si="14"/>
        <v>0</v>
      </c>
    </row>
    <row r="180" spans="2:40" ht="30" customHeight="1" x14ac:dyDescent="0.25">
      <c r="B180" s="1375"/>
      <c r="C180" s="230">
        <v>5</v>
      </c>
      <c r="D180" s="355" t="s">
        <v>193</v>
      </c>
      <c r="E180" s="265">
        <v>0</v>
      </c>
      <c r="F180" s="257">
        <v>0</v>
      </c>
      <c r="G180" s="257"/>
      <c r="H180" s="257"/>
      <c r="I180" s="257"/>
      <c r="J180" s="257"/>
      <c r="K180" s="257"/>
      <c r="L180" s="257"/>
      <c r="M180" s="257"/>
      <c r="N180" s="257"/>
      <c r="O180" s="257"/>
      <c r="P180" s="257"/>
      <c r="Q180" s="257"/>
      <c r="R180" s="257"/>
      <c r="S180" s="257"/>
      <c r="T180" s="257"/>
      <c r="U180" s="257"/>
      <c r="V180" s="257"/>
      <c r="W180" s="257"/>
      <c r="X180" s="257"/>
      <c r="Y180" s="257"/>
      <c r="Z180" s="257"/>
      <c r="AA180" s="257"/>
      <c r="AB180" s="257"/>
      <c r="AC180" s="257"/>
      <c r="AD180" s="257"/>
      <c r="AE180" s="257"/>
      <c r="AF180" s="257"/>
      <c r="AG180" s="257"/>
      <c r="AH180" s="257"/>
      <c r="AI180" s="247">
        <f t="shared" si="13"/>
        <v>0</v>
      </c>
      <c r="AJ180" s="247">
        <f t="shared" si="13"/>
        <v>0</v>
      </c>
      <c r="AK180" s="257"/>
      <c r="AL180" s="257"/>
      <c r="AM180" s="247">
        <f t="shared" si="14"/>
        <v>0</v>
      </c>
      <c r="AN180" s="248">
        <f t="shared" si="14"/>
        <v>0</v>
      </c>
    </row>
    <row r="181" spans="2:40" ht="30" customHeight="1" x14ac:dyDescent="0.25">
      <c r="B181" s="1375"/>
      <c r="C181" s="230">
        <v>6</v>
      </c>
      <c r="D181" s="355" t="s">
        <v>954</v>
      </c>
      <c r="E181" s="265">
        <v>0</v>
      </c>
      <c r="F181" s="257">
        <v>0</v>
      </c>
      <c r="G181" s="257"/>
      <c r="H181" s="257"/>
      <c r="I181" s="257"/>
      <c r="J181" s="257"/>
      <c r="K181" s="257"/>
      <c r="L181" s="257"/>
      <c r="M181" s="257"/>
      <c r="N181" s="257"/>
      <c r="O181" s="257"/>
      <c r="P181" s="257"/>
      <c r="Q181" s="257"/>
      <c r="R181" s="257"/>
      <c r="S181" s="257"/>
      <c r="T181" s="257"/>
      <c r="U181" s="257"/>
      <c r="V181" s="257"/>
      <c r="W181" s="257"/>
      <c r="X181" s="257"/>
      <c r="Y181" s="257"/>
      <c r="Z181" s="257"/>
      <c r="AA181" s="257"/>
      <c r="AB181" s="257"/>
      <c r="AC181" s="257"/>
      <c r="AD181" s="257"/>
      <c r="AE181" s="257"/>
      <c r="AF181" s="257"/>
      <c r="AG181" s="257"/>
      <c r="AH181" s="257"/>
      <c r="AI181" s="247">
        <f t="shared" si="13"/>
        <v>0</v>
      </c>
      <c r="AJ181" s="247">
        <f t="shared" si="13"/>
        <v>0</v>
      </c>
      <c r="AK181" s="257"/>
      <c r="AL181" s="257"/>
      <c r="AM181" s="247">
        <f t="shared" si="14"/>
        <v>0</v>
      </c>
      <c r="AN181" s="248">
        <f t="shared" si="14"/>
        <v>0</v>
      </c>
    </row>
    <row r="182" spans="2:40" ht="30" customHeight="1" x14ac:dyDescent="0.25">
      <c r="B182" s="1375"/>
      <c r="C182" s="230">
        <v>7</v>
      </c>
      <c r="D182" s="355" t="s">
        <v>955</v>
      </c>
      <c r="E182" s="265">
        <v>0</v>
      </c>
      <c r="F182" s="257">
        <v>0</v>
      </c>
      <c r="G182" s="257"/>
      <c r="H182" s="257"/>
      <c r="I182" s="257"/>
      <c r="J182" s="257"/>
      <c r="K182" s="257"/>
      <c r="L182" s="257"/>
      <c r="M182" s="257"/>
      <c r="N182" s="257"/>
      <c r="O182" s="257"/>
      <c r="P182" s="257"/>
      <c r="Q182" s="257"/>
      <c r="R182" s="257"/>
      <c r="S182" s="257"/>
      <c r="T182" s="257"/>
      <c r="U182" s="257"/>
      <c r="V182" s="257"/>
      <c r="W182" s="257"/>
      <c r="X182" s="257"/>
      <c r="Y182" s="257"/>
      <c r="Z182" s="257"/>
      <c r="AA182" s="257"/>
      <c r="AB182" s="257"/>
      <c r="AC182" s="257"/>
      <c r="AD182" s="257"/>
      <c r="AE182" s="257"/>
      <c r="AF182" s="257"/>
      <c r="AG182" s="257"/>
      <c r="AH182" s="257"/>
      <c r="AI182" s="247">
        <f t="shared" si="13"/>
        <v>0</v>
      </c>
      <c r="AJ182" s="247">
        <f t="shared" si="13"/>
        <v>0</v>
      </c>
      <c r="AK182" s="257"/>
      <c r="AL182" s="257"/>
      <c r="AM182" s="247">
        <f t="shared" si="14"/>
        <v>0</v>
      </c>
      <c r="AN182" s="248">
        <f t="shared" si="14"/>
        <v>0</v>
      </c>
    </row>
    <row r="183" spans="2:40" ht="30" customHeight="1" x14ac:dyDescent="0.25">
      <c r="B183" s="1375"/>
      <c r="C183" s="230">
        <v>8</v>
      </c>
      <c r="D183" s="355" t="s">
        <v>956</v>
      </c>
      <c r="E183" s="265">
        <v>0</v>
      </c>
      <c r="F183" s="257">
        <v>0</v>
      </c>
      <c r="G183" s="257"/>
      <c r="H183" s="257"/>
      <c r="I183" s="257"/>
      <c r="J183" s="257"/>
      <c r="K183" s="257"/>
      <c r="L183" s="257"/>
      <c r="M183" s="257"/>
      <c r="N183" s="257"/>
      <c r="O183" s="257"/>
      <c r="P183" s="257"/>
      <c r="Q183" s="257"/>
      <c r="R183" s="257"/>
      <c r="S183" s="257"/>
      <c r="T183" s="257"/>
      <c r="U183" s="257"/>
      <c r="V183" s="257"/>
      <c r="W183" s="257"/>
      <c r="X183" s="257"/>
      <c r="Y183" s="257"/>
      <c r="Z183" s="257"/>
      <c r="AA183" s="257"/>
      <c r="AB183" s="257"/>
      <c r="AC183" s="257"/>
      <c r="AD183" s="257"/>
      <c r="AE183" s="257"/>
      <c r="AF183" s="257"/>
      <c r="AG183" s="257"/>
      <c r="AH183" s="257"/>
      <c r="AI183" s="247">
        <f t="shared" si="13"/>
        <v>0</v>
      </c>
      <c r="AJ183" s="247">
        <f t="shared" si="13"/>
        <v>0</v>
      </c>
      <c r="AK183" s="257"/>
      <c r="AL183" s="257"/>
      <c r="AM183" s="247">
        <f t="shared" si="14"/>
        <v>0</v>
      </c>
      <c r="AN183" s="248">
        <f t="shared" si="14"/>
        <v>0</v>
      </c>
    </row>
    <row r="184" spans="2:40" ht="30" customHeight="1" x14ac:dyDescent="0.25">
      <c r="B184" s="1375"/>
      <c r="C184" s="230">
        <v>9</v>
      </c>
      <c r="D184" s="355" t="s">
        <v>957</v>
      </c>
      <c r="E184" s="265">
        <v>0</v>
      </c>
      <c r="F184" s="257">
        <v>0</v>
      </c>
      <c r="G184" s="257"/>
      <c r="H184" s="257"/>
      <c r="I184" s="257"/>
      <c r="J184" s="257"/>
      <c r="K184" s="257"/>
      <c r="L184" s="257"/>
      <c r="M184" s="257"/>
      <c r="N184" s="257"/>
      <c r="O184" s="257"/>
      <c r="P184" s="257"/>
      <c r="Q184" s="257"/>
      <c r="R184" s="257"/>
      <c r="S184" s="257"/>
      <c r="T184" s="257"/>
      <c r="U184" s="257"/>
      <c r="V184" s="257"/>
      <c r="W184" s="257"/>
      <c r="X184" s="257"/>
      <c r="Y184" s="257"/>
      <c r="Z184" s="257"/>
      <c r="AA184" s="257"/>
      <c r="AB184" s="257"/>
      <c r="AC184" s="257"/>
      <c r="AD184" s="257"/>
      <c r="AE184" s="257"/>
      <c r="AF184" s="257"/>
      <c r="AG184" s="257"/>
      <c r="AH184" s="257"/>
      <c r="AI184" s="247">
        <f t="shared" si="13"/>
        <v>0</v>
      </c>
      <c r="AJ184" s="247">
        <f t="shared" si="13"/>
        <v>0</v>
      </c>
      <c r="AK184" s="257"/>
      <c r="AL184" s="257"/>
      <c r="AM184" s="247">
        <f t="shared" si="14"/>
        <v>0</v>
      </c>
      <c r="AN184" s="248">
        <f t="shared" si="14"/>
        <v>0</v>
      </c>
    </row>
    <row r="185" spans="2:40" ht="30" customHeight="1" x14ac:dyDescent="0.25">
      <c r="B185" s="1375"/>
      <c r="C185" s="230">
        <v>8</v>
      </c>
      <c r="D185" s="355" t="s">
        <v>1019</v>
      </c>
      <c r="E185" s="265">
        <v>6439500</v>
      </c>
      <c r="F185" s="257">
        <v>0</v>
      </c>
      <c r="G185" s="257"/>
      <c r="H185" s="257"/>
      <c r="I185" s="257">
        <v>830500</v>
      </c>
      <c r="J185" s="257"/>
      <c r="K185" s="257">
        <v>1042500</v>
      </c>
      <c r="L185" s="257"/>
      <c r="M185" s="257">
        <v>787000</v>
      </c>
      <c r="N185" s="257"/>
      <c r="O185" s="257">
        <v>607000</v>
      </c>
      <c r="P185" s="257"/>
      <c r="Q185" s="257">
        <v>1541500</v>
      </c>
      <c r="R185" s="257"/>
      <c r="S185" s="257">
        <v>626500</v>
      </c>
      <c r="T185" s="257"/>
      <c r="U185" s="257">
        <v>436000</v>
      </c>
      <c r="V185" s="257"/>
      <c r="W185" s="257"/>
      <c r="X185" s="257"/>
      <c r="Y185" s="257"/>
      <c r="Z185" s="257"/>
      <c r="AA185" s="257"/>
      <c r="AB185" s="257"/>
      <c r="AC185" s="257"/>
      <c r="AD185" s="257"/>
      <c r="AE185" s="257"/>
      <c r="AF185" s="257"/>
      <c r="AG185" s="257"/>
      <c r="AH185" s="257"/>
      <c r="AI185" s="247">
        <f t="shared" si="13"/>
        <v>5871000</v>
      </c>
      <c r="AJ185" s="247">
        <f t="shared" si="13"/>
        <v>0</v>
      </c>
      <c r="AK185" s="257"/>
      <c r="AL185" s="257"/>
      <c r="AM185" s="247">
        <f t="shared" si="14"/>
        <v>5871000</v>
      </c>
      <c r="AN185" s="248">
        <f t="shared" si="14"/>
        <v>0</v>
      </c>
    </row>
    <row r="186" spans="2:40" ht="30" customHeight="1" x14ac:dyDescent="0.25">
      <c r="B186" s="1375"/>
      <c r="C186" s="230">
        <v>10</v>
      </c>
      <c r="D186" s="355" t="s">
        <v>958</v>
      </c>
      <c r="E186" s="265">
        <v>0</v>
      </c>
      <c r="F186" s="257">
        <v>0</v>
      </c>
      <c r="G186" s="257"/>
      <c r="H186" s="257"/>
      <c r="I186" s="257"/>
      <c r="J186" s="257"/>
      <c r="K186" s="257"/>
      <c r="L186" s="257"/>
      <c r="M186" s="257"/>
      <c r="N186" s="257"/>
      <c r="O186" s="257"/>
      <c r="P186" s="257"/>
      <c r="Q186" s="257"/>
      <c r="R186" s="257"/>
      <c r="S186" s="257"/>
      <c r="T186" s="257"/>
      <c r="U186" s="257"/>
      <c r="V186" s="257"/>
      <c r="W186" s="257"/>
      <c r="X186" s="257"/>
      <c r="Y186" s="257"/>
      <c r="Z186" s="257"/>
      <c r="AA186" s="257"/>
      <c r="AB186" s="257"/>
      <c r="AC186" s="257"/>
      <c r="AD186" s="257"/>
      <c r="AE186" s="257"/>
      <c r="AF186" s="257"/>
      <c r="AG186" s="257"/>
      <c r="AH186" s="257"/>
      <c r="AI186" s="247">
        <f t="shared" si="13"/>
        <v>0</v>
      </c>
      <c r="AJ186" s="247">
        <f t="shared" si="13"/>
        <v>0</v>
      </c>
      <c r="AK186" s="257"/>
      <c r="AL186" s="257"/>
      <c r="AM186" s="247">
        <f t="shared" si="14"/>
        <v>0</v>
      </c>
      <c r="AN186" s="248">
        <f t="shared" si="14"/>
        <v>0</v>
      </c>
    </row>
    <row r="187" spans="2:40" ht="30" customHeight="1" x14ac:dyDescent="0.25">
      <c r="B187" s="1375"/>
      <c r="C187" s="230">
        <v>11</v>
      </c>
      <c r="D187" s="355" t="s">
        <v>1031</v>
      </c>
      <c r="E187" s="265">
        <v>3528000</v>
      </c>
      <c r="F187" s="257">
        <v>0</v>
      </c>
      <c r="G187" s="257"/>
      <c r="H187" s="257"/>
      <c r="I187" s="257"/>
      <c r="J187" s="257"/>
      <c r="K187" s="257"/>
      <c r="L187" s="257"/>
      <c r="M187" s="257">
        <v>2468000</v>
      </c>
      <c r="N187" s="257"/>
      <c r="O187" s="257"/>
      <c r="P187" s="257"/>
      <c r="Q187" s="257">
        <v>1000000</v>
      </c>
      <c r="R187" s="257"/>
      <c r="S187" s="257"/>
      <c r="T187" s="257"/>
      <c r="U187" s="257"/>
      <c r="V187" s="257"/>
      <c r="W187" s="257"/>
      <c r="X187" s="257"/>
      <c r="Y187" s="257"/>
      <c r="Z187" s="257"/>
      <c r="AA187" s="257"/>
      <c r="AB187" s="257"/>
      <c r="AC187" s="257"/>
      <c r="AD187" s="257"/>
      <c r="AE187" s="257"/>
      <c r="AF187" s="257"/>
      <c r="AG187" s="257"/>
      <c r="AH187" s="257"/>
      <c r="AI187" s="247">
        <f t="shared" si="13"/>
        <v>3468000</v>
      </c>
      <c r="AJ187" s="247">
        <f t="shared" si="13"/>
        <v>0</v>
      </c>
      <c r="AK187" s="257"/>
      <c r="AL187" s="257"/>
      <c r="AM187" s="247">
        <f t="shared" si="14"/>
        <v>3468000</v>
      </c>
      <c r="AN187" s="248">
        <f t="shared" si="14"/>
        <v>0</v>
      </c>
    </row>
    <row r="188" spans="2:40" ht="30" customHeight="1" x14ac:dyDescent="0.25">
      <c r="B188" s="1375"/>
      <c r="C188" s="230">
        <v>12</v>
      </c>
      <c r="D188" s="355" t="s">
        <v>961</v>
      </c>
      <c r="E188" s="265">
        <v>4482875</v>
      </c>
      <c r="F188" s="257">
        <v>0</v>
      </c>
      <c r="G188" s="257"/>
      <c r="H188" s="257"/>
      <c r="I188" s="257"/>
      <c r="J188" s="257"/>
      <c r="K188" s="257"/>
      <c r="L188" s="257"/>
      <c r="M188" s="257"/>
      <c r="N188" s="257"/>
      <c r="O188" s="257"/>
      <c r="P188" s="257"/>
      <c r="Q188" s="257">
        <v>3386425</v>
      </c>
      <c r="R188" s="257"/>
      <c r="S188" s="257"/>
      <c r="T188" s="257"/>
      <c r="U188" s="257"/>
      <c r="V188" s="257"/>
      <c r="W188" s="257"/>
      <c r="X188" s="257"/>
      <c r="Y188" s="257"/>
      <c r="Z188" s="257"/>
      <c r="AA188" s="257"/>
      <c r="AB188" s="257"/>
      <c r="AC188" s="257"/>
      <c r="AD188" s="257"/>
      <c r="AE188" s="257"/>
      <c r="AF188" s="257"/>
      <c r="AG188" s="257"/>
      <c r="AH188" s="257"/>
      <c r="AI188" s="247">
        <f t="shared" si="13"/>
        <v>3386425</v>
      </c>
      <c r="AJ188" s="247">
        <f t="shared" si="13"/>
        <v>0</v>
      </c>
      <c r="AK188" s="257"/>
      <c r="AL188" s="257"/>
      <c r="AM188" s="247">
        <f t="shared" si="14"/>
        <v>3386425</v>
      </c>
      <c r="AN188" s="248">
        <f t="shared" si="14"/>
        <v>0</v>
      </c>
    </row>
    <row r="189" spans="2:40" ht="30" customHeight="1" x14ac:dyDescent="0.25">
      <c r="B189" s="1375"/>
      <c r="C189" s="230">
        <v>13</v>
      </c>
      <c r="D189" s="355" t="s">
        <v>959</v>
      </c>
      <c r="E189" s="265">
        <v>10109034</v>
      </c>
      <c r="F189" s="257">
        <v>0</v>
      </c>
      <c r="G189" s="257"/>
      <c r="H189" s="257"/>
      <c r="I189" s="257"/>
      <c r="J189" s="257"/>
      <c r="K189" s="257"/>
      <c r="L189" s="257"/>
      <c r="M189" s="257"/>
      <c r="N189" s="257"/>
      <c r="O189" s="257"/>
      <c r="P189" s="257"/>
      <c r="Q189" s="257"/>
      <c r="R189" s="257"/>
      <c r="S189" s="257"/>
      <c r="T189" s="257"/>
      <c r="U189" s="257"/>
      <c r="V189" s="257"/>
      <c r="W189" s="257"/>
      <c r="X189" s="257"/>
      <c r="Y189" s="257"/>
      <c r="Z189" s="257"/>
      <c r="AA189" s="257"/>
      <c r="AB189" s="257"/>
      <c r="AC189" s="257"/>
      <c r="AD189" s="257"/>
      <c r="AE189" s="257"/>
      <c r="AF189" s="257"/>
      <c r="AG189" s="257"/>
      <c r="AH189" s="257"/>
      <c r="AI189" s="247">
        <f t="shared" si="13"/>
        <v>0</v>
      </c>
      <c r="AJ189" s="247">
        <f t="shared" si="13"/>
        <v>0</v>
      </c>
      <c r="AK189" s="257"/>
      <c r="AL189" s="257"/>
      <c r="AM189" s="247">
        <f t="shared" si="14"/>
        <v>0</v>
      </c>
      <c r="AN189" s="248">
        <f t="shared" si="14"/>
        <v>0</v>
      </c>
    </row>
    <row r="190" spans="2:40" ht="30" customHeight="1" x14ac:dyDescent="0.25">
      <c r="B190" s="1375"/>
      <c r="C190" s="230">
        <v>14</v>
      </c>
      <c r="D190" s="355" t="s">
        <v>960</v>
      </c>
      <c r="E190" s="265">
        <v>0</v>
      </c>
      <c r="F190" s="257">
        <v>0</v>
      </c>
      <c r="G190" s="257"/>
      <c r="H190" s="257"/>
      <c r="I190" s="257"/>
      <c r="J190" s="257"/>
      <c r="K190" s="257"/>
      <c r="L190" s="257"/>
      <c r="M190" s="257"/>
      <c r="N190" s="257"/>
      <c r="O190" s="257"/>
      <c r="P190" s="257"/>
      <c r="Q190" s="257"/>
      <c r="R190" s="257"/>
      <c r="S190" s="257"/>
      <c r="T190" s="257"/>
      <c r="U190" s="257"/>
      <c r="V190" s="257"/>
      <c r="W190" s="257"/>
      <c r="X190" s="257"/>
      <c r="Y190" s="257"/>
      <c r="Z190" s="257"/>
      <c r="AA190" s="257"/>
      <c r="AB190" s="257"/>
      <c r="AC190" s="257"/>
      <c r="AD190" s="257"/>
      <c r="AE190" s="257"/>
      <c r="AF190" s="257"/>
      <c r="AG190" s="257"/>
      <c r="AH190" s="257"/>
      <c r="AI190" s="247">
        <f t="shared" si="13"/>
        <v>0</v>
      </c>
      <c r="AJ190" s="247">
        <f t="shared" si="13"/>
        <v>0</v>
      </c>
      <c r="AK190" s="257"/>
      <c r="AL190" s="257"/>
      <c r="AM190" s="247">
        <f t="shared" si="14"/>
        <v>0</v>
      </c>
      <c r="AN190" s="248">
        <f t="shared" si="14"/>
        <v>0</v>
      </c>
    </row>
    <row r="191" spans="2:40" ht="30" customHeight="1" x14ac:dyDescent="0.25">
      <c r="B191" s="1375"/>
      <c r="C191" s="230">
        <v>15</v>
      </c>
      <c r="D191" s="355" t="s">
        <v>936</v>
      </c>
      <c r="E191" s="276">
        <v>410000</v>
      </c>
      <c r="F191" s="277">
        <v>0</v>
      </c>
      <c r="G191" s="277"/>
      <c r="H191" s="277"/>
      <c r="I191" s="277">
        <v>203000</v>
      </c>
      <c r="J191" s="277"/>
      <c r="K191" s="277"/>
      <c r="L191" s="277"/>
      <c r="M191" s="277"/>
      <c r="N191" s="277"/>
      <c r="O191" s="277"/>
      <c r="P191" s="277"/>
      <c r="Q191" s="277">
        <v>205000</v>
      </c>
      <c r="R191" s="277"/>
      <c r="S191" s="277"/>
      <c r="T191" s="277"/>
      <c r="U191" s="277"/>
      <c r="V191" s="277"/>
      <c r="W191" s="277"/>
      <c r="X191" s="277"/>
      <c r="Y191" s="277"/>
      <c r="Z191" s="277"/>
      <c r="AA191" s="277"/>
      <c r="AB191" s="277"/>
      <c r="AC191" s="277"/>
      <c r="AD191" s="277"/>
      <c r="AE191" s="277"/>
      <c r="AF191" s="277"/>
      <c r="AG191" s="277"/>
      <c r="AH191" s="277"/>
      <c r="AI191" s="247">
        <f t="shared" si="13"/>
        <v>408000</v>
      </c>
      <c r="AJ191" s="247">
        <f t="shared" si="13"/>
        <v>0</v>
      </c>
      <c r="AK191" s="277"/>
      <c r="AL191" s="277"/>
      <c r="AM191" s="247">
        <f t="shared" si="14"/>
        <v>408000</v>
      </c>
      <c r="AN191" s="248">
        <f t="shared" si="14"/>
        <v>0</v>
      </c>
    </row>
    <row r="192" spans="2:40" ht="30" customHeight="1" x14ac:dyDescent="0.25">
      <c r="B192" s="1375"/>
      <c r="C192" s="230">
        <v>16</v>
      </c>
      <c r="D192" s="355" t="s">
        <v>195</v>
      </c>
      <c r="E192" s="276">
        <v>92237</v>
      </c>
      <c r="F192" s="277">
        <v>0</v>
      </c>
      <c r="G192" s="277"/>
      <c r="H192" s="277"/>
      <c r="I192" s="277"/>
      <c r="J192" s="277"/>
      <c r="K192" s="277"/>
      <c r="L192" s="277"/>
      <c r="M192" s="277"/>
      <c r="N192" s="277"/>
      <c r="O192" s="277">
        <v>25000</v>
      </c>
      <c r="P192" s="277"/>
      <c r="Q192" s="277"/>
      <c r="R192" s="277"/>
      <c r="S192" s="277"/>
      <c r="T192" s="277"/>
      <c r="U192" s="277"/>
      <c r="V192" s="277"/>
      <c r="W192" s="277"/>
      <c r="X192" s="277"/>
      <c r="Y192" s="277"/>
      <c r="Z192" s="277"/>
      <c r="AA192" s="277"/>
      <c r="AB192" s="277"/>
      <c r="AC192" s="277"/>
      <c r="AD192" s="277"/>
      <c r="AE192" s="277"/>
      <c r="AF192" s="277"/>
      <c r="AG192" s="277"/>
      <c r="AH192" s="277"/>
      <c r="AI192" s="247">
        <f t="shared" si="13"/>
        <v>25000</v>
      </c>
      <c r="AJ192" s="247">
        <f t="shared" si="13"/>
        <v>0</v>
      </c>
      <c r="AK192" s="277"/>
      <c r="AL192" s="277"/>
      <c r="AM192" s="247">
        <f t="shared" si="14"/>
        <v>25000</v>
      </c>
      <c r="AN192" s="248">
        <f t="shared" si="14"/>
        <v>0</v>
      </c>
    </row>
    <row r="193" spans="2:40" ht="30" customHeight="1" x14ac:dyDescent="0.25">
      <c r="B193" s="1375"/>
      <c r="C193" s="230">
        <v>17</v>
      </c>
      <c r="D193" s="355" t="s">
        <v>196</v>
      </c>
      <c r="E193" s="276">
        <v>61000</v>
      </c>
      <c r="F193" s="277">
        <v>0</v>
      </c>
      <c r="G193" s="277"/>
      <c r="H193" s="277"/>
      <c r="I193" s="277"/>
      <c r="J193" s="277"/>
      <c r="K193" s="277">
        <v>117000</v>
      </c>
      <c r="L193" s="277"/>
      <c r="M193" s="277"/>
      <c r="N193" s="277"/>
      <c r="O193" s="277"/>
      <c r="P193" s="277"/>
      <c r="Q193" s="277"/>
      <c r="R193" s="277"/>
      <c r="S193" s="277"/>
      <c r="T193" s="277"/>
      <c r="U193" s="277"/>
      <c r="V193" s="277"/>
      <c r="W193" s="277"/>
      <c r="X193" s="277"/>
      <c r="Y193" s="277"/>
      <c r="Z193" s="277"/>
      <c r="AA193" s="277"/>
      <c r="AB193" s="277"/>
      <c r="AC193" s="277"/>
      <c r="AD193" s="277"/>
      <c r="AE193" s="277"/>
      <c r="AF193" s="277"/>
      <c r="AG193" s="277"/>
      <c r="AH193" s="277"/>
      <c r="AI193" s="247">
        <f t="shared" si="13"/>
        <v>117000</v>
      </c>
      <c r="AJ193" s="247">
        <f t="shared" si="13"/>
        <v>0</v>
      </c>
      <c r="AK193" s="277"/>
      <c r="AL193" s="277"/>
      <c r="AM193" s="247">
        <f t="shared" si="14"/>
        <v>117000</v>
      </c>
      <c r="AN193" s="248">
        <f t="shared" si="14"/>
        <v>0</v>
      </c>
    </row>
    <row r="194" spans="2:40" ht="30" customHeight="1" x14ac:dyDescent="0.25">
      <c r="B194" s="1375"/>
      <c r="C194" s="230">
        <v>18</v>
      </c>
      <c r="D194" s="355" t="s">
        <v>194</v>
      </c>
      <c r="E194" s="276">
        <v>0</v>
      </c>
      <c r="F194" s="277">
        <v>0</v>
      </c>
      <c r="G194" s="277"/>
      <c r="H194" s="277"/>
      <c r="I194" s="277"/>
      <c r="J194" s="277"/>
      <c r="K194" s="277"/>
      <c r="L194" s="277"/>
      <c r="M194" s="277"/>
      <c r="N194" s="277"/>
      <c r="O194" s="277"/>
      <c r="P194" s="277"/>
      <c r="Q194" s="277"/>
      <c r="R194" s="277"/>
      <c r="S194" s="277"/>
      <c r="T194" s="277"/>
      <c r="U194" s="277"/>
      <c r="V194" s="277"/>
      <c r="W194" s="277"/>
      <c r="X194" s="277"/>
      <c r="Y194" s="277"/>
      <c r="Z194" s="277"/>
      <c r="AA194" s="277"/>
      <c r="AB194" s="277"/>
      <c r="AC194" s="277"/>
      <c r="AD194" s="277"/>
      <c r="AE194" s="277"/>
      <c r="AF194" s="277"/>
      <c r="AG194" s="277"/>
      <c r="AH194" s="277"/>
      <c r="AI194" s="247">
        <f t="shared" si="13"/>
        <v>0</v>
      </c>
      <c r="AJ194" s="247">
        <f t="shared" si="13"/>
        <v>0</v>
      </c>
      <c r="AK194" s="277"/>
      <c r="AL194" s="277"/>
      <c r="AM194" s="247">
        <f t="shared" si="14"/>
        <v>0</v>
      </c>
      <c r="AN194" s="248">
        <f t="shared" si="14"/>
        <v>0</v>
      </c>
    </row>
    <row r="195" spans="2:40" ht="30" customHeight="1" x14ac:dyDescent="0.25">
      <c r="B195" s="1375"/>
      <c r="C195" s="230">
        <v>19</v>
      </c>
      <c r="D195" s="355" t="s">
        <v>199</v>
      </c>
      <c r="E195" s="276">
        <v>0</v>
      </c>
      <c r="F195" s="277">
        <v>0</v>
      </c>
      <c r="G195" s="277"/>
      <c r="H195" s="277"/>
      <c r="I195" s="277"/>
      <c r="J195" s="277"/>
      <c r="K195" s="277"/>
      <c r="L195" s="277"/>
      <c r="M195" s="277"/>
      <c r="N195" s="277"/>
      <c r="O195" s="277"/>
      <c r="P195" s="277"/>
      <c r="Q195" s="277"/>
      <c r="R195" s="277"/>
      <c r="S195" s="277"/>
      <c r="T195" s="277"/>
      <c r="U195" s="277"/>
      <c r="V195" s="277"/>
      <c r="W195" s="277"/>
      <c r="X195" s="277"/>
      <c r="Y195" s="277"/>
      <c r="Z195" s="277"/>
      <c r="AA195" s="277"/>
      <c r="AB195" s="277"/>
      <c r="AC195" s="277"/>
      <c r="AD195" s="277"/>
      <c r="AE195" s="277"/>
      <c r="AF195" s="277"/>
      <c r="AG195" s="277"/>
      <c r="AH195" s="277"/>
      <c r="AI195" s="247">
        <f t="shared" si="13"/>
        <v>0</v>
      </c>
      <c r="AJ195" s="247">
        <f t="shared" si="13"/>
        <v>0</v>
      </c>
      <c r="AK195" s="277"/>
      <c r="AL195" s="277"/>
      <c r="AM195" s="247">
        <f t="shared" si="14"/>
        <v>0</v>
      </c>
      <c r="AN195" s="248">
        <f t="shared" si="14"/>
        <v>0</v>
      </c>
    </row>
    <row r="196" spans="2:40" ht="30" customHeight="1" x14ac:dyDescent="0.25">
      <c r="B196" s="1375"/>
      <c r="C196" s="230">
        <v>20</v>
      </c>
      <c r="D196" s="355" t="s">
        <v>197</v>
      </c>
      <c r="E196" s="276">
        <v>16524000</v>
      </c>
      <c r="F196" s="277">
        <v>0</v>
      </c>
      <c r="G196" s="277"/>
      <c r="H196" s="277"/>
      <c r="I196" s="277"/>
      <c r="J196" s="277"/>
      <c r="K196" s="277"/>
      <c r="L196" s="277"/>
      <c r="M196" s="277"/>
      <c r="N196" s="277"/>
      <c r="O196" s="277"/>
      <c r="P196" s="277"/>
      <c r="Q196" s="277"/>
      <c r="R196" s="277"/>
      <c r="S196" s="277"/>
      <c r="T196" s="277"/>
      <c r="U196" s="277"/>
      <c r="V196" s="277"/>
      <c r="W196" s="277"/>
      <c r="X196" s="277"/>
      <c r="Y196" s="277"/>
      <c r="Z196" s="277"/>
      <c r="AA196" s="277"/>
      <c r="AB196" s="277"/>
      <c r="AC196" s="277"/>
      <c r="AD196" s="277"/>
      <c r="AE196" s="277"/>
      <c r="AF196" s="277"/>
      <c r="AG196" s="277"/>
      <c r="AH196" s="277"/>
      <c r="AI196" s="247">
        <f t="shared" si="13"/>
        <v>0</v>
      </c>
      <c r="AJ196" s="247">
        <f t="shared" si="13"/>
        <v>0</v>
      </c>
      <c r="AK196" s="277"/>
      <c r="AL196" s="277"/>
      <c r="AM196" s="247">
        <f t="shared" si="14"/>
        <v>0</v>
      </c>
      <c r="AN196" s="248">
        <f t="shared" si="14"/>
        <v>0</v>
      </c>
    </row>
    <row r="197" spans="2:40" ht="30" customHeight="1" x14ac:dyDescent="0.25">
      <c r="B197" s="1375"/>
      <c r="C197" s="230">
        <v>21</v>
      </c>
      <c r="D197" s="355" t="s">
        <v>974</v>
      </c>
      <c r="E197" s="276">
        <v>0</v>
      </c>
      <c r="F197" s="277">
        <v>0</v>
      </c>
      <c r="G197" s="277"/>
      <c r="H197" s="277"/>
      <c r="I197" s="277"/>
      <c r="J197" s="277"/>
      <c r="K197" s="277"/>
      <c r="L197" s="277"/>
      <c r="M197" s="277"/>
      <c r="N197" s="277"/>
      <c r="O197" s="277"/>
      <c r="P197" s="277"/>
      <c r="Q197" s="277"/>
      <c r="R197" s="277"/>
      <c r="S197" s="277"/>
      <c r="T197" s="277"/>
      <c r="U197" s="277"/>
      <c r="V197" s="277"/>
      <c r="W197" s="277"/>
      <c r="X197" s="277"/>
      <c r="Y197" s="277"/>
      <c r="Z197" s="277"/>
      <c r="AA197" s="277"/>
      <c r="AB197" s="277"/>
      <c r="AC197" s="277"/>
      <c r="AD197" s="277"/>
      <c r="AE197" s="277"/>
      <c r="AF197" s="277"/>
      <c r="AG197" s="277"/>
      <c r="AH197" s="277"/>
      <c r="AI197" s="247">
        <f t="shared" si="13"/>
        <v>0</v>
      </c>
      <c r="AJ197" s="247">
        <f t="shared" si="13"/>
        <v>0</v>
      </c>
      <c r="AK197" s="277"/>
      <c r="AL197" s="277"/>
      <c r="AM197" s="247">
        <f t="shared" si="14"/>
        <v>0</v>
      </c>
      <c r="AN197" s="248">
        <f t="shared" si="14"/>
        <v>0</v>
      </c>
    </row>
    <row r="198" spans="2:40" ht="30" customHeight="1" x14ac:dyDescent="0.25">
      <c r="B198" s="1375"/>
      <c r="C198" s="230">
        <v>22</v>
      </c>
      <c r="D198" s="355" t="s">
        <v>198</v>
      </c>
      <c r="E198" s="276">
        <v>489727</v>
      </c>
      <c r="F198" s="277">
        <v>0</v>
      </c>
      <c r="G198" s="277"/>
      <c r="H198" s="277"/>
      <c r="I198" s="277"/>
      <c r="J198" s="277"/>
      <c r="K198" s="277"/>
      <c r="L198" s="277"/>
      <c r="M198" s="277"/>
      <c r="N198" s="277"/>
      <c r="O198" s="277"/>
      <c r="P198" s="277"/>
      <c r="Q198" s="277"/>
      <c r="R198" s="277"/>
      <c r="S198" s="277"/>
      <c r="T198" s="277"/>
      <c r="U198" s="277"/>
      <c r="V198" s="277"/>
      <c r="W198" s="277"/>
      <c r="X198" s="277"/>
      <c r="Y198" s="277"/>
      <c r="Z198" s="277"/>
      <c r="AA198" s="277"/>
      <c r="AB198" s="277"/>
      <c r="AC198" s="277"/>
      <c r="AD198" s="277"/>
      <c r="AE198" s="277"/>
      <c r="AF198" s="277"/>
      <c r="AG198" s="277"/>
      <c r="AH198" s="277"/>
      <c r="AI198" s="247">
        <f t="shared" si="13"/>
        <v>0</v>
      </c>
      <c r="AJ198" s="247">
        <f t="shared" si="13"/>
        <v>0</v>
      </c>
      <c r="AK198" s="277"/>
      <c r="AL198" s="277"/>
      <c r="AM198" s="247">
        <f t="shared" si="14"/>
        <v>0</v>
      </c>
      <c r="AN198" s="248">
        <f t="shared" si="14"/>
        <v>0</v>
      </c>
    </row>
    <row r="199" spans="2:40" ht="30" customHeight="1" x14ac:dyDescent="0.25">
      <c r="B199" s="1375"/>
      <c r="C199" s="230">
        <v>23</v>
      </c>
      <c r="D199" s="355" t="s">
        <v>1068</v>
      </c>
      <c r="E199" s="276">
        <v>70000</v>
      </c>
      <c r="F199" s="277">
        <v>0</v>
      </c>
      <c r="G199" s="277"/>
      <c r="H199" s="277"/>
      <c r="I199" s="277"/>
      <c r="J199" s="277"/>
      <c r="K199" s="277"/>
      <c r="L199" s="277"/>
      <c r="M199" s="277"/>
      <c r="N199" s="277"/>
      <c r="O199" s="277"/>
      <c r="P199" s="277"/>
      <c r="Q199" s="277"/>
      <c r="R199" s="277"/>
      <c r="S199" s="277">
        <v>800000</v>
      </c>
      <c r="T199" s="277"/>
      <c r="U199" s="277"/>
      <c r="V199" s="277"/>
      <c r="W199" s="277"/>
      <c r="X199" s="277"/>
      <c r="Y199" s="277"/>
      <c r="Z199" s="277"/>
      <c r="AA199" s="277"/>
      <c r="AB199" s="277"/>
      <c r="AC199" s="277"/>
      <c r="AD199" s="277"/>
      <c r="AE199" s="277"/>
      <c r="AF199" s="277"/>
      <c r="AG199" s="277"/>
      <c r="AH199" s="277"/>
      <c r="AI199" s="247">
        <f t="shared" si="13"/>
        <v>800000</v>
      </c>
      <c r="AJ199" s="247">
        <f t="shared" si="13"/>
        <v>0</v>
      </c>
      <c r="AK199" s="277"/>
      <c r="AL199" s="277"/>
      <c r="AM199" s="247">
        <f t="shared" si="14"/>
        <v>800000</v>
      </c>
      <c r="AN199" s="248">
        <f t="shared" si="14"/>
        <v>0</v>
      </c>
    </row>
    <row r="200" spans="2:40" ht="30" customHeight="1" x14ac:dyDescent="0.25">
      <c r="B200" s="1375"/>
      <c r="C200" s="230">
        <v>24</v>
      </c>
      <c r="D200" s="355" t="s">
        <v>971</v>
      </c>
      <c r="E200" s="276">
        <v>0</v>
      </c>
      <c r="F200" s="277">
        <v>0</v>
      </c>
      <c r="G200" s="277"/>
      <c r="H200" s="277"/>
      <c r="I200" s="277"/>
      <c r="J200" s="277"/>
      <c r="K200" s="277"/>
      <c r="L200" s="277"/>
      <c r="M200" s="277"/>
      <c r="N200" s="277"/>
      <c r="O200" s="277">
        <v>663000</v>
      </c>
      <c r="P200" s="277"/>
      <c r="Q200" s="277"/>
      <c r="R200" s="277"/>
      <c r="S200" s="277"/>
      <c r="T200" s="277"/>
      <c r="U200" s="277"/>
      <c r="V200" s="277"/>
      <c r="W200" s="277"/>
      <c r="X200" s="277"/>
      <c r="Y200" s="277"/>
      <c r="Z200" s="277"/>
      <c r="AA200" s="277"/>
      <c r="AB200" s="277"/>
      <c r="AC200" s="277"/>
      <c r="AD200" s="277"/>
      <c r="AE200" s="277"/>
      <c r="AF200" s="277"/>
      <c r="AG200" s="277"/>
      <c r="AH200" s="277"/>
      <c r="AI200" s="247">
        <f t="shared" si="13"/>
        <v>663000</v>
      </c>
      <c r="AJ200" s="247">
        <f t="shared" si="13"/>
        <v>0</v>
      </c>
      <c r="AK200" s="277"/>
      <c r="AL200" s="277"/>
      <c r="AM200" s="247">
        <f t="shared" si="14"/>
        <v>663000</v>
      </c>
      <c r="AN200" s="248">
        <f t="shared" si="14"/>
        <v>0</v>
      </c>
    </row>
    <row r="201" spans="2:40" ht="30" customHeight="1" x14ac:dyDescent="0.25">
      <c r="B201" s="1375"/>
      <c r="C201" s="230">
        <v>25</v>
      </c>
      <c r="D201" s="355" t="s">
        <v>972</v>
      </c>
      <c r="E201" s="276">
        <v>42000</v>
      </c>
      <c r="F201" s="277">
        <v>0</v>
      </c>
      <c r="G201" s="277"/>
      <c r="H201" s="277"/>
      <c r="I201" s="277"/>
      <c r="J201" s="277"/>
      <c r="K201" s="277"/>
      <c r="L201" s="277"/>
      <c r="M201" s="277"/>
      <c r="N201" s="277"/>
      <c r="O201" s="277"/>
      <c r="P201" s="277"/>
      <c r="Q201" s="277"/>
      <c r="R201" s="277"/>
      <c r="S201" s="277"/>
      <c r="T201" s="277"/>
      <c r="U201" s="277"/>
      <c r="V201" s="277"/>
      <c r="W201" s="277"/>
      <c r="X201" s="277"/>
      <c r="Y201" s="277"/>
      <c r="Z201" s="277"/>
      <c r="AA201" s="277"/>
      <c r="AB201" s="277"/>
      <c r="AC201" s="277"/>
      <c r="AD201" s="277"/>
      <c r="AE201" s="277"/>
      <c r="AF201" s="277"/>
      <c r="AG201" s="277"/>
      <c r="AH201" s="277"/>
      <c r="AI201" s="247">
        <f t="shared" si="13"/>
        <v>0</v>
      </c>
      <c r="AJ201" s="247">
        <f t="shared" si="13"/>
        <v>0</v>
      </c>
      <c r="AK201" s="277"/>
      <c r="AL201" s="277"/>
      <c r="AM201" s="247">
        <f t="shared" si="14"/>
        <v>0</v>
      </c>
      <c r="AN201" s="248">
        <f t="shared" si="14"/>
        <v>0</v>
      </c>
    </row>
    <row r="202" spans="2:40" ht="30" customHeight="1" x14ac:dyDescent="0.25">
      <c r="B202" s="1375"/>
      <c r="C202" s="230">
        <v>26</v>
      </c>
      <c r="D202" s="355" t="s">
        <v>973</v>
      </c>
      <c r="E202" s="276">
        <v>0</v>
      </c>
      <c r="F202" s="277">
        <v>0</v>
      </c>
      <c r="G202" s="277"/>
      <c r="H202" s="277"/>
      <c r="I202" s="277"/>
      <c r="J202" s="277"/>
      <c r="K202" s="277"/>
      <c r="L202" s="277"/>
      <c r="M202" s="277"/>
      <c r="N202" s="277"/>
      <c r="O202" s="277">
        <v>9000</v>
      </c>
      <c r="P202" s="277"/>
      <c r="Q202" s="277"/>
      <c r="R202" s="277"/>
      <c r="S202" s="277"/>
      <c r="T202" s="277"/>
      <c r="U202" s="277"/>
      <c r="V202" s="277"/>
      <c r="W202" s="277"/>
      <c r="X202" s="277"/>
      <c r="Y202" s="277"/>
      <c r="Z202" s="277"/>
      <c r="AA202" s="277"/>
      <c r="AB202" s="277"/>
      <c r="AC202" s="277"/>
      <c r="AD202" s="277"/>
      <c r="AE202" s="277"/>
      <c r="AF202" s="277"/>
      <c r="AG202" s="277"/>
      <c r="AH202" s="277"/>
      <c r="AI202" s="247">
        <f t="shared" si="13"/>
        <v>9000</v>
      </c>
      <c r="AJ202" s="247">
        <f t="shared" si="13"/>
        <v>0</v>
      </c>
      <c r="AK202" s="277"/>
      <c r="AL202" s="277"/>
      <c r="AM202" s="247">
        <f t="shared" si="14"/>
        <v>9000</v>
      </c>
      <c r="AN202" s="248">
        <f t="shared" si="14"/>
        <v>0</v>
      </c>
    </row>
    <row r="203" spans="2:40" ht="30" customHeight="1" x14ac:dyDescent="0.25">
      <c r="B203" s="1375"/>
      <c r="C203" s="230">
        <v>27</v>
      </c>
      <c r="D203" s="355" t="s">
        <v>1075</v>
      </c>
      <c r="E203" s="276">
        <v>0</v>
      </c>
      <c r="F203" s="277">
        <v>0</v>
      </c>
      <c r="G203" s="277"/>
      <c r="H203" s="277"/>
      <c r="I203" s="277"/>
      <c r="J203" s="277"/>
      <c r="K203" s="277"/>
      <c r="L203" s="277"/>
      <c r="M203" s="277"/>
      <c r="N203" s="277"/>
      <c r="O203" s="277"/>
      <c r="P203" s="277"/>
      <c r="Q203" s="277"/>
      <c r="R203" s="277"/>
      <c r="S203" s="277"/>
      <c r="T203" s="277"/>
      <c r="U203" s="277">
        <v>1295702</v>
      </c>
      <c r="V203" s="277"/>
      <c r="W203" s="277"/>
      <c r="X203" s="277"/>
      <c r="Y203" s="277"/>
      <c r="Z203" s="277"/>
      <c r="AA203" s="277"/>
      <c r="AB203" s="277"/>
      <c r="AC203" s="277"/>
      <c r="AD203" s="277"/>
      <c r="AE203" s="277"/>
      <c r="AF203" s="277"/>
      <c r="AG203" s="277"/>
      <c r="AH203" s="277"/>
      <c r="AI203" s="247">
        <f t="shared" si="13"/>
        <v>1295702</v>
      </c>
      <c r="AJ203" s="247">
        <f t="shared" si="13"/>
        <v>0</v>
      </c>
      <c r="AK203" s="277"/>
      <c r="AL203" s="277"/>
      <c r="AM203" s="247">
        <f t="shared" si="14"/>
        <v>1295702</v>
      </c>
      <c r="AN203" s="248">
        <f t="shared" si="14"/>
        <v>0</v>
      </c>
    </row>
    <row r="204" spans="2:40" ht="30" customHeight="1" thickBot="1" x14ac:dyDescent="0.3">
      <c r="B204" s="1376"/>
      <c r="C204" s="309">
        <v>28</v>
      </c>
      <c r="D204" s="355" t="s">
        <v>97</v>
      </c>
      <c r="E204" s="276">
        <v>3900</v>
      </c>
      <c r="F204" s="277">
        <v>0</v>
      </c>
      <c r="G204" s="277"/>
      <c r="H204" s="277"/>
      <c r="I204" s="277"/>
      <c r="J204" s="277"/>
      <c r="K204" s="277"/>
      <c r="L204" s="277"/>
      <c r="M204" s="277"/>
      <c r="N204" s="277"/>
      <c r="O204" s="277"/>
      <c r="P204" s="277"/>
      <c r="Q204" s="277"/>
      <c r="R204" s="277"/>
      <c r="S204" s="277"/>
      <c r="T204" s="277"/>
      <c r="U204" s="277"/>
      <c r="V204" s="277"/>
      <c r="W204" s="277"/>
      <c r="X204" s="277"/>
      <c r="Y204" s="277"/>
      <c r="Z204" s="277"/>
      <c r="AA204" s="277"/>
      <c r="AB204" s="277"/>
      <c r="AC204" s="277"/>
      <c r="AD204" s="277"/>
      <c r="AE204" s="277"/>
      <c r="AF204" s="277"/>
      <c r="AG204" s="277"/>
      <c r="AH204" s="277"/>
      <c r="AI204" s="247">
        <f t="shared" si="13"/>
        <v>0</v>
      </c>
      <c r="AJ204" s="247">
        <f t="shared" si="13"/>
        <v>0</v>
      </c>
      <c r="AK204" s="277"/>
      <c r="AL204" s="277"/>
      <c r="AM204" s="247">
        <f t="shared" si="14"/>
        <v>0</v>
      </c>
      <c r="AN204" s="248">
        <f t="shared" si="14"/>
        <v>0</v>
      </c>
    </row>
    <row r="205" spans="2:40" ht="30" customHeight="1" thickBot="1" x14ac:dyDescent="0.3">
      <c r="B205" s="1377" t="s">
        <v>200</v>
      </c>
      <c r="C205" s="1378"/>
      <c r="D205" s="1379"/>
      <c r="E205" s="1380">
        <f>SUM(E167:E204)</f>
        <v>53601174.950000003</v>
      </c>
      <c r="F205" s="1381"/>
      <c r="G205" s="1299">
        <f>SUM(G167:G204)</f>
        <v>1091231.55</v>
      </c>
      <c r="H205" s="1381"/>
      <c r="I205" s="1299">
        <f>SUM(I167:I204)</f>
        <v>1560500</v>
      </c>
      <c r="J205" s="1381"/>
      <c r="K205" s="1299">
        <f>SUM(K167:K204)</f>
        <v>1659500</v>
      </c>
      <c r="L205" s="1381"/>
      <c r="M205" s="1299">
        <f>SUM(M167:M204)</f>
        <v>3362400</v>
      </c>
      <c r="N205" s="1381"/>
      <c r="O205" s="1299">
        <f>SUM(O167:O204)</f>
        <v>1824000</v>
      </c>
      <c r="P205" s="1381"/>
      <c r="Q205" s="1299">
        <f>SUM(Q167:Q204)</f>
        <v>6158925</v>
      </c>
      <c r="R205" s="1381"/>
      <c r="S205" s="1299">
        <f>SUM(S167:S204)</f>
        <v>2926500</v>
      </c>
      <c r="T205" s="1300"/>
      <c r="U205" s="1381">
        <f>SUM(U167:U204)</f>
        <v>3319402</v>
      </c>
      <c r="V205" s="1381"/>
      <c r="W205" s="1299">
        <f>SUM(W167:W204)</f>
        <v>0</v>
      </c>
      <c r="X205" s="1300"/>
      <c r="Y205" s="1381">
        <f>SUM(Y167:Y204)</f>
        <v>0</v>
      </c>
      <c r="Z205" s="1381"/>
      <c r="AA205" s="1299">
        <f>SUM(AA167:AA204)</f>
        <v>0</v>
      </c>
      <c r="AB205" s="1300"/>
      <c r="AC205" s="1299">
        <f>SUM(AC167:AC204)</f>
        <v>0</v>
      </c>
      <c r="AD205" s="1300"/>
      <c r="AE205" s="1299">
        <f>SUM(AE167:AE204)</f>
        <v>63830</v>
      </c>
      <c r="AF205" s="1300"/>
      <c r="AG205" s="1299">
        <f>SUM(AG167:AG204)</f>
        <v>0</v>
      </c>
      <c r="AH205" s="1381"/>
      <c r="AI205" s="1299">
        <f>SUM(AI167:AI204)</f>
        <v>20875057</v>
      </c>
      <c r="AJ205" s="1381"/>
      <c r="AK205" s="1299">
        <f>SUM(AK167:AK204)</f>
        <v>852542.75</v>
      </c>
      <c r="AL205" s="1300"/>
      <c r="AM205" s="1381">
        <f>SUM(AM167:AM204)</f>
        <v>21113745.800000001</v>
      </c>
      <c r="AN205" s="1301"/>
    </row>
    <row r="206" spans="2:40" ht="24.95" customHeight="1" x14ac:dyDescent="0.25">
      <c r="B206" s="356"/>
      <c r="C206" s="357" t="s">
        <v>201</v>
      </c>
      <c r="D206" s="358" t="s">
        <v>202</v>
      </c>
      <c r="E206" s="246"/>
      <c r="F206" s="247"/>
      <c r="G206" s="247"/>
      <c r="H206" s="247"/>
      <c r="I206" s="247"/>
      <c r="J206" s="247"/>
      <c r="K206" s="247"/>
      <c r="L206" s="247"/>
      <c r="M206" s="247"/>
      <c r="N206" s="247"/>
      <c r="O206" s="247"/>
      <c r="P206" s="247"/>
      <c r="Q206" s="247"/>
      <c r="R206" s="247"/>
      <c r="S206" s="247"/>
      <c r="T206" s="247"/>
      <c r="U206" s="247"/>
      <c r="V206" s="247"/>
      <c r="W206" s="247"/>
      <c r="X206" s="247"/>
      <c r="Y206" s="247"/>
      <c r="Z206" s="247"/>
      <c r="AA206" s="247"/>
      <c r="AB206" s="247"/>
      <c r="AC206" s="247"/>
      <c r="AD206" s="247"/>
      <c r="AE206" s="247"/>
      <c r="AF206" s="247"/>
      <c r="AG206" s="247"/>
      <c r="AH206" s="247"/>
      <c r="AI206" s="247">
        <f>SUM(I206,K206,M206,O206,Q206,S206,U206,W206,Y206,AA206,AC206,AE206,AG206)</f>
        <v>0</v>
      </c>
      <c r="AJ206" s="247"/>
      <c r="AK206" s="247"/>
      <c r="AL206" s="247"/>
      <c r="AM206" s="247"/>
      <c r="AN206" s="248"/>
    </row>
    <row r="207" spans="2:40" ht="24.95" customHeight="1" x14ac:dyDescent="0.25">
      <c r="B207" s="359"/>
      <c r="C207" s="360" t="s">
        <v>201</v>
      </c>
      <c r="D207" s="360" t="s">
        <v>202</v>
      </c>
      <c r="E207" s="265"/>
      <c r="F207" s="257"/>
      <c r="G207" s="257"/>
      <c r="H207" s="257"/>
      <c r="I207" s="257"/>
      <c r="J207" s="257"/>
      <c r="K207" s="257"/>
      <c r="L207" s="257"/>
      <c r="M207" s="257"/>
      <c r="N207" s="257"/>
      <c r="O207" s="257"/>
      <c r="P207" s="257"/>
      <c r="Q207" s="257"/>
      <c r="R207" s="257"/>
      <c r="S207" s="257"/>
      <c r="T207" s="257"/>
      <c r="U207" s="257"/>
      <c r="V207" s="257"/>
      <c r="W207" s="257"/>
      <c r="X207" s="257"/>
      <c r="Y207" s="257"/>
      <c r="Z207" s="257"/>
      <c r="AA207" s="257"/>
      <c r="AB207" s="257"/>
      <c r="AC207" s="257"/>
      <c r="AD207" s="257"/>
      <c r="AE207" s="257"/>
      <c r="AF207" s="257"/>
      <c r="AG207" s="257"/>
      <c r="AH207" s="257"/>
      <c r="AI207" s="247">
        <f>SUM(I207,K207,M207,O207,Q207,S207,U207,W207,Y207,AA207,AC207,AE207,AG207)</f>
        <v>0</v>
      </c>
      <c r="AJ207" s="257"/>
      <c r="AK207" s="257"/>
      <c r="AL207" s="257"/>
      <c r="AM207" s="257"/>
      <c r="AN207" s="264"/>
    </row>
    <row r="208" spans="2:40" ht="24.95" customHeight="1" thickBot="1" x14ac:dyDescent="0.3">
      <c r="B208" s="361"/>
      <c r="C208" s="362" t="s">
        <v>201</v>
      </c>
      <c r="D208" s="362" t="s">
        <v>202</v>
      </c>
      <c r="E208" s="340"/>
      <c r="F208" s="278"/>
      <c r="G208" s="278"/>
      <c r="H208" s="278"/>
      <c r="I208" s="278"/>
      <c r="J208" s="278"/>
      <c r="K208" s="278"/>
      <c r="L208" s="278"/>
      <c r="M208" s="278"/>
      <c r="N208" s="278"/>
      <c r="O208" s="278"/>
      <c r="P208" s="278"/>
      <c r="Q208" s="278"/>
      <c r="R208" s="278"/>
      <c r="S208" s="278"/>
      <c r="T208" s="278"/>
      <c r="U208" s="278"/>
      <c r="V208" s="278"/>
      <c r="W208" s="278"/>
      <c r="X208" s="278"/>
      <c r="Y208" s="278"/>
      <c r="Z208" s="278"/>
      <c r="AA208" s="278"/>
      <c r="AB208" s="278"/>
      <c r="AC208" s="278"/>
      <c r="AD208" s="278"/>
      <c r="AE208" s="278"/>
      <c r="AF208" s="278"/>
      <c r="AG208" s="278"/>
      <c r="AH208" s="278"/>
      <c r="AI208" s="247">
        <f>SUM(I208,K208,M208,O208,Q208,S208,U208,W208,Y208,AA208,AC208,AE208,AG208)</f>
        <v>0</v>
      </c>
      <c r="AJ208" s="278"/>
      <c r="AK208" s="278"/>
      <c r="AL208" s="278"/>
      <c r="AM208" s="278"/>
      <c r="AN208" s="279"/>
    </row>
    <row r="209" spans="2:41" ht="24.95" customHeight="1" thickBot="1" x14ac:dyDescent="0.3">
      <c r="B209" s="363"/>
      <c r="C209" s="364"/>
      <c r="D209" s="364"/>
      <c r="E209" s="1385"/>
      <c r="F209" s="1382"/>
      <c r="G209" s="1361">
        <f>SUM(G206:G208)</f>
        <v>0</v>
      </c>
      <c r="H209" s="1382"/>
      <c r="I209" s="1361">
        <f t="shared" ref="I209:AM209" si="15">SUM(I206:I208)</f>
        <v>0</v>
      </c>
      <c r="J209" s="1382"/>
      <c r="K209" s="1361">
        <f t="shared" si="15"/>
        <v>0</v>
      </c>
      <c r="L209" s="1382"/>
      <c r="M209" s="1361">
        <f t="shared" si="15"/>
        <v>0</v>
      </c>
      <c r="N209" s="1382"/>
      <c r="O209" s="1361">
        <f t="shared" si="15"/>
        <v>0</v>
      </c>
      <c r="P209" s="1382"/>
      <c r="Q209" s="1361">
        <f t="shared" si="15"/>
        <v>0</v>
      </c>
      <c r="R209" s="1382"/>
      <c r="S209" s="1361">
        <f t="shared" si="15"/>
        <v>0</v>
      </c>
      <c r="T209" s="1382"/>
      <c r="U209" s="1361">
        <f t="shared" si="15"/>
        <v>0</v>
      </c>
      <c r="V209" s="1382"/>
      <c r="W209" s="1361">
        <f t="shared" si="15"/>
        <v>0</v>
      </c>
      <c r="X209" s="1382"/>
      <c r="Y209" s="1361">
        <f t="shared" si="15"/>
        <v>0</v>
      </c>
      <c r="Z209" s="1382"/>
      <c r="AA209" s="1361">
        <f t="shared" si="15"/>
        <v>0</v>
      </c>
      <c r="AB209" s="1382"/>
      <c r="AC209" s="1361">
        <f t="shared" si="15"/>
        <v>0</v>
      </c>
      <c r="AD209" s="1382"/>
      <c r="AE209" s="1361"/>
      <c r="AF209" s="1382"/>
      <c r="AG209" s="1361">
        <f t="shared" si="15"/>
        <v>0</v>
      </c>
      <c r="AH209" s="1382"/>
      <c r="AI209" s="1361">
        <f t="shared" si="15"/>
        <v>0</v>
      </c>
      <c r="AJ209" s="1382"/>
      <c r="AK209" s="1361">
        <f t="shared" si="15"/>
        <v>0</v>
      </c>
      <c r="AL209" s="1382"/>
      <c r="AM209" s="1361">
        <f t="shared" si="15"/>
        <v>0</v>
      </c>
      <c r="AN209" s="1362"/>
      <c r="AO209" s="221"/>
    </row>
    <row r="210" spans="2:41" ht="24.95" customHeight="1" x14ac:dyDescent="0.25">
      <c r="B210" s="365"/>
      <c r="C210" s="366" t="s">
        <v>203</v>
      </c>
      <c r="D210" s="366" t="s">
        <v>204</v>
      </c>
      <c r="E210" s="246"/>
      <c r="F210" s="247"/>
      <c r="G210" s="247"/>
      <c r="H210" s="247"/>
      <c r="I210" s="247"/>
      <c r="J210" s="247"/>
      <c r="K210" s="247"/>
      <c r="L210" s="247"/>
      <c r="M210" s="247"/>
      <c r="N210" s="247"/>
      <c r="O210" s="247"/>
      <c r="P210" s="247"/>
      <c r="Q210" s="247"/>
      <c r="R210" s="247"/>
      <c r="S210" s="247"/>
      <c r="T210" s="247"/>
      <c r="U210" s="247"/>
      <c r="V210" s="247"/>
      <c r="W210" s="247"/>
      <c r="X210" s="247"/>
      <c r="Y210" s="247"/>
      <c r="Z210" s="247"/>
      <c r="AA210" s="247"/>
      <c r="AB210" s="247"/>
      <c r="AC210" s="247"/>
      <c r="AD210" s="247"/>
      <c r="AE210" s="247"/>
      <c r="AF210" s="247"/>
      <c r="AG210" s="247"/>
      <c r="AH210" s="247"/>
      <c r="AI210" s="247">
        <f>SUM(I210,K210,M210,O210,Q210,S210,U210,W210,Y210,AA210,AC210,AE210,AG210)</f>
        <v>0</v>
      </c>
      <c r="AJ210" s="247"/>
      <c r="AK210" s="247"/>
      <c r="AL210" s="247"/>
      <c r="AM210" s="247"/>
      <c r="AN210" s="248"/>
    </row>
    <row r="211" spans="2:41" ht="24.95" customHeight="1" x14ac:dyDescent="0.25">
      <c r="B211" s="359"/>
      <c r="C211" s="360" t="s">
        <v>203</v>
      </c>
      <c r="D211" s="366" t="s">
        <v>204</v>
      </c>
      <c r="E211" s="265"/>
      <c r="F211" s="257"/>
      <c r="G211" s="257"/>
      <c r="H211" s="257"/>
      <c r="I211" s="257"/>
      <c r="J211" s="257"/>
      <c r="K211" s="257"/>
      <c r="L211" s="257"/>
      <c r="M211" s="257"/>
      <c r="N211" s="257"/>
      <c r="O211" s="257"/>
      <c r="P211" s="257"/>
      <c r="Q211" s="257"/>
      <c r="R211" s="257"/>
      <c r="S211" s="257"/>
      <c r="T211" s="257"/>
      <c r="U211" s="257"/>
      <c r="V211" s="257"/>
      <c r="W211" s="257"/>
      <c r="X211" s="257"/>
      <c r="Y211" s="257"/>
      <c r="Z211" s="257"/>
      <c r="AA211" s="257"/>
      <c r="AB211" s="257"/>
      <c r="AC211" s="257"/>
      <c r="AD211" s="257"/>
      <c r="AE211" s="257"/>
      <c r="AF211" s="257"/>
      <c r="AG211" s="257"/>
      <c r="AH211" s="257"/>
      <c r="AI211" s="247">
        <f>SUM(I211,K211,M211,O211,Q211,S211,U211,W211,Y211,AA211,AC211,AE211,AG211)</f>
        <v>0</v>
      </c>
      <c r="AJ211" s="257"/>
      <c r="AK211" s="257"/>
      <c r="AL211" s="257"/>
      <c r="AM211" s="257"/>
      <c r="AN211" s="264"/>
    </row>
    <row r="212" spans="2:41" ht="24.95" customHeight="1" thickBot="1" x14ac:dyDescent="0.3">
      <c r="B212" s="361"/>
      <c r="C212" s="361" t="s">
        <v>203</v>
      </c>
      <c r="D212" s="366" t="s">
        <v>204</v>
      </c>
      <c r="E212" s="265"/>
      <c r="F212" s="257"/>
      <c r="G212" s="257"/>
      <c r="H212" s="257"/>
      <c r="I212" s="257"/>
      <c r="J212" s="257"/>
      <c r="K212" s="257"/>
      <c r="L212" s="257"/>
      <c r="M212" s="257"/>
      <c r="N212" s="257"/>
      <c r="O212" s="257"/>
      <c r="P212" s="257"/>
      <c r="Q212" s="257"/>
      <c r="R212" s="257"/>
      <c r="S212" s="257"/>
      <c r="T212" s="257"/>
      <c r="U212" s="257"/>
      <c r="V212" s="257"/>
      <c r="W212" s="257"/>
      <c r="X212" s="257"/>
      <c r="Y212" s="257"/>
      <c r="Z212" s="257"/>
      <c r="AA212" s="257"/>
      <c r="AB212" s="257"/>
      <c r="AC212" s="257"/>
      <c r="AD212" s="257"/>
      <c r="AE212" s="257"/>
      <c r="AF212" s="257"/>
      <c r="AG212" s="257"/>
      <c r="AH212" s="257"/>
      <c r="AI212" s="247">
        <f>SUM(I212,K212,M212,O212,Q212,S212,U212,W212,Y212,AA212,AC212,AE212,AG212)</f>
        <v>0</v>
      </c>
      <c r="AJ212" s="257"/>
      <c r="AK212" s="257"/>
      <c r="AL212" s="257"/>
      <c r="AM212" s="257"/>
      <c r="AN212" s="264"/>
    </row>
    <row r="213" spans="2:41" ht="24.95" customHeight="1" x14ac:dyDescent="0.25">
      <c r="B213" s="356"/>
      <c r="C213" s="367" t="s">
        <v>203</v>
      </c>
      <c r="D213" s="367" t="s">
        <v>205</v>
      </c>
      <c r="E213" s="265"/>
      <c r="F213" s="257"/>
      <c r="G213" s="257"/>
      <c r="H213" s="257"/>
      <c r="I213" s="257"/>
      <c r="J213" s="257"/>
      <c r="K213" s="257"/>
      <c r="L213" s="257"/>
      <c r="M213" s="257"/>
      <c r="N213" s="257"/>
      <c r="O213" s="257"/>
      <c r="P213" s="257"/>
      <c r="Q213" s="257"/>
      <c r="R213" s="257"/>
      <c r="S213" s="257"/>
      <c r="T213" s="257"/>
      <c r="U213" s="257"/>
      <c r="V213" s="257"/>
      <c r="W213" s="257"/>
      <c r="X213" s="257"/>
      <c r="Y213" s="257"/>
      <c r="Z213" s="257"/>
      <c r="AA213" s="257"/>
      <c r="AB213" s="257"/>
      <c r="AC213" s="257"/>
      <c r="AD213" s="257"/>
      <c r="AE213" s="257"/>
      <c r="AF213" s="257"/>
      <c r="AG213" s="257"/>
      <c r="AH213" s="257"/>
      <c r="AI213" s="247">
        <f>SUM(I213,K213,M213,O213,Q213,S213,U213,W213,Y213,AA213,AC213,AE213,AG213)</f>
        <v>0</v>
      </c>
      <c r="AJ213" s="257"/>
      <c r="AK213" s="257"/>
      <c r="AL213" s="257"/>
      <c r="AM213" s="257"/>
      <c r="AN213" s="264"/>
      <c r="AO213" s="221"/>
    </row>
    <row r="214" spans="2:41" ht="24.95" customHeight="1" thickBot="1" x14ac:dyDescent="0.3">
      <c r="B214" s="361"/>
      <c r="C214" s="368" t="s">
        <v>203</v>
      </c>
      <c r="D214" s="361" t="s">
        <v>206</v>
      </c>
      <c r="E214" s="340"/>
      <c r="F214" s="278"/>
      <c r="G214" s="278"/>
      <c r="H214" s="278"/>
      <c r="I214" s="278"/>
      <c r="J214" s="278"/>
      <c r="K214" s="278"/>
      <c r="L214" s="278"/>
      <c r="M214" s="278"/>
      <c r="N214" s="278"/>
      <c r="O214" s="278"/>
      <c r="P214" s="278"/>
      <c r="Q214" s="278"/>
      <c r="R214" s="278"/>
      <c r="S214" s="278"/>
      <c r="T214" s="278"/>
      <c r="U214" s="278"/>
      <c r="V214" s="278"/>
      <c r="W214" s="278"/>
      <c r="X214" s="278"/>
      <c r="Y214" s="278"/>
      <c r="Z214" s="278"/>
      <c r="AA214" s="278"/>
      <c r="AB214" s="278"/>
      <c r="AC214" s="278"/>
      <c r="AD214" s="278"/>
      <c r="AE214" s="278"/>
      <c r="AF214" s="278"/>
      <c r="AG214" s="278"/>
      <c r="AH214" s="278"/>
      <c r="AI214" s="247">
        <f>SUM(I214,K214,M214,O214,Q214,S214,U214,W214,Y214,AA214,AC214,AE214,AG214)</f>
        <v>0</v>
      </c>
      <c r="AJ214" s="278"/>
      <c r="AK214" s="278"/>
      <c r="AL214" s="278"/>
      <c r="AM214" s="278"/>
      <c r="AN214" s="279"/>
    </row>
    <row r="215" spans="2:41" ht="24.95" customHeight="1" thickBot="1" x14ac:dyDescent="0.3">
      <c r="B215" s="369"/>
      <c r="C215" s="370"/>
      <c r="D215" s="362"/>
      <c r="E215" s="1385"/>
      <c r="F215" s="1382"/>
      <c r="G215" s="1361">
        <f>SUM(G210:G214)</f>
        <v>0</v>
      </c>
      <c r="H215" s="1382"/>
      <c r="I215" s="1361">
        <f>SUM(I210:I214)</f>
        <v>0</v>
      </c>
      <c r="J215" s="1382"/>
      <c r="K215" s="1361">
        <f>SUM(K210:K214)</f>
        <v>0</v>
      </c>
      <c r="L215" s="1382"/>
      <c r="M215" s="1361">
        <f>SUM(M210:M214)</f>
        <v>0</v>
      </c>
      <c r="N215" s="1382"/>
      <c r="O215" s="1361">
        <f>SUM(O210:O214)</f>
        <v>0</v>
      </c>
      <c r="P215" s="1382"/>
      <c r="Q215" s="1361">
        <f>SUM(Q210:Q214)</f>
        <v>0</v>
      </c>
      <c r="R215" s="1382"/>
      <c r="S215" s="1361">
        <f>SUM(S210:S214)</f>
        <v>0</v>
      </c>
      <c r="T215" s="1382"/>
      <c r="U215" s="1361">
        <f>SUM(U210:U214)</f>
        <v>0</v>
      </c>
      <c r="V215" s="1382"/>
      <c r="W215" s="1361">
        <f>SUM(W210:W214)</f>
        <v>0</v>
      </c>
      <c r="X215" s="1382"/>
      <c r="Y215" s="1361">
        <f>SUM(Y210:Y214)</f>
        <v>0</v>
      </c>
      <c r="Z215" s="1382"/>
      <c r="AA215" s="1361">
        <f>SUM(AA210:AA214)</f>
        <v>0</v>
      </c>
      <c r="AB215" s="1382"/>
      <c r="AC215" s="1361">
        <f>SUM(AC210:AC214)</f>
        <v>0</v>
      </c>
      <c r="AD215" s="1382"/>
      <c r="AE215" s="1361">
        <f>SUM(AE210:AE214)</f>
        <v>0</v>
      </c>
      <c r="AF215" s="1382"/>
      <c r="AG215" s="1361">
        <f>SUM(AG210:AG214)</f>
        <v>0</v>
      </c>
      <c r="AH215" s="1382"/>
      <c r="AI215" s="1361">
        <f>SUM(AI210:AI214)</f>
        <v>0</v>
      </c>
      <c r="AJ215" s="1382"/>
      <c r="AK215" s="371"/>
      <c r="AL215" s="372"/>
      <c r="AM215" s="372"/>
      <c r="AN215" s="373"/>
    </row>
    <row r="216" spans="2:41" ht="30" customHeight="1" thickBot="1" x14ac:dyDescent="0.3">
      <c r="B216" s="1386" t="s">
        <v>207</v>
      </c>
      <c r="C216" s="1387"/>
      <c r="D216" s="1388"/>
      <c r="E216" s="1389"/>
      <c r="F216" s="1390"/>
      <c r="G216" s="1391">
        <f>SUM(G205,G152)</f>
        <v>15691736.873700052</v>
      </c>
      <c r="H216" s="1390"/>
      <c r="I216" s="1392">
        <f>(I152+I205)+I209+I215</f>
        <v>1994000</v>
      </c>
      <c r="J216" s="1393"/>
      <c r="K216" s="1392">
        <f>(K152+K205)+K209+K215</f>
        <v>1985500</v>
      </c>
      <c r="L216" s="1393"/>
      <c r="M216" s="1392">
        <f>(M152+M205)+M209+M215</f>
        <v>4009438</v>
      </c>
      <c r="N216" s="1393"/>
      <c r="O216" s="1392">
        <f>(O152+O205)+O209+O215</f>
        <v>2489000</v>
      </c>
      <c r="P216" s="1393"/>
      <c r="Q216" s="1392">
        <f>(Q152+Q205)+Q209+Q215</f>
        <v>6584925</v>
      </c>
      <c r="R216" s="1393"/>
      <c r="S216" s="1392">
        <f>(S152+S205)+S209+S215</f>
        <v>3270500</v>
      </c>
      <c r="T216" s="1393"/>
      <c r="U216" s="1392">
        <f>(U152+U205)+U209+U215</f>
        <v>3709202</v>
      </c>
      <c r="V216" s="1393"/>
      <c r="W216" s="1392">
        <f>(W152+W205)+W209+W215</f>
        <v>0</v>
      </c>
      <c r="X216" s="1393"/>
      <c r="Y216" s="1392">
        <f>(Y152+Y205)+Y209+Y215</f>
        <v>0</v>
      </c>
      <c r="Z216" s="1393"/>
      <c r="AA216" s="1392">
        <f>(AA152+AA205)+AA209+AA215</f>
        <v>0</v>
      </c>
      <c r="AB216" s="1393"/>
      <c r="AC216" s="1392"/>
      <c r="AD216" s="1393"/>
      <c r="AE216" s="1392">
        <f>AE205+AE152+AG152</f>
        <v>18764358</v>
      </c>
      <c r="AF216" s="1393"/>
      <c r="AG216" s="1391"/>
      <c r="AH216" s="1390"/>
      <c r="AI216" s="1391">
        <f>SUM(I216:AB216)</f>
        <v>24042565</v>
      </c>
      <c r="AJ216" s="1390"/>
      <c r="AK216" s="1391"/>
      <c r="AL216" s="1394"/>
      <c r="AM216" s="1394"/>
      <c r="AN216" s="1395"/>
    </row>
    <row r="217" spans="2:41" ht="30" customHeight="1" thickBot="1" x14ac:dyDescent="0.3">
      <c r="B217" s="1062"/>
      <c r="C217" s="1063"/>
      <c r="D217" s="1063"/>
      <c r="E217" s="1064"/>
      <c r="F217" s="1065"/>
      <c r="G217" s="1105"/>
      <c r="H217" s="1065"/>
      <c r="I217" s="1397">
        <f>LPKK!R37</f>
        <v>1994000</v>
      </c>
      <c r="J217" s="1397"/>
      <c r="K217" s="1397">
        <f>LPKK!R62</f>
        <v>1985500</v>
      </c>
      <c r="L217" s="1397"/>
      <c r="M217" s="1397">
        <f>LPKK!R95</f>
        <v>4009438</v>
      </c>
      <c r="N217" s="1397"/>
      <c r="O217" s="1397">
        <f>LPKK!R122</f>
        <v>2489000</v>
      </c>
      <c r="P217" s="1397"/>
      <c r="Q217" s="1397">
        <f>LPKK!R147</f>
        <v>6584925</v>
      </c>
      <c r="R217" s="1397"/>
      <c r="S217" s="1397">
        <f>LPKK!R172</f>
        <v>3270500</v>
      </c>
      <c r="T217" s="1397"/>
      <c r="U217" s="1397">
        <f>LPKK!R199</f>
        <v>3709202</v>
      </c>
      <c r="V217" s="1397"/>
      <c r="W217" s="1397">
        <f>LPKK!R217</f>
        <v>0</v>
      </c>
      <c r="X217" s="1397"/>
      <c r="Y217" s="1397">
        <f>LPKK!R235</f>
        <v>0</v>
      </c>
      <c r="Z217" s="1397"/>
      <c r="AA217" s="1397">
        <f>LPKK!R253</f>
        <v>0</v>
      </c>
      <c r="AB217" s="1397"/>
      <c r="AC217" s="1397"/>
      <c r="AD217" s="1397"/>
      <c r="AE217" s="1397"/>
      <c r="AF217" s="1397"/>
      <c r="AG217" s="1397"/>
      <c r="AH217" s="1397"/>
      <c r="AI217" s="1397"/>
      <c r="AJ217" s="1397"/>
      <c r="AK217" s="1064"/>
      <c r="AL217" s="1065"/>
      <c r="AM217" s="1064"/>
      <c r="AN217" s="1066"/>
    </row>
    <row r="218" spans="2:41" ht="14.1" customHeight="1" x14ac:dyDescent="0.25">
      <c r="C218" s="327"/>
      <c r="D218" s="327"/>
    </row>
    <row r="219" spans="2:41" ht="33" customHeight="1" x14ac:dyDescent="0.25">
      <c r="F219" s="374" t="s">
        <v>208</v>
      </c>
      <c r="G219" s="375" t="s">
        <v>209</v>
      </c>
      <c r="H219" s="374"/>
      <c r="I219" s="376"/>
      <c r="J219" s="374"/>
      <c r="K219" s="376"/>
      <c r="L219" s="374"/>
      <c r="M219" s="376"/>
      <c r="N219" s="374"/>
      <c r="O219" s="376"/>
      <c r="P219" s="374"/>
      <c r="Q219" s="376"/>
      <c r="R219" s="374"/>
      <c r="S219" s="376"/>
      <c r="T219" s="374"/>
      <c r="U219" s="376"/>
      <c r="V219" s="374"/>
      <c r="W219" s="376"/>
      <c r="X219" s="374"/>
      <c r="Y219" s="376"/>
      <c r="Z219" s="374"/>
      <c r="AA219" s="376"/>
      <c r="AB219" s="374"/>
      <c r="AC219" s="377"/>
    </row>
    <row r="220" spans="2:41" ht="32.25" customHeight="1" x14ac:dyDescent="0.25">
      <c r="F220" s="378"/>
      <c r="G220" s="376" t="s">
        <v>210</v>
      </c>
      <c r="H220" s="374"/>
      <c r="I220" s="376"/>
      <c r="J220" s="374"/>
      <c r="K220" s="376"/>
      <c r="L220" s="374"/>
      <c r="M220" s="376"/>
      <c r="N220" s="374"/>
      <c r="O220" s="379"/>
      <c r="U220" s="338"/>
    </row>
    <row r="221" spans="2:41" ht="14.1" customHeight="1" x14ac:dyDescent="0.25"/>
    <row r="222" spans="2:41" ht="14.1" customHeight="1" x14ac:dyDescent="0.25">
      <c r="U222" s="338"/>
      <c r="AG222" s="1396"/>
      <c r="AH222" s="1396"/>
    </row>
    <row r="223" spans="2:41" ht="14.1" customHeight="1" x14ac:dyDescent="0.25">
      <c r="J223" s="259" t="s">
        <v>201</v>
      </c>
      <c r="AG223" s="325"/>
      <c r="AH223" s="325"/>
    </row>
    <row r="224" spans="2:41" ht="14.1" customHeight="1" x14ac:dyDescent="0.25">
      <c r="K224" s="338"/>
      <c r="AG224" s="325"/>
      <c r="AH224" s="325"/>
    </row>
    <row r="225" spans="9:34" ht="14.1" customHeight="1" x14ac:dyDescent="0.25">
      <c r="AG225" s="325"/>
      <c r="AH225" s="325"/>
    </row>
    <row r="226" spans="9:34" ht="14.1" customHeight="1" x14ac:dyDescent="0.25">
      <c r="I226" s="338"/>
    </row>
    <row r="227" spans="9:34" ht="14.1" customHeight="1" x14ac:dyDescent="0.25"/>
    <row r="228" spans="9:34" ht="14.1" customHeight="1" x14ac:dyDescent="0.25"/>
    <row r="229" spans="9:34" ht="14.1" customHeight="1" x14ac:dyDescent="0.25">
      <c r="AG229" s="1398"/>
      <c r="AH229" s="1398"/>
    </row>
    <row r="230" spans="9:34" ht="14.1" customHeight="1" x14ac:dyDescent="0.25"/>
    <row r="231" spans="9:34" ht="14.1" customHeight="1" x14ac:dyDescent="0.25">
      <c r="W231" s="338"/>
    </row>
    <row r="232" spans="9:34" ht="14.1" customHeight="1" x14ac:dyDescent="0.25"/>
    <row r="233" spans="9:34" ht="14.1" customHeight="1" x14ac:dyDescent="0.25"/>
    <row r="234" spans="9:34" ht="17.25" customHeight="1" x14ac:dyDescent="0.25"/>
    <row r="235" spans="9:34" ht="14.1" customHeight="1" x14ac:dyDescent="0.25"/>
    <row r="236" spans="9:34" ht="14.1" customHeight="1" x14ac:dyDescent="0.25"/>
    <row r="237" spans="9:34" ht="14.1" customHeight="1" x14ac:dyDescent="0.25"/>
    <row r="238" spans="9:34" ht="14.1" customHeight="1" x14ac:dyDescent="0.25"/>
    <row r="239" spans="9:34" ht="14.1" customHeight="1" x14ac:dyDescent="0.25"/>
    <row r="240" spans="9:34" ht="14.1" customHeight="1" x14ac:dyDescent="0.25"/>
    <row r="241" ht="14.1" customHeight="1" x14ac:dyDescent="0.25"/>
    <row r="242" ht="14.1" customHeight="1" x14ac:dyDescent="0.25"/>
    <row r="243" ht="14.1" customHeight="1" x14ac:dyDescent="0.25"/>
    <row r="244" ht="14.1" customHeight="1" x14ac:dyDescent="0.25"/>
    <row r="245" ht="14.1" customHeight="1" x14ac:dyDescent="0.25"/>
    <row r="246" ht="14.1" customHeight="1" x14ac:dyDescent="0.25"/>
    <row r="247" ht="14.1" customHeight="1" x14ac:dyDescent="0.25"/>
    <row r="248" ht="14.1" customHeight="1" x14ac:dyDescent="0.25"/>
    <row r="249" ht="14.1" customHeight="1" x14ac:dyDescent="0.25"/>
    <row r="250" ht="14.1" customHeight="1" x14ac:dyDescent="0.25"/>
    <row r="251" ht="14.1" customHeight="1" x14ac:dyDescent="0.25"/>
    <row r="252" ht="14.1" customHeight="1" x14ac:dyDescent="0.25"/>
    <row r="255" hidden="1" x14ac:dyDescent="0.25"/>
    <row r="266" hidden="1" x14ac:dyDescent="0.25"/>
    <row r="267" hidden="1" x14ac:dyDescent="0.25"/>
    <row r="268" hidden="1" x14ac:dyDescent="0.25"/>
    <row r="269" hidden="1" x14ac:dyDescent="0.25"/>
    <row r="270" hidden="1" x14ac:dyDescent="0.25"/>
    <row r="271" hidden="1" x14ac:dyDescent="0.25"/>
    <row r="272" hidden="1" x14ac:dyDescent="0.25"/>
    <row r="273" hidden="1" x14ac:dyDescent="0.25"/>
    <row r="274" hidden="1" x14ac:dyDescent="0.25"/>
    <row r="275" hidden="1" x14ac:dyDescent="0.25"/>
    <row r="276" hidden="1" x14ac:dyDescent="0.25"/>
    <row r="277" hidden="1" x14ac:dyDescent="0.25"/>
    <row r="278" hidden="1" x14ac:dyDescent="0.25"/>
    <row r="279" hidden="1" x14ac:dyDescent="0.25"/>
    <row r="280" hidden="1" x14ac:dyDescent="0.25"/>
    <row r="281" hidden="1" x14ac:dyDescent="0.25"/>
    <row r="283" ht="12.75" hidden="1" customHeight="1" x14ac:dyDescent="0.25"/>
    <row r="284" ht="13.5" hidden="1" customHeight="1" x14ac:dyDescent="0.25"/>
  </sheetData>
  <mergeCells count="391">
    <mergeCell ref="AG229:AH229"/>
    <mergeCell ref="I217:J217"/>
    <mergeCell ref="K217:L217"/>
    <mergeCell ref="M217:N217"/>
    <mergeCell ref="O217:P217"/>
    <mergeCell ref="Q217:R217"/>
    <mergeCell ref="S217:T217"/>
    <mergeCell ref="U217:V217"/>
    <mergeCell ref="W217:X217"/>
    <mergeCell ref="Y217:Z217"/>
    <mergeCell ref="AC216:AD216"/>
    <mergeCell ref="AE216:AF216"/>
    <mergeCell ref="AG216:AH216"/>
    <mergeCell ref="AI216:AJ216"/>
    <mergeCell ref="AK216:AN216"/>
    <mergeCell ref="AG222:AH222"/>
    <mergeCell ref="Q216:R216"/>
    <mergeCell ref="S216:T216"/>
    <mergeCell ref="U216:V216"/>
    <mergeCell ref="W216:X216"/>
    <mergeCell ref="Y216:Z216"/>
    <mergeCell ref="AA216:AB216"/>
    <mergeCell ref="AA217:AB217"/>
    <mergeCell ref="AC217:AD217"/>
    <mergeCell ref="AE217:AF217"/>
    <mergeCell ref="AG217:AH217"/>
    <mergeCell ref="AI217:AJ217"/>
    <mergeCell ref="B216:D216"/>
    <mergeCell ref="E216:F216"/>
    <mergeCell ref="G216:H216"/>
    <mergeCell ref="I216:J216"/>
    <mergeCell ref="K216:L216"/>
    <mergeCell ref="M216:N216"/>
    <mergeCell ref="O216:P216"/>
    <mergeCell ref="S215:T215"/>
    <mergeCell ref="U215:V215"/>
    <mergeCell ref="AI209:AJ209"/>
    <mergeCell ref="AK209:AL209"/>
    <mergeCell ref="AM209:AN209"/>
    <mergeCell ref="E215:F215"/>
    <mergeCell ref="G215:H215"/>
    <mergeCell ref="I215:J215"/>
    <mergeCell ref="K215:L215"/>
    <mergeCell ref="M215:N215"/>
    <mergeCell ref="O215:P215"/>
    <mergeCell ref="Q215:R215"/>
    <mergeCell ref="W209:X209"/>
    <mergeCell ref="Y209:Z209"/>
    <mergeCell ref="AA209:AB209"/>
    <mergeCell ref="AC209:AD209"/>
    <mergeCell ref="AE209:AF209"/>
    <mergeCell ref="AG209:AH209"/>
    <mergeCell ref="AE215:AF215"/>
    <mergeCell ref="AG215:AH215"/>
    <mergeCell ref="AI215:AJ215"/>
    <mergeCell ref="W215:X215"/>
    <mergeCell ref="Y215:Z215"/>
    <mergeCell ref="AA215:AB215"/>
    <mergeCell ref="AC215:AD215"/>
    <mergeCell ref="E209:F209"/>
    <mergeCell ref="G209:H209"/>
    <mergeCell ref="I209:J209"/>
    <mergeCell ref="K209:L209"/>
    <mergeCell ref="M209:N209"/>
    <mergeCell ref="O209:P209"/>
    <mergeCell ref="Q209:R209"/>
    <mergeCell ref="S209:T209"/>
    <mergeCell ref="U209:V209"/>
    <mergeCell ref="AM165:AN165"/>
    <mergeCell ref="AA165:AB165"/>
    <mergeCell ref="AC165:AD165"/>
    <mergeCell ref="AE165:AF165"/>
    <mergeCell ref="AG165:AH165"/>
    <mergeCell ref="AM205:AN205"/>
    <mergeCell ref="AA205:AB205"/>
    <mergeCell ref="AC205:AD205"/>
    <mergeCell ref="AE205:AF205"/>
    <mergeCell ref="AG205:AH205"/>
    <mergeCell ref="AI205:AJ205"/>
    <mergeCell ref="AK205:AL205"/>
    <mergeCell ref="O205:P205"/>
    <mergeCell ref="Q205:R205"/>
    <mergeCell ref="S205:T205"/>
    <mergeCell ref="U205:V205"/>
    <mergeCell ref="B176:B204"/>
    <mergeCell ref="B205:D205"/>
    <mergeCell ref="E205:F205"/>
    <mergeCell ref="G205:H205"/>
    <mergeCell ref="I205:J205"/>
    <mergeCell ref="K205:L205"/>
    <mergeCell ref="M205:N205"/>
    <mergeCell ref="W165:X165"/>
    <mergeCell ref="Y165:Z165"/>
    <mergeCell ref="K165:L165"/>
    <mergeCell ref="M165:N165"/>
    <mergeCell ref="O165:P165"/>
    <mergeCell ref="Q165:R165"/>
    <mergeCell ref="S165:T165"/>
    <mergeCell ref="U165:V165"/>
    <mergeCell ref="W205:X205"/>
    <mergeCell ref="Y205:Z205"/>
    <mergeCell ref="AI163:AJ163"/>
    <mergeCell ref="AK163:AL163"/>
    <mergeCell ref="O163:P164"/>
    <mergeCell ref="Q163:R164"/>
    <mergeCell ref="S163:T164"/>
    <mergeCell ref="U163:V164"/>
    <mergeCell ref="W163:X164"/>
    <mergeCell ref="Y163:Z164"/>
    <mergeCell ref="AI165:AJ165"/>
    <mergeCell ref="AK165:AL165"/>
    <mergeCell ref="B159:AN159"/>
    <mergeCell ref="AJ160:AM160"/>
    <mergeCell ref="AJ161:AM161"/>
    <mergeCell ref="B163:B164"/>
    <mergeCell ref="C163:C166"/>
    <mergeCell ref="E163:F163"/>
    <mergeCell ref="G163:H163"/>
    <mergeCell ref="I163:J164"/>
    <mergeCell ref="K163:L164"/>
    <mergeCell ref="M163:N164"/>
    <mergeCell ref="AM163:AN163"/>
    <mergeCell ref="D164:D165"/>
    <mergeCell ref="E164:F164"/>
    <mergeCell ref="G164:H164"/>
    <mergeCell ref="AI164:AJ164"/>
    <mergeCell ref="AK164:AL164"/>
    <mergeCell ref="AM164:AN164"/>
    <mergeCell ref="E165:F165"/>
    <mergeCell ref="G165:H165"/>
    <mergeCell ref="I165:J165"/>
    <mergeCell ref="AA163:AB164"/>
    <mergeCell ref="AC163:AD164"/>
    <mergeCell ref="AE163:AF164"/>
    <mergeCell ref="AG163:AH164"/>
    <mergeCell ref="AA157:AB157"/>
    <mergeCell ref="AC157:AD157"/>
    <mergeCell ref="AE157:AF157"/>
    <mergeCell ref="AG157:AH157"/>
    <mergeCell ref="AI157:AK157"/>
    <mergeCell ref="AL157:AN157"/>
    <mergeCell ref="O157:P157"/>
    <mergeCell ref="Q157:R157"/>
    <mergeCell ref="S157:T157"/>
    <mergeCell ref="U157:V157"/>
    <mergeCell ref="W157:X157"/>
    <mergeCell ref="Y157:Z157"/>
    <mergeCell ref="E157:F157"/>
    <mergeCell ref="G157:H157"/>
    <mergeCell ref="I157:J157"/>
    <mergeCell ref="K157:L157"/>
    <mergeCell ref="M157:N157"/>
    <mergeCell ref="Q156:R156"/>
    <mergeCell ref="S156:T156"/>
    <mergeCell ref="U156:V156"/>
    <mergeCell ref="W156:X156"/>
    <mergeCell ref="E156:F156"/>
    <mergeCell ref="G156:H156"/>
    <mergeCell ref="I156:J156"/>
    <mergeCell ref="K156:L156"/>
    <mergeCell ref="M156:N156"/>
    <mergeCell ref="O156:P156"/>
    <mergeCell ref="S155:T155"/>
    <mergeCell ref="U155:V155"/>
    <mergeCell ref="W155:X155"/>
    <mergeCell ref="Y155:Z155"/>
    <mergeCell ref="AC156:AD156"/>
    <mergeCell ref="AE156:AF156"/>
    <mergeCell ref="AG156:AH156"/>
    <mergeCell ref="AI156:AK156"/>
    <mergeCell ref="AL156:AN156"/>
    <mergeCell ref="Y156:Z156"/>
    <mergeCell ref="AA156:AB156"/>
    <mergeCell ref="AA154:AB154"/>
    <mergeCell ref="AC154:AD154"/>
    <mergeCell ref="AE154:AF154"/>
    <mergeCell ref="AI154:AK154"/>
    <mergeCell ref="AL154:AN154"/>
    <mergeCell ref="E155:F155"/>
    <mergeCell ref="G155:H155"/>
    <mergeCell ref="I155:J155"/>
    <mergeCell ref="K155:L155"/>
    <mergeCell ref="M155:N155"/>
    <mergeCell ref="O154:P154"/>
    <mergeCell ref="Q154:R154"/>
    <mergeCell ref="S154:T154"/>
    <mergeCell ref="U154:V154"/>
    <mergeCell ref="W154:X154"/>
    <mergeCell ref="Y154:Z154"/>
    <mergeCell ref="AA155:AB155"/>
    <mergeCell ref="AC155:AD155"/>
    <mergeCell ref="AE155:AF155"/>
    <mergeCell ref="AG155:AH155"/>
    <mergeCell ref="AI155:AK155"/>
    <mergeCell ref="AL155:AN155"/>
    <mergeCell ref="O155:P155"/>
    <mergeCell ref="Q155:R155"/>
    <mergeCell ref="E154:F154"/>
    <mergeCell ref="G154:H154"/>
    <mergeCell ref="I154:J154"/>
    <mergeCell ref="K154:L154"/>
    <mergeCell ref="M154:N154"/>
    <mergeCell ref="Q153:R153"/>
    <mergeCell ref="S153:T153"/>
    <mergeCell ref="U153:V153"/>
    <mergeCell ref="W153:X153"/>
    <mergeCell ref="AG152:AH152"/>
    <mergeCell ref="AI152:AJ152"/>
    <mergeCell ref="AK152:AL152"/>
    <mergeCell ref="AM152:AN152"/>
    <mergeCell ref="E153:F153"/>
    <mergeCell ref="G153:H153"/>
    <mergeCell ref="I153:J153"/>
    <mergeCell ref="K153:L153"/>
    <mergeCell ref="M153:N153"/>
    <mergeCell ref="O153:P153"/>
    <mergeCell ref="U152:V152"/>
    <mergeCell ref="W152:X152"/>
    <mergeCell ref="Y152:Z152"/>
    <mergeCell ref="AA152:AB152"/>
    <mergeCell ref="AC152:AD152"/>
    <mergeCell ref="AE152:AF152"/>
    <mergeCell ref="AC153:AD153"/>
    <mergeCell ref="AE153:AF153"/>
    <mergeCell ref="AG153:AH153"/>
    <mergeCell ref="AI153:AK153"/>
    <mergeCell ref="AL153:AN153"/>
    <mergeCell ref="Y153:Z153"/>
    <mergeCell ref="AA153:AB153"/>
    <mergeCell ref="Y151:Z151"/>
    <mergeCell ref="AA151:AB151"/>
    <mergeCell ref="AC151:AD151"/>
    <mergeCell ref="AE151:AF151"/>
    <mergeCell ref="AG151:AH151"/>
    <mergeCell ref="AI151:AJ151"/>
    <mergeCell ref="M151:N151"/>
    <mergeCell ref="O151:P151"/>
    <mergeCell ref="Q151:R151"/>
    <mergeCell ref="S151:T151"/>
    <mergeCell ref="U151:V151"/>
    <mergeCell ref="W151:X151"/>
    <mergeCell ref="AK120:AL120"/>
    <mergeCell ref="AM120:AN120"/>
    <mergeCell ref="B121:B122"/>
    <mergeCell ref="C151:C157"/>
    <mergeCell ref="E151:F151"/>
    <mergeCell ref="G151:H151"/>
    <mergeCell ref="I151:J151"/>
    <mergeCell ref="K151:L151"/>
    <mergeCell ref="U120:V120"/>
    <mergeCell ref="W120:X120"/>
    <mergeCell ref="Y120:Z120"/>
    <mergeCell ref="AA120:AB120"/>
    <mergeCell ref="AC120:AD120"/>
    <mergeCell ref="AE120:AF120"/>
    <mergeCell ref="AK151:AL151"/>
    <mergeCell ref="AM151:AN151"/>
    <mergeCell ref="E152:F152"/>
    <mergeCell ref="G152:H152"/>
    <mergeCell ref="I152:J152"/>
    <mergeCell ref="K152:L152"/>
    <mergeCell ref="M152:N152"/>
    <mergeCell ref="O152:P152"/>
    <mergeCell ref="Q152:R152"/>
    <mergeCell ref="S152:T152"/>
    <mergeCell ref="AK84:AL84"/>
    <mergeCell ref="AM84:AN84"/>
    <mergeCell ref="E120:F120"/>
    <mergeCell ref="G120:H120"/>
    <mergeCell ref="I120:J120"/>
    <mergeCell ref="K120:L120"/>
    <mergeCell ref="M120:N120"/>
    <mergeCell ref="O120:P120"/>
    <mergeCell ref="Q120:R120"/>
    <mergeCell ref="S120:T120"/>
    <mergeCell ref="S84:T84"/>
    <mergeCell ref="U84:V84"/>
    <mergeCell ref="W84:X84"/>
    <mergeCell ref="Y84:Z84"/>
    <mergeCell ref="AA84:AB84"/>
    <mergeCell ref="AC84:AD84"/>
    <mergeCell ref="G84:H84"/>
    <mergeCell ref="I84:J84"/>
    <mergeCell ref="K84:L84"/>
    <mergeCell ref="M84:N84"/>
    <mergeCell ref="O84:P84"/>
    <mergeCell ref="Q84:R84"/>
    <mergeCell ref="AG120:AH120"/>
    <mergeCell ref="AI120:AJ120"/>
    <mergeCell ref="AG82:AH83"/>
    <mergeCell ref="AI82:AJ82"/>
    <mergeCell ref="AG84:AH84"/>
    <mergeCell ref="AI84:AJ84"/>
    <mergeCell ref="M82:N83"/>
    <mergeCell ref="O82:P83"/>
    <mergeCell ref="Q82:R83"/>
    <mergeCell ref="S82:T83"/>
    <mergeCell ref="U82:V83"/>
    <mergeCell ref="W82:X83"/>
    <mergeCell ref="B77:AN77"/>
    <mergeCell ref="B79:AN79"/>
    <mergeCell ref="AJ80:AM80"/>
    <mergeCell ref="AJ81:AM81"/>
    <mergeCell ref="B82:B83"/>
    <mergeCell ref="C82:C85"/>
    <mergeCell ref="E82:F82"/>
    <mergeCell ref="G82:H82"/>
    <mergeCell ref="I82:J83"/>
    <mergeCell ref="K82:L83"/>
    <mergeCell ref="AK82:AL82"/>
    <mergeCell ref="AM82:AN82"/>
    <mergeCell ref="D83:D84"/>
    <mergeCell ref="E83:F83"/>
    <mergeCell ref="G83:H83"/>
    <mergeCell ref="AC83:AD83"/>
    <mergeCell ref="AI83:AJ83"/>
    <mergeCell ref="AK83:AL83"/>
    <mergeCell ref="AM83:AN83"/>
    <mergeCell ref="E84:F84"/>
    <mergeCell ref="Y82:Z83"/>
    <mergeCell ref="AA82:AB83"/>
    <mergeCell ref="AC82:AD82"/>
    <mergeCell ref="AE82:AF84"/>
    <mergeCell ref="AI74:AJ74"/>
    <mergeCell ref="AK74:AL74"/>
    <mergeCell ref="AM74:AN74"/>
    <mergeCell ref="B76:AN76"/>
    <mergeCell ref="S74:T74"/>
    <mergeCell ref="U74:V74"/>
    <mergeCell ref="W74:X74"/>
    <mergeCell ref="Y74:Z74"/>
    <mergeCell ref="AA74:AB74"/>
    <mergeCell ref="AC74:AD74"/>
    <mergeCell ref="AI7:AJ7"/>
    <mergeCell ref="AK7:AL7"/>
    <mergeCell ref="AM7:AN7"/>
    <mergeCell ref="E74:F74"/>
    <mergeCell ref="G74:H74"/>
    <mergeCell ref="I74:J74"/>
    <mergeCell ref="K74:L74"/>
    <mergeCell ref="M74:N74"/>
    <mergeCell ref="O74:P74"/>
    <mergeCell ref="Q74:R74"/>
    <mergeCell ref="Q7:R7"/>
    <mergeCell ref="S7:T7"/>
    <mergeCell ref="U7:V7"/>
    <mergeCell ref="W7:X7"/>
    <mergeCell ref="Y7:Z7"/>
    <mergeCell ref="AA7:AB7"/>
    <mergeCell ref="E7:F7"/>
    <mergeCell ref="G7:H7"/>
    <mergeCell ref="I7:J7"/>
    <mergeCell ref="K7:L7"/>
    <mergeCell ref="M7:N7"/>
    <mergeCell ref="O7:P7"/>
    <mergeCell ref="AE74:AF74"/>
    <mergeCell ref="AG74:AH74"/>
    <mergeCell ref="AE5:AF7"/>
    <mergeCell ref="AG5:AH6"/>
    <mergeCell ref="AC7:AD7"/>
    <mergeCell ref="AG7:AH7"/>
    <mergeCell ref="K5:L6"/>
    <mergeCell ref="M5:N6"/>
    <mergeCell ref="O5:P6"/>
    <mergeCell ref="Q5:R6"/>
    <mergeCell ref="S5:T6"/>
    <mergeCell ref="U5:V6"/>
    <mergeCell ref="B1:AN1"/>
    <mergeCell ref="M2:Z2"/>
    <mergeCell ref="AJ2:AM2"/>
    <mergeCell ref="AJ3:AM3"/>
    <mergeCell ref="AQ3:BC3"/>
    <mergeCell ref="B5:B6"/>
    <mergeCell ref="C5:C8"/>
    <mergeCell ref="E5:F5"/>
    <mergeCell ref="G5:H5"/>
    <mergeCell ref="I5:J6"/>
    <mergeCell ref="AI5:AJ5"/>
    <mergeCell ref="AK5:AL5"/>
    <mergeCell ref="AM5:AN5"/>
    <mergeCell ref="D6:D7"/>
    <mergeCell ref="E6:F6"/>
    <mergeCell ref="G6:H6"/>
    <mergeCell ref="AC6:AD6"/>
    <mergeCell ref="AI6:AJ6"/>
    <mergeCell ref="AK6:AL6"/>
    <mergeCell ref="AM6:AN6"/>
    <mergeCell ref="W5:X6"/>
    <mergeCell ref="Y5:Z6"/>
    <mergeCell ref="AA5:AB6"/>
    <mergeCell ref="AC5:AD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CA21A-0E37-48E0-99D8-3EBBE1C2CB3F}">
  <sheetPr>
    <tabColor rgb="FF0070C0"/>
  </sheetPr>
  <dimension ref="A1:K570"/>
  <sheetViews>
    <sheetView topLeftCell="A343" workbookViewId="0">
      <selection activeCell="D361" sqref="D361"/>
    </sheetView>
  </sheetViews>
  <sheetFormatPr defaultRowHeight="12.75" x14ac:dyDescent="0.25"/>
  <cols>
    <col min="1" max="1" width="5.5703125" style="148" bestFit="1" customWidth="1"/>
    <col min="2" max="2" width="32.140625" style="148" customWidth="1"/>
    <col min="3" max="3" width="8.28515625" style="148" customWidth="1"/>
    <col min="4" max="4" width="18.85546875" style="148" customWidth="1"/>
    <col min="5" max="5" width="19.42578125" style="148" customWidth="1"/>
    <col min="6" max="6" width="25.7109375" style="148" customWidth="1"/>
    <col min="7" max="7" width="9.140625" style="148"/>
    <col min="8" max="8" width="12.7109375" style="148" customWidth="1"/>
    <col min="9" max="9" width="14.5703125" style="148" bestFit="1" customWidth="1"/>
    <col min="10" max="256" width="9.140625" style="148"/>
    <col min="257" max="257" width="5.5703125" style="148" bestFit="1" customWidth="1"/>
    <col min="258" max="258" width="32.140625" style="148" customWidth="1"/>
    <col min="259" max="259" width="8.28515625" style="148" customWidth="1"/>
    <col min="260" max="260" width="18.85546875" style="148" customWidth="1"/>
    <col min="261" max="261" width="19.42578125" style="148" customWidth="1"/>
    <col min="262" max="262" width="25.7109375" style="148" customWidth="1"/>
    <col min="263" max="263" width="9.140625" style="148"/>
    <col min="264" max="264" width="12.7109375" style="148" customWidth="1"/>
    <col min="265" max="265" width="14.5703125" style="148" bestFit="1" customWidth="1"/>
    <col min="266" max="512" width="9.140625" style="148"/>
    <col min="513" max="513" width="5.5703125" style="148" bestFit="1" customWidth="1"/>
    <col min="514" max="514" width="32.140625" style="148" customWidth="1"/>
    <col min="515" max="515" width="8.28515625" style="148" customWidth="1"/>
    <col min="516" max="516" width="18.85546875" style="148" customWidth="1"/>
    <col min="517" max="517" width="19.42578125" style="148" customWidth="1"/>
    <col min="518" max="518" width="25.7109375" style="148" customWidth="1"/>
    <col min="519" max="519" width="9.140625" style="148"/>
    <col min="520" max="520" width="12.7109375" style="148" customWidth="1"/>
    <col min="521" max="521" width="14.5703125" style="148" bestFit="1" customWidth="1"/>
    <col min="522" max="768" width="9.140625" style="148"/>
    <col min="769" max="769" width="5.5703125" style="148" bestFit="1" customWidth="1"/>
    <col min="770" max="770" width="32.140625" style="148" customWidth="1"/>
    <col min="771" max="771" width="8.28515625" style="148" customWidth="1"/>
    <col min="772" max="772" width="18.85546875" style="148" customWidth="1"/>
    <col min="773" max="773" width="19.42578125" style="148" customWidth="1"/>
    <col min="774" max="774" width="25.7109375" style="148" customWidth="1"/>
    <col min="775" max="775" width="9.140625" style="148"/>
    <col min="776" max="776" width="12.7109375" style="148" customWidth="1"/>
    <col min="777" max="777" width="14.5703125" style="148" bestFit="1" customWidth="1"/>
    <col min="778" max="1024" width="9.140625" style="148"/>
    <col min="1025" max="1025" width="5.5703125" style="148" bestFit="1" customWidth="1"/>
    <col min="1026" max="1026" width="32.140625" style="148" customWidth="1"/>
    <col min="1027" max="1027" width="8.28515625" style="148" customWidth="1"/>
    <col min="1028" max="1028" width="18.85546875" style="148" customWidth="1"/>
    <col min="1029" max="1029" width="19.42578125" style="148" customWidth="1"/>
    <col min="1030" max="1030" width="25.7109375" style="148" customWidth="1"/>
    <col min="1031" max="1031" width="9.140625" style="148"/>
    <col min="1032" max="1032" width="12.7109375" style="148" customWidth="1"/>
    <col min="1033" max="1033" width="14.5703125" style="148" bestFit="1" customWidth="1"/>
    <col min="1034" max="1280" width="9.140625" style="148"/>
    <col min="1281" max="1281" width="5.5703125" style="148" bestFit="1" customWidth="1"/>
    <col min="1282" max="1282" width="32.140625" style="148" customWidth="1"/>
    <col min="1283" max="1283" width="8.28515625" style="148" customWidth="1"/>
    <col min="1284" max="1284" width="18.85546875" style="148" customWidth="1"/>
    <col min="1285" max="1285" width="19.42578125" style="148" customWidth="1"/>
    <col min="1286" max="1286" width="25.7109375" style="148" customWidth="1"/>
    <col min="1287" max="1287" width="9.140625" style="148"/>
    <col min="1288" max="1288" width="12.7109375" style="148" customWidth="1"/>
    <col min="1289" max="1289" width="14.5703125" style="148" bestFit="1" customWidth="1"/>
    <col min="1290" max="1536" width="9.140625" style="148"/>
    <col min="1537" max="1537" width="5.5703125" style="148" bestFit="1" customWidth="1"/>
    <col min="1538" max="1538" width="32.140625" style="148" customWidth="1"/>
    <col min="1539" max="1539" width="8.28515625" style="148" customWidth="1"/>
    <col min="1540" max="1540" width="18.85546875" style="148" customWidth="1"/>
    <col min="1541" max="1541" width="19.42578125" style="148" customWidth="1"/>
    <col min="1542" max="1542" width="25.7109375" style="148" customWidth="1"/>
    <col min="1543" max="1543" width="9.140625" style="148"/>
    <col min="1544" max="1544" width="12.7109375" style="148" customWidth="1"/>
    <col min="1545" max="1545" width="14.5703125" style="148" bestFit="1" customWidth="1"/>
    <col min="1546" max="1792" width="9.140625" style="148"/>
    <col min="1793" max="1793" width="5.5703125" style="148" bestFit="1" customWidth="1"/>
    <col min="1794" max="1794" width="32.140625" style="148" customWidth="1"/>
    <col min="1795" max="1795" width="8.28515625" style="148" customWidth="1"/>
    <col min="1796" max="1796" width="18.85546875" style="148" customWidth="1"/>
    <col min="1797" max="1797" width="19.42578125" style="148" customWidth="1"/>
    <col min="1798" max="1798" width="25.7109375" style="148" customWidth="1"/>
    <col min="1799" max="1799" width="9.140625" style="148"/>
    <col min="1800" max="1800" width="12.7109375" style="148" customWidth="1"/>
    <col min="1801" max="1801" width="14.5703125" style="148" bestFit="1" customWidth="1"/>
    <col min="1802" max="2048" width="9.140625" style="148"/>
    <col min="2049" max="2049" width="5.5703125" style="148" bestFit="1" customWidth="1"/>
    <col min="2050" max="2050" width="32.140625" style="148" customWidth="1"/>
    <col min="2051" max="2051" width="8.28515625" style="148" customWidth="1"/>
    <col min="2052" max="2052" width="18.85546875" style="148" customWidth="1"/>
    <col min="2053" max="2053" width="19.42578125" style="148" customWidth="1"/>
    <col min="2054" max="2054" width="25.7109375" style="148" customWidth="1"/>
    <col min="2055" max="2055" width="9.140625" style="148"/>
    <col min="2056" max="2056" width="12.7109375" style="148" customWidth="1"/>
    <col min="2057" max="2057" width="14.5703125" style="148" bestFit="1" customWidth="1"/>
    <col min="2058" max="2304" width="9.140625" style="148"/>
    <col min="2305" max="2305" width="5.5703125" style="148" bestFit="1" customWidth="1"/>
    <col min="2306" max="2306" width="32.140625" style="148" customWidth="1"/>
    <col min="2307" max="2307" width="8.28515625" style="148" customWidth="1"/>
    <col min="2308" max="2308" width="18.85546875" style="148" customWidth="1"/>
    <col min="2309" max="2309" width="19.42578125" style="148" customWidth="1"/>
    <col min="2310" max="2310" width="25.7109375" style="148" customWidth="1"/>
    <col min="2311" max="2311" width="9.140625" style="148"/>
    <col min="2312" max="2312" width="12.7109375" style="148" customWidth="1"/>
    <col min="2313" max="2313" width="14.5703125" style="148" bestFit="1" customWidth="1"/>
    <col min="2314" max="2560" width="9.140625" style="148"/>
    <col min="2561" max="2561" width="5.5703125" style="148" bestFit="1" customWidth="1"/>
    <col min="2562" max="2562" width="32.140625" style="148" customWidth="1"/>
    <col min="2563" max="2563" width="8.28515625" style="148" customWidth="1"/>
    <col min="2564" max="2564" width="18.85546875" style="148" customWidth="1"/>
    <col min="2565" max="2565" width="19.42578125" style="148" customWidth="1"/>
    <col min="2566" max="2566" width="25.7109375" style="148" customWidth="1"/>
    <col min="2567" max="2567" width="9.140625" style="148"/>
    <col min="2568" max="2568" width="12.7109375" style="148" customWidth="1"/>
    <col min="2569" max="2569" width="14.5703125" style="148" bestFit="1" customWidth="1"/>
    <col min="2570" max="2816" width="9.140625" style="148"/>
    <col min="2817" max="2817" width="5.5703125" style="148" bestFit="1" customWidth="1"/>
    <col min="2818" max="2818" width="32.140625" style="148" customWidth="1"/>
    <col min="2819" max="2819" width="8.28515625" style="148" customWidth="1"/>
    <col min="2820" max="2820" width="18.85546875" style="148" customWidth="1"/>
    <col min="2821" max="2821" width="19.42578125" style="148" customWidth="1"/>
    <col min="2822" max="2822" width="25.7109375" style="148" customWidth="1"/>
    <col min="2823" max="2823" width="9.140625" style="148"/>
    <col min="2824" max="2824" width="12.7109375" style="148" customWidth="1"/>
    <col min="2825" max="2825" width="14.5703125" style="148" bestFit="1" customWidth="1"/>
    <col min="2826" max="3072" width="9.140625" style="148"/>
    <col min="3073" max="3073" width="5.5703125" style="148" bestFit="1" customWidth="1"/>
    <col min="3074" max="3074" width="32.140625" style="148" customWidth="1"/>
    <col min="3075" max="3075" width="8.28515625" style="148" customWidth="1"/>
    <col min="3076" max="3076" width="18.85546875" style="148" customWidth="1"/>
    <col min="3077" max="3077" width="19.42578125" style="148" customWidth="1"/>
    <col min="3078" max="3078" width="25.7109375" style="148" customWidth="1"/>
    <col min="3079" max="3079" width="9.140625" style="148"/>
    <col min="3080" max="3080" width="12.7109375" style="148" customWidth="1"/>
    <col min="3081" max="3081" width="14.5703125" style="148" bestFit="1" customWidth="1"/>
    <col min="3082" max="3328" width="9.140625" style="148"/>
    <col min="3329" max="3329" width="5.5703125" style="148" bestFit="1" customWidth="1"/>
    <col min="3330" max="3330" width="32.140625" style="148" customWidth="1"/>
    <col min="3331" max="3331" width="8.28515625" style="148" customWidth="1"/>
    <col min="3332" max="3332" width="18.85546875" style="148" customWidth="1"/>
    <col min="3333" max="3333" width="19.42578125" style="148" customWidth="1"/>
    <col min="3334" max="3334" width="25.7109375" style="148" customWidth="1"/>
    <col min="3335" max="3335" width="9.140625" style="148"/>
    <col min="3336" max="3336" width="12.7109375" style="148" customWidth="1"/>
    <col min="3337" max="3337" width="14.5703125" style="148" bestFit="1" customWidth="1"/>
    <col min="3338" max="3584" width="9.140625" style="148"/>
    <col min="3585" max="3585" width="5.5703125" style="148" bestFit="1" customWidth="1"/>
    <col min="3586" max="3586" width="32.140625" style="148" customWidth="1"/>
    <col min="3587" max="3587" width="8.28515625" style="148" customWidth="1"/>
    <col min="3588" max="3588" width="18.85546875" style="148" customWidth="1"/>
    <col min="3589" max="3589" width="19.42578125" style="148" customWidth="1"/>
    <col min="3590" max="3590" width="25.7109375" style="148" customWidth="1"/>
    <col min="3591" max="3591" width="9.140625" style="148"/>
    <col min="3592" max="3592" width="12.7109375" style="148" customWidth="1"/>
    <col min="3593" max="3593" width="14.5703125" style="148" bestFit="1" customWidth="1"/>
    <col min="3594" max="3840" width="9.140625" style="148"/>
    <col min="3841" max="3841" width="5.5703125" style="148" bestFit="1" customWidth="1"/>
    <col min="3842" max="3842" width="32.140625" style="148" customWidth="1"/>
    <col min="3843" max="3843" width="8.28515625" style="148" customWidth="1"/>
    <col min="3844" max="3844" width="18.85546875" style="148" customWidth="1"/>
    <col min="3845" max="3845" width="19.42578125" style="148" customWidth="1"/>
    <col min="3846" max="3846" width="25.7109375" style="148" customWidth="1"/>
    <col min="3847" max="3847" width="9.140625" style="148"/>
    <col min="3848" max="3848" width="12.7109375" style="148" customWidth="1"/>
    <col min="3849" max="3849" width="14.5703125" style="148" bestFit="1" customWidth="1"/>
    <col min="3850" max="4096" width="9.140625" style="148"/>
    <col min="4097" max="4097" width="5.5703125" style="148" bestFit="1" customWidth="1"/>
    <col min="4098" max="4098" width="32.140625" style="148" customWidth="1"/>
    <col min="4099" max="4099" width="8.28515625" style="148" customWidth="1"/>
    <col min="4100" max="4100" width="18.85546875" style="148" customWidth="1"/>
    <col min="4101" max="4101" width="19.42578125" style="148" customWidth="1"/>
    <col min="4102" max="4102" width="25.7109375" style="148" customWidth="1"/>
    <col min="4103" max="4103" width="9.140625" style="148"/>
    <col min="4104" max="4104" width="12.7109375" style="148" customWidth="1"/>
    <col min="4105" max="4105" width="14.5703125" style="148" bestFit="1" customWidth="1"/>
    <col min="4106" max="4352" width="9.140625" style="148"/>
    <col min="4353" max="4353" width="5.5703125" style="148" bestFit="1" customWidth="1"/>
    <col min="4354" max="4354" width="32.140625" style="148" customWidth="1"/>
    <col min="4355" max="4355" width="8.28515625" style="148" customWidth="1"/>
    <col min="4356" max="4356" width="18.85546875" style="148" customWidth="1"/>
    <col min="4357" max="4357" width="19.42578125" style="148" customWidth="1"/>
    <col min="4358" max="4358" width="25.7109375" style="148" customWidth="1"/>
    <col min="4359" max="4359" width="9.140625" style="148"/>
    <col min="4360" max="4360" width="12.7109375" style="148" customWidth="1"/>
    <col min="4361" max="4361" width="14.5703125" style="148" bestFit="1" customWidth="1"/>
    <col min="4362" max="4608" width="9.140625" style="148"/>
    <col min="4609" max="4609" width="5.5703125" style="148" bestFit="1" customWidth="1"/>
    <col min="4610" max="4610" width="32.140625" style="148" customWidth="1"/>
    <col min="4611" max="4611" width="8.28515625" style="148" customWidth="1"/>
    <col min="4612" max="4612" width="18.85546875" style="148" customWidth="1"/>
    <col min="4613" max="4613" width="19.42578125" style="148" customWidth="1"/>
    <col min="4614" max="4614" width="25.7109375" style="148" customWidth="1"/>
    <col min="4615" max="4615" width="9.140625" style="148"/>
    <col min="4616" max="4616" width="12.7109375" style="148" customWidth="1"/>
    <col min="4617" max="4617" width="14.5703125" style="148" bestFit="1" customWidth="1"/>
    <col min="4618" max="4864" width="9.140625" style="148"/>
    <col min="4865" max="4865" width="5.5703125" style="148" bestFit="1" customWidth="1"/>
    <col min="4866" max="4866" width="32.140625" style="148" customWidth="1"/>
    <col min="4867" max="4867" width="8.28515625" style="148" customWidth="1"/>
    <col min="4868" max="4868" width="18.85546875" style="148" customWidth="1"/>
    <col min="4869" max="4869" width="19.42578125" style="148" customWidth="1"/>
    <col min="4870" max="4870" width="25.7109375" style="148" customWidth="1"/>
    <col min="4871" max="4871" width="9.140625" style="148"/>
    <col min="4872" max="4872" width="12.7109375" style="148" customWidth="1"/>
    <col min="4873" max="4873" width="14.5703125" style="148" bestFit="1" customWidth="1"/>
    <col min="4874" max="5120" width="9.140625" style="148"/>
    <col min="5121" max="5121" width="5.5703125" style="148" bestFit="1" customWidth="1"/>
    <col min="5122" max="5122" width="32.140625" style="148" customWidth="1"/>
    <col min="5123" max="5123" width="8.28515625" style="148" customWidth="1"/>
    <col min="5124" max="5124" width="18.85546875" style="148" customWidth="1"/>
    <col min="5125" max="5125" width="19.42578125" style="148" customWidth="1"/>
    <col min="5126" max="5126" width="25.7109375" style="148" customWidth="1"/>
    <col min="5127" max="5127" width="9.140625" style="148"/>
    <col min="5128" max="5128" width="12.7109375" style="148" customWidth="1"/>
    <col min="5129" max="5129" width="14.5703125" style="148" bestFit="1" customWidth="1"/>
    <col min="5130" max="5376" width="9.140625" style="148"/>
    <col min="5377" max="5377" width="5.5703125" style="148" bestFit="1" customWidth="1"/>
    <col min="5378" max="5378" width="32.140625" style="148" customWidth="1"/>
    <col min="5379" max="5379" width="8.28515625" style="148" customWidth="1"/>
    <col min="5380" max="5380" width="18.85546875" style="148" customWidth="1"/>
    <col min="5381" max="5381" width="19.42578125" style="148" customWidth="1"/>
    <col min="5382" max="5382" width="25.7109375" style="148" customWidth="1"/>
    <col min="5383" max="5383" width="9.140625" style="148"/>
    <col min="5384" max="5384" width="12.7109375" style="148" customWidth="1"/>
    <col min="5385" max="5385" width="14.5703125" style="148" bestFit="1" customWidth="1"/>
    <col min="5386" max="5632" width="9.140625" style="148"/>
    <col min="5633" max="5633" width="5.5703125" style="148" bestFit="1" customWidth="1"/>
    <col min="5634" max="5634" width="32.140625" style="148" customWidth="1"/>
    <col min="5635" max="5635" width="8.28515625" style="148" customWidth="1"/>
    <col min="5636" max="5636" width="18.85546875" style="148" customWidth="1"/>
    <col min="5637" max="5637" width="19.42578125" style="148" customWidth="1"/>
    <col min="5638" max="5638" width="25.7109375" style="148" customWidth="1"/>
    <col min="5639" max="5639" width="9.140625" style="148"/>
    <col min="5640" max="5640" width="12.7109375" style="148" customWidth="1"/>
    <col min="5641" max="5641" width="14.5703125" style="148" bestFit="1" customWidth="1"/>
    <col min="5642" max="5888" width="9.140625" style="148"/>
    <col min="5889" max="5889" width="5.5703125" style="148" bestFit="1" customWidth="1"/>
    <col min="5890" max="5890" width="32.140625" style="148" customWidth="1"/>
    <col min="5891" max="5891" width="8.28515625" style="148" customWidth="1"/>
    <col min="5892" max="5892" width="18.85546875" style="148" customWidth="1"/>
    <col min="5893" max="5893" width="19.42578125" style="148" customWidth="1"/>
    <col min="5894" max="5894" width="25.7109375" style="148" customWidth="1"/>
    <col min="5895" max="5895" width="9.140625" style="148"/>
    <col min="5896" max="5896" width="12.7109375" style="148" customWidth="1"/>
    <col min="5897" max="5897" width="14.5703125" style="148" bestFit="1" customWidth="1"/>
    <col min="5898" max="6144" width="9.140625" style="148"/>
    <col min="6145" max="6145" width="5.5703125" style="148" bestFit="1" customWidth="1"/>
    <col min="6146" max="6146" width="32.140625" style="148" customWidth="1"/>
    <col min="6147" max="6147" width="8.28515625" style="148" customWidth="1"/>
    <col min="6148" max="6148" width="18.85546875" style="148" customWidth="1"/>
    <col min="6149" max="6149" width="19.42578125" style="148" customWidth="1"/>
    <col min="6150" max="6150" width="25.7109375" style="148" customWidth="1"/>
    <col min="6151" max="6151" width="9.140625" style="148"/>
    <col min="6152" max="6152" width="12.7109375" style="148" customWidth="1"/>
    <col min="6153" max="6153" width="14.5703125" style="148" bestFit="1" customWidth="1"/>
    <col min="6154" max="6400" width="9.140625" style="148"/>
    <col min="6401" max="6401" width="5.5703125" style="148" bestFit="1" customWidth="1"/>
    <col min="6402" max="6402" width="32.140625" style="148" customWidth="1"/>
    <col min="6403" max="6403" width="8.28515625" style="148" customWidth="1"/>
    <col min="6404" max="6404" width="18.85546875" style="148" customWidth="1"/>
    <col min="6405" max="6405" width="19.42578125" style="148" customWidth="1"/>
    <col min="6406" max="6406" width="25.7109375" style="148" customWidth="1"/>
    <col min="6407" max="6407" width="9.140625" style="148"/>
    <col min="6408" max="6408" width="12.7109375" style="148" customWidth="1"/>
    <col min="6409" max="6409" width="14.5703125" style="148" bestFit="1" customWidth="1"/>
    <col min="6410" max="6656" width="9.140625" style="148"/>
    <col min="6657" max="6657" width="5.5703125" style="148" bestFit="1" customWidth="1"/>
    <col min="6658" max="6658" width="32.140625" style="148" customWidth="1"/>
    <col min="6659" max="6659" width="8.28515625" style="148" customWidth="1"/>
    <col min="6660" max="6660" width="18.85546875" style="148" customWidth="1"/>
    <col min="6661" max="6661" width="19.42578125" style="148" customWidth="1"/>
    <col min="6662" max="6662" width="25.7109375" style="148" customWidth="1"/>
    <col min="6663" max="6663" width="9.140625" style="148"/>
    <col min="6664" max="6664" width="12.7109375" style="148" customWidth="1"/>
    <col min="6665" max="6665" width="14.5703125" style="148" bestFit="1" customWidth="1"/>
    <col min="6666" max="6912" width="9.140625" style="148"/>
    <col min="6913" max="6913" width="5.5703125" style="148" bestFit="1" customWidth="1"/>
    <col min="6914" max="6914" width="32.140625" style="148" customWidth="1"/>
    <col min="6915" max="6915" width="8.28515625" style="148" customWidth="1"/>
    <col min="6916" max="6916" width="18.85546875" style="148" customWidth="1"/>
    <col min="6917" max="6917" width="19.42578125" style="148" customWidth="1"/>
    <col min="6918" max="6918" width="25.7109375" style="148" customWidth="1"/>
    <col min="6919" max="6919" width="9.140625" style="148"/>
    <col min="6920" max="6920" width="12.7109375" style="148" customWidth="1"/>
    <col min="6921" max="6921" width="14.5703125" style="148" bestFit="1" customWidth="1"/>
    <col min="6922" max="7168" width="9.140625" style="148"/>
    <col min="7169" max="7169" width="5.5703125" style="148" bestFit="1" customWidth="1"/>
    <col min="7170" max="7170" width="32.140625" style="148" customWidth="1"/>
    <col min="7171" max="7171" width="8.28515625" style="148" customWidth="1"/>
    <col min="7172" max="7172" width="18.85546875" style="148" customWidth="1"/>
    <col min="7173" max="7173" width="19.42578125" style="148" customWidth="1"/>
    <col min="7174" max="7174" width="25.7109375" style="148" customWidth="1"/>
    <col min="7175" max="7175" width="9.140625" style="148"/>
    <col min="7176" max="7176" width="12.7109375" style="148" customWidth="1"/>
    <col min="7177" max="7177" width="14.5703125" style="148" bestFit="1" customWidth="1"/>
    <col min="7178" max="7424" width="9.140625" style="148"/>
    <col min="7425" max="7425" width="5.5703125" style="148" bestFit="1" customWidth="1"/>
    <col min="7426" max="7426" width="32.140625" style="148" customWidth="1"/>
    <col min="7427" max="7427" width="8.28515625" style="148" customWidth="1"/>
    <col min="7428" max="7428" width="18.85546875" style="148" customWidth="1"/>
    <col min="7429" max="7429" width="19.42578125" style="148" customWidth="1"/>
    <col min="7430" max="7430" width="25.7109375" style="148" customWidth="1"/>
    <col min="7431" max="7431" width="9.140625" style="148"/>
    <col min="7432" max="7432" width="12.7109375" style="148" customWidth="1"/>
    <col min="7433" max="7433" width="14.5703125" style="148" bestFit="1" customWidth="1"/>
    <col min="7434" max="7680" width="9.140625" style="148"/>
    <col min="7681" max="7681" width="5.5703125" style="148" bestFit="1" customWidth="1"/>
    <col min="7682" max="7682" width="32.140625" style="148" customWidth="1"/>
    <col min="7683" max="7683" width="8.28515625" style="148" customWidth="1"/>
    <col min="7684" max="7684" width="18.85546875" style="148" customWidth="1"/>
    <col min="7685" max="7685" width="19.42578125" style="148" customWidth="1"/>
    <col min="7686" max="7686" width="25.7109375" style="148" customWidth="1"/>
    <col min="7687" max="7687" width="9.140625" style="148"/>
    <col min="7688" max="7688" width="12.7109375" style="148" customWidth="1"/>
    <col min="7689" max="7689" width="14.5703125" style="148" bestFit="1" customWidth="1"/>
    <col min="7690" max="7936" width="9.140625" style="148"/>
    <col min="7937" max="7937" width="5.5703125" style="148" bestFit="1" customWidth="1"/>
    <col min="7938" max="7938" width="32.140625" style="148" customWidth="1"/>
    <col min="7939" max="7939" width="8.28515625" style="148" customWidth="1"/>
    <col min="7940" max="7940" width="18.85546875" style="148" customWidth="1"/>
    <col min="7941" max="7941" width="19.42578125" style="148" customWidth="1"/>
    <col min="7942" max="7942" width="25.7109375" style="148" customWidth="1"/>
    <col min="7943" max="7943" width="9.140625" style="148"/>
    <col min="7944" max="7944" width="12.7109375" style="148" customWidth="1"/>
    <col min="7945" max="7945" width="14.5703125" style="148" bestFit="1" customWidth="1"/>
    <col min="7946" max="8192" width="9.140625" style="148"/>
    <col min="8193" max="8193" width="5.5703125" style="148" bestFit="1" customWidth="1"/>
    <col min="8194" max="8194" width="32.140625" style="148" customWidth="1"/>
    <col min="8195" max="8195" width="8.28515625" style="148" customWidth="1"/>
    <col min="8196" max="8196" width="18.85546875" style="148" customWidth="1"/>
    <col min="8197" max="8197" width="19.42578125" style="148" customWidth="1"/>
    <col min="8198" max="8198" width="25.7109375" style="148" customWidth="1"/>
    <col min="8199" max="8199" width="9.140625" style="148"/>
    <col min="8200" max="8200" width="12.7109375" style="148" customWidth="1"/>
    <col min="8201" max="8201" width="14.5703125" style="148" bestFit="1" customWidth="1"/>
    <col min="8202" max="8448" width="9.140625" style="148"/>
    <col min="8449" max="8449" width="5.5703125" style="148" bestFit="1" customWidth="1"/>
    <col min="8450" max="8450" width="32.140625" style="148" customWidth="1"/>
    <col min="8451" max="8451" width="8.28515625" style="148" customWidth="1"/>
    <col min="8452" max="8452" width="18.85546875" style="148" customWidth="1"/>
    <col min="8453" max="8453" width="19.42578125" style="148" customWidth="1"/>
    <col min="8454" max="8454" width="25.7109375" style="148" customWidth="1"/>
    <col min="8455" max="8455" width="9.140625" style="148"/>
    <col min="8456" max="8456" width="12.7109375" style="148" customWidth="1"/>
    <col min="8457" max="8457" width="14.5703125" style="148" bestFit="1" customWidth="1"/>
    <col min="8458" max="8704" width="9.140625" style="148"/>
    <col min="8705" max="8705" width="5.5703125" style="148" bestFit="1" customWidth="1"/>
    <col min="8706" max="8706" width="32.140625" style="148" customWidth="1"/>
    <col min="8707" max="8707" width="8.28515625" style="148" customWidth="1"/>
    <col min="8708" max="8708" width="18.85546875" style="148" customWidth="1"/>
    <col min="8709" max="8709" width="19.42578125" style="148" customWidth="1"/>
    <col min="8710" max="8710" width="25.7109375" style="148" customWidth="1"/>
    <col min="8711" max="8711" width="9.140625" style="148"/>
    <col min="8712" max="8712" width="12.7109375" style="148" customWidth="1"/>
    <col min="8713" max="8713" width="14.5703125" style="148" bestFit="1" customWidth="1"/>
    <col min="8714" max="8960" width="9.140625" style="148"/>
    <col min="8961" max="8961" width="5.5703125" style="148" bestFit="1" customWidth="1"/>
    <col min="8962" max="8962" width="32.140625" style="148" customWidth="1"/>
    <col min="8963" max="8963" width="8.28515625" style="148" customWidth="1"/>
    <col min="8964" max="8964" width="18.85546875" style="148" customWidth="1"/>
    <col min="8965" max="8965" width="19.42578125" style="148" customWidth="1"/>
    <col min="8966" max="8966" width="25.7109375" style="148" customWidth="1"/>
    <col min="8967" max="8967" width="9.140625" style="148"/>
    <col min="8968" max="8968" width="12.7109375" style="148" customWidth="1"/>
    <col min="8969" max="8969" width="14.5703125" style="148" bestFit="1" customWidth="1"/>
    <col min="8970" max="9216" width="9.140625" style="148"/>
    <col min="9217" max="9217" width="5.5703125" style="148" bestFit="1" customWidth="1"/>
    <col min="9218" max="9218" width="32.140625" style="148" customWidth="1"/>
    <col min="9219" max="9219" width="8.28515625" style="148" customWidth="1"/>
    <col min="9220" max="9220" width="18.85546875" style="148" customWidth="1"/>
    <col min="9221" max="9221" width="19.42578125" style="148" customWidth="1"/>
    <col min="9222" max="9222" width="25.7109375" style="148" customWidth="1"/>
    <col min="9223" max="9223" width="9.140625" style="148"/>
    <col min="9224" max="9224" width="12.7109375" style="148" customWidth="1"/>
    <col min="9225" max="9225" width="14.5703125" style="148" bestFit="1" customWidth="1"/>
    <col min="9226" max="9472" width="9.140625" style="148"/>
    <col min="9473" max="9473" width="5.5703125" style="148" bestFit="1" customWidth="1"/>
    <col min="9474" max="9474" width="32.140625" style="148" customWidth="1"/>
    <col min="9475" max="9475" width="8.28515625" style="148" customWidth="1"/>
    <col min="9476" max="9476" width="18.85546875" style="148" customWidth="1"/>
    <col min="9477" max="9477" width="19.42578125" style="148" customWidth="1"/>
    <col min="9478" max="9478" width="25.7109375" style="148" customWidth="1"/>
    <col min="9479" max="9479" width="9.140625" style="148"/>
    <col min="9480" max="9480" width="12.7109375" style="148" customWidth="1"/>
    <col min="9481" max="9481" width="14.5703125" style="148" bestFit="1" customWidth="1"/>
    <col min="9482" max="9728" width="9.140625" style="148"/>
    <col min="9729" max="9729" width="5.5703125" style="148" bestFit="1" customWidth="1"/>
    <col min="9730" max="9730" width="32.140625" style="148" customWidth="1"/>
    <col min="9731" max="9731" width="8.28515625" style="148" customWidth="1"/>
    <col min="9732" max="9732" width="18.85546875" style="148" customWidth="1"/>
    <col min="9733" max="9733" width="19.42578125" style="148" customWidth="1"/>
    <col min="9734" max="9734" width="25.7109375" style="148" customWidth="1"/>
    <col min="9735" max="9735" width="9.140625" style="148"/>
    <col min="9736" max="9736" width="12.7109375" style="148" customWidth="1"/>
    <col min="9737" max="9737" width="14.5703125" style="148" bestFit="1" customWidth="1"/>
    <col min="9738" max="9984" width="9.140625" style="148"/>
    <col min="9985" max="9985" width="5.5703125" style="148" bestFit="1" customWidth="1"/>
    <col min="9986" max="9986" width="32.140625" style="148" customWidth="1"/>
    <col min="9987" max="9987" width="8.28515625" style="148" customWidth="1"/>
    <col min="9988" max="9988" width="18.85546875" style="148" customWidth="1"/>
    <col min="9989" max="9989" width="19.42578125" style="148" customWidth="1"/>
    <col min="9990" max="9990" width="25.7109375" style="148" customWidth="1"/>
    <col min="9991" max="9991" width="9.140625" style="148"/>
    <col min="9992" max="9992" width="12.7109375" style="148" customWidth="1"/>
    <col min="9993" max="9993" width="14.5703125" style="148" bestFit="1" customWidth="1"/>
    <col min="9994" max="10240" width="9.140625" style="148"/>
    <col min="10241" max="10241" width="5.5703125" style="148" bestFit="1" customWidth="1"/>
    <col min="10242" max="10242" width="32.140625" style="148" customWidth="1"/>
    <col min="10243" max="10243" width="8.28515625" style="148" customWidth="1"/>
    <col min="10244" max="10244" width="18.85546875" style="148" customWidth="1"/>
    <col min="10245" max="10245" width="19.42578125" style="148" customWidth="1"/>
    <col min="10246" max="10246" width="25.7109375" style="148" customWidth="1"/>
    <col min="10247" max="10247" width="9.140625" style="148"/>
    <col min="10248" max="10248" width="12.7109375" style="148" customWidth="1"/>
    <col min="10249" max="10249" width="14.5703125" style="148" bestFit="1" customWidth="1"/>
    <col min="10250" max="10496" width="9.140625" style="148"/>
    <col min="10497" max="10497" width="5.5703125" style="148" bestFit="1" customWidth="1"/>
    <col min="10498" max="10498" width="32.140625" style="148" customWidth="1"/>
    <col min="10499" max="10499" width="8.28515625" style="148" customWidth="1"/>
    <col min="10500" max="10500" width="18.85546875" style="148" customWidth="1"/>
    <col min="10501" max="10501" width="19.42578125" style="148" customWidth="1"/>
    <col min="10502" max="10502" width="25.7109375" style="148" customWidth="1"/>
    <col min="10503" max="10503" width="9.140625" style="148"/>
    <col min="10504" max="10504" width="12.7109375" style="148" customWidth="1"/>
    <col min="10505" max="10505" width="14.5703125" style="148" bestFit="1" customWidth="1"/>
    <col min="10506" max="10752" width="9.140625" style="148"/>
    <col min="10753" max="10753" width="5.5703125" style="148" bestFit="1" customWidth="1"/>
    <col min="10754" max="10754" width="32.140625" style="148" customWidth="1"/>
    <col min="10755" max="10755" width="8.28515625" style="148" customWidth="1"/>
    <col min="10756" max="10756" width="18.85546875" style="148" customWidth="1"/>
    <col min="10757" max="10757" width="19.42578125" style="148" customWidth="1"/>
    <col min="10758" max="10758" width="25.7109375" style="148" customWidth="1"/>
    <col min="10759" max="10759" width="9.140625" style="148"/>
    <col min="10760" max="10760" width="12.7109375" style="148" customWidth="1"/>
    <col min="10761" max="10761" width="14.5703125" style="148" bestFit="1" customWidth="1"/>
    <col min="10762" max="11008" width="9.140625" style="148"/>
    <col min="11009" max="11009" width="5.5703125" style="148" bestFit="1" customWidth="1"/>
    <col min="11010" max="11010" width="32.140625" style="148" customWidth="1"/>
    <col min="11011" max="11011" width="8.28515625" style="148" customWidth="1"/>
    <col min="11012" max="11012" width="18.85546875" style="148" customWidth="1"/>
    <col min="11013" max="11013" width="19.42578125" style="148" customWidth="1"/>
    <col min="11014" max="11014" width="25.7109375" style="148" customWidth="1"/>
    <col min="11015" max="11015" width="9.140625" style="148"/>
    <col min="11016" max="11016" width="12.7109375" style="148" customWidth="1"/>
    <col min="11017" max="11017" width="14.5703125" style="148" bestFit="1" customWidth="1"/>
    <col min="11018" max="11264" width="9.140625" style="148"/>
    <col min="11265" max="11265" width="5.5703125" style="148" bestFit="1" customWidth="1"/>
    <col min="11266" max="11266" width="32.140625" style="148" customWidth="1"/>
    <col min="11267" max="11267" width="8.28515625" style="148" customWidth="1"/>
    <col min="11268" max="11268" width="18.85546875" style="148" customWidth="1"/>
    <col min="11269" max="11269" width="19.42578125" style="148" customWidth="1"/>
    <col min="11270" max="11270" width="25.7109375" style="148" customWidth="1"/>
    <col min="11271" max="11271" width="9.140625" style="148"/>
    <col min="11272" max="11272" width="12.7109375" style="148" customWidth="1"/>
    <col min="11273" max="11273" width="14.5703125" style="148" bestFit="1" customWidth="1"/>
    <col min="11274" max="11520" width="9.140625" style="148"/>
    <col min="11521" max="11521" width="5.5703125" style="148" bestFit="1" customWidth="1"/>
    <col min="11522" max="11522" width="32.140625" style="148" customWidth="1"/>
    <col min="11523" max="11523" width="8.28515625" style="148" customWidth="1"/>
    <col min="11524" max="11524" width="18.85546875" style="148" customWidth="1"/>
    <col min="11525" max="11525" width="19.42578125" style="148" customWidth="1"/>
    <col min="11526" max="11526" width="25.7109375" style="148" customWidth="1"/>
    <col min="11527" max="11527" width="9.140625" style="148"/>
    <col min="11528" max="11528" width="12.7109375" style="148" customWidth="1"/>
    <col min="11529" max="11529" width="14.5703125" style="148" bestFit="1" customWidth="1"/>
    <col min="11530" max="11776" width="9.140625" style="148"/>
    <col min="11777" max="11777" width="5.5703125" style="148" bestFit="1" customWidth="1"/>
    <col min="11778" max="11778" width="32.140625" style="148" customWidth="1"/>
    <col min="11779" max="11779" width="8.28515625" style="148" customWidth="1"/>
    <col min="11780" max="11780" width="18.85546875" style="148" customWidth="1"/>
    <col min="11781" max="11781" width="19.42578125" style="148" customWidth="1"/>
    <col min="11782" max="11782" width="25.7109375" style="148" customWidth="1"/>
    <col min="11783" max="11783" width="9.140625" style="148"/>
    <col min="11784" max="11784" width="12.7109375" style="148" customWidth="1"/>
    <col min="11785" max="11785" width="14.5703125" style="148" bestFit="1" customWidth="1"/>
    <col min="11786" max="12032" width="9.140625" style="148"/>
    <col min="12033" max="12033" width="5.5703125" style="148" bestFit="1" customWidth="1"/>
    <col min="12034" max="12034" width="32.140625" style="148" customWidth="1"/>
    <col min="12035" max="12035" width="8.28515625" style="148" customWidth="1"/>
    <col min="12036" max="12036" width="18.85546875" style="148" customWidth="1"/>
    <col min="12037" max="12037" width="19.42578125" style="148" customWidth="1"/>
    <col min="12038" max="12038" width="25.7109375" style="148" customWidth="1"/>
    <col min="12039" max="12039" width="9.140625" style="148"/>
    <col min="12040" max="12040" width="12.7109375" style="148" customWidth="1"/>
    <col min="12041" max="12041" width="14.5703125" style="148" bestFit="1" customWidth="1"/>
    <col min="12042" max="12288" width="9.140625" style="148"/>
    <col min="12289" max="12289" width="5.5703125" style="148" bestFit="1" customWidth="1"/>
    <col min="12290" max="12290" width="32.140625" style="148" customWidth="1"/>
    <col min="12291" max="12291" width="8.28515625" style="148" customWidth="1"/>
    <col min="12292" max="12292" width="18.85546875" style="148" customWidth="1"/>
    <col min="12293" max="12293" width="19.42578125" style="148" customWidth="1"/>
    <col min="12294" max="12294" width="25.7109375" style="148" customWidth="1"/>
    <col min="12295" max="12295" width="9.140625" style="148"/>
    <col min="12296" max="12296" width="12.7109375" style="148" customWidth="1"/>
    <col min="12297" max="12297" width="14.5703125" style="148" bestFit="1" customWidth="1"/>
    <col min="12298" max="12544" width="9.140625" style="148"/>
    <col min="12545" max="12545" width="5.5703125" style="148" bestFit="1" customWidth="1"/>
    <col min="12546" max="12546" width="32.140625" style="148" customWidth="1"/>
    <col min="12547" max="12547" width="8.28515625" style="148" customWidth="1"/>
    <col min="12548" max="12548" width="18.85546875" style="148" customWidth="1"/>
    <col min="12549" max="12549" width="19.42578125" style="148" customWidth="1"/>
    <col min="12550" max="12550" width="25.7109375" style="148" customWidth="1"/>
    <col min="12551" max="12551" width="9.140625" style="148"/>
    <col min="12552" max="12552" width="12.7109375" style="148" customWidth="1"/>
    <col min="12553" max="12553" width="14.5703125" style="148" bestFit="1" customWidth="1"/>
    <col min="12554" max="12800" width="9.140625" style="148"/>
    <col min="12801" max="12801" width="5.5703125" style="148" bestFit="1" customWidth="1"/>
    <col min="12802" max="12802" width="32.140625" style="148" customWidth="1"/>
    <col min="12803" max="12803" width="8.28515625" style="148" customWidth="1"/>
    <col min="12804" max="12804" width="18.85546875" style="148" customWidth="1"/>
    <col min="12805" max="12805" width="19.42578125" style="148" customWidth="1"/>
    <col min="12806" max="12806" width="25.7109375" style="148" customWidth="1"/>
    <col min="12807" max="12807" width="9.140625" style="148"/>
    <col min="12808" max="12808" width="12.7109375" style="148" customWidth="1"/>
    <col min="12809" max="12809" width="14.5703125" style="148" bestFit="1" customWidth="1"/>
    <col min="12810" max="13056" width="9.140625" style="148"/>
    <col min="13057" max="13057" width="5.5703125" style="148" bestFit="1" customWidth="1"/>
    <col min="13058" max="13058" width="32.140625" style="148" customWidth="1"/>
    <col min="13059" max="13059" width="8.28515625" style="148" customWidth="1"/>
    <col min="13060" max="13060" width="18.85546875" style="148" customWidth="1"/>
    <col min="13061" max="13061" width="19.42578125" style="148" customWidth="1"/>
    <col min="13062" max="13062" width="25.7109375" style="148" customWidth="1"/>
    <col min="13063" max="13063" width="9.140625" style="148"/>
    <col min="13064" max="13064" width="12.7109375" style="148" customWidth="1"/>
    <col min="13065" max="13065" width="14.5703125" style="148" bestFit="1" customWidth="1"/>
    <col min="13066" max="13312" width="9.140625" style="148"/>
    <col min="13313" max="13313" width="5.5703125" style="148" bestFit="1" customWidth="1"/>
    <col min="13314" max="13314" width="32.140625" style="148" customWidth="1"/>
    <col min="13315" max="13315" width="8.28515625" style="148" customWidth="1"/>
    <col min="13316" max="13316" width="18.85546875" style="148" customWidth="1"/>
    <col min="13317" max="13317" width="19.42578125" style="148" customWidth="1"/>
    <col min="13318" max="13318" width="25.7109375" style="148" customWidth="1"/>
    <col min="13319" max="13319" width="9.140625" style="148"/>
    <col min="13320" max="13320" width="12.7109375" style="148" customWidth="1"/>
    <col min="13321" max="13321" width="14.5703125" style="148" bestFit="1" customWidth="1"/>
    <col min="13322" max="13568" width="9.140625" style="148"/>
    <col min="13569" max="13569" width="5.5703125" style="148" bestFit="1" customWidth="1"/>
    <col min="13570" max="13570" width="32.140625" style="148" customWidth="1"/>
    <col min="13571" max="13571" width="8.28515625" style="148" customWidth="1"/>
    <col min="13572" max="13572" width="18.85546875" style="148" customWidth="1"/>
    <col min="13573" max="13573" width="19.42578125" style="148" customWidth="1"/>
    <col min="13574" max="13574" width="25.7109375" style="148" customWidth="1"/>
    <col min="13575" max="13575" width="9.140625" style="148"/>
    <col min="13576" max="13576" width="12.7109375" style="148" customWidth="1"/>
    <col min="13577" max="13577" width="14.5703125" style="148" bestFit="1" customWidth="1"/>
    <col min="13578" max="13824" width="9.140625" style="148"/>
    <col min="13825" max="13825" width="5.5703125" style="148" bestFit="1" customWidth="1"/>
    <col min="13826" max="13826" width="32.140625" style="148" customWidth="1"/>
    <col min="13827" max="13827" width="8.28515625" style="148" customWidth="1"/>
    <col min="13828" max="13828" width="18.85546875" style="148" customWidth="1"/>
    <col min="13829" max="13829" width="19.42578125" style="148" customWidth="1"/>
    <col min="13830" max="13830" width="25.7109375" style="148" customWidth="1"/>
    <col min="13831" max="13831" width="9.140625" style="148"/>
    <col min="13832" max="13832" width="12.7109375" style="148" customWidth="1"/>
    <col min="13833" max="13833" width="14.5703125" style="148" bestFit="1" customWidth="1"/>
    <col min="13834" max="14080" width="9.140625" style="148"/>
    <col min="14081" max="14081" width="5.5703125" style="148" bestFit="1" customWidth="1"/>
    <col min="14082" max="14082" width="32.140625" style="148" customWidth="1"/>
    <col min="14083" max="14083" width="8.28515625" style="148" customWidth="1"/>
    <col min="14084" max="14084" width="18.85546875" style="148" customWidth="1"/>
    <col min="14085" max="14085" width="19.42578125" style="148" customWidth="1"/>
    <col min="14086" max="14086" width="25.7109375" style="148" customWidth="1"/>
    <col min="14087" max="14087" width="9.140625" style="148"/>
    <col min="14088" max="14088" width="12.7109375" style="148" customWidth="1"/>
    <col min="14089" max="14089" width="14.5703125" style="148" bestFit="1" customWidth="1"/>
    <col min="14090" max="14336" width="9.140625" style="148"/>
    <col min="14337" max="14337" width="5.5703125" style="148" bestFit="1" customWidth="1"/>
    <col min="14338" max="14338" width="32.140625" style="148" customWidth="1"/>
    <col min="14339" max="14339" width="8.28515625" style="148" customWidth="1"/>
    <col min="14340" max="14340" width="18.85546875" style="148" customWidth="1"/>
    <col min="14341" max="14341" width="19.42578125" style="148" customWidth="1"/>
    <col min="14342" max="14342" width="25.7109375" style="148" customWidth="1"/>
    <col min="14343" max="14343" width="9.140625" style="148"/>
    <col min="14344" max="14344" width="12.7109375" style="148" customWidth="1"/>
    <col min="14345" max="14345" width="14.5703125" style="148" bestFit="1" customWidth="1"/>
    <col min="14346" max="14592" width="9.140625" style="148"/>
    <col min="14593" max="14593" width="5.5703125" style="148" bestFit="1" customWidth="1"/>
    <col min="14594" max="14594" width="32.140625" style="148" customWidth="1"/>
    <col min="14595" max="14595" width="8.28515625" style="148" customWidth="1"/>
    <col min="14596" max="14596" width="18.85546875" style="148" customWidth="1"/>
    <col min="14597" max="14597" width="19.42578125" style="148" customWidth="1"/>
    <col min="14598" max="14598" width="25.7109375" style="148" customWidth="1"/>
    <col min="14599" max="14599" width="9.140625" style="148"/>
    <col min="14600" max="14600" width="12.7109375" style="148" customWidth="1"/>
    <col min="14601" max="14601" width="14.5703125" style="148" bestFit="1" customWidth="1"/>
    <col min="14602" max="14848" width="9.140625" style="148"/>
    <col min="14849" max="14849" width="5.5703125" style="148" bestFit="1" customWidth="1"/>
    <col min="14850" max="14850" width="32.140625" style="148" customWidth="1"/>
    <col min="14851" max="14851" width="8.28515625" style="148" customWidth="1"/>
    <col min="14852" max="14852" width="18.85546875" style="148" customWidth="1"/>
    <col min="14853" max="14853" width="19.42578125" style="148" customWidth="1"/>
    <col min="14854" max="14854" width="25.7109375" style="148" customWidth="1"/>
    <col min="14855" max="14855" width="9.140625" style="148"/>
    <col min="14856" max="14856" width="12.7109375" style="148" customWidth="1"/>
    <col min="14857" max="14857" width="14.5703125" style="148" bestFit="1" customWidth="1"/>
    <col min="14858" max="15104" width="9.140625" style="148"/>
    <col min="15105" max="15105" width="5.5703125" style="148" bestFit="1" customWidth="1"/>
    <col min="15106" max="15106" width="32.140625" style="148" customWidth="1"/>
    <col min="15107" max="15107" width="8.28515625" style="148" customWidth="1"/>
    <col min="15108" max="15108" width="18.85546875" style="148" customWidth="1"/>
    <col min="15109" max="15109" width="19.42578125" style="148" customWidth="1"/>
    <col min="15110" max="15110" width="25.7109375" style="148" customWidth="1"/>
    <col min="15111" max="15111" width="9.140625" style="148"/>
    <col min="15112" max="15112" width="12.7109375" style="148" customWidth="1"/>
    <col min="15113" max="15113" width="14.5703125" style="148" bestFit="1" customWidth="1"/>
    <col min="15114" max="15360" width="9.140625" style="148"/>
    <col min="15361" max="15361" width="5.5703125" style="148" bestFit="1" customWidth="1"/>
    <col min="15362" max="15362" width="32.140625" style="148" customWidth="1"/>
    <col min="15363" max="15363" width="8.28515625" style="148" customWidth="1"/>
    <col min="15364" max="15364" width="18.85546875" style="148" customWidth="1"/>
    <col min="15365" max="15365" width="19.42578125" style="148" customWidth="1"/>
    <col min="15366" max="15366" width="25.7109375" style="148" customWidth="1"/>
    <col min="15367" max="15367" width="9.140625" style="148"/>
    <col min="15368" max="15368" width="12.7109375" style="148" customWidth="1"/>
    <col min="15369" max="15369" width="14.5703125" style="148" bestFit="1" customWidth="1"/>
    <col min="15370" max="15616" width="9.140625" style="148"/>
    <col min="15617" max="15617" width="5.5703125" style="148" bestFit="1" customWidth="1"/>
    <col min="15618" max="15618" width="32.140625" style="148" customWidth="1"/>
    <col min="15619" max="15619" width="8.28515625" style="148" customWidth="1"/>
    <col min="15620" max="15620" width="18.85546875" style="148" customWidth="1"/>
    <col min="15621" max="15621" width="19.42578125" style="148" customWidth="1"/>
    <col min="15622" max="15622" width="25.7109375" style="148" customWidth="1"/>
    <col min="15623" max="15623" width="9.140625" style="148"/>
    <col min="15624" max="15624" width="12.7109375" style="148" customWidth="1"/>
    <col min="15625" max="15625" width="14.5703125" style="148" bestFit="1" customWidth="1"/>
    <col min="15626" max="15872" width="9.140625" style="148"/>
    <col min="15873" max="15873" width="5.5703125" style="148" bestFit="1" customWidth="1"/>
    <col min="15874" max="15874" width="32.140625" style="148" customWidth="1"/>
    <col min="15875" max="15875" width="8.28515625" style="148" customWidth="1"/>
    <col min="15876" max="15876" width="18.85546875" style="148" customWidth="1"/>
    <col min="15877" max="15877" width="19.42578125" style="148" customWidth="1"/>
    <col min="15878" max="15878" width="25.7109375" style="148" customWidth="1"/>
    <col min="15879" max="15879" width="9.140625" style="148"/>
    <col min="15880" max="15880" width="12.7109375" style="148" customWidth="1"/>
    <col min="15881" max="15881" width="14.5703125" style="148" bestFit="1" customWidth="1"/>
    <col min="15882" max="16128" width="9.140625" style="148"/>
    <col min="16129" max="16129" width="5.5703125" style="148" bestFit="1" customWidth="1"/>
    <col min="16130" max="16130" width="32.140625" style="148" customWidth="1"/>
    <col min="16131" max="16131" width="8.28515625" style="148" customWidth="1"/>
    <col min="16132" max="16132" width="18.85546875" style="148" customWidth="1"/>
    <col min="16133" max="16133" width="19.42578125" style="148" customWidth="1"/>
    <col min="16134" max="16134" width="25.7109375" style="148" customWidth="1"/>
    <col min="16135" max="16135" width="9.140625" style="148"/>
    <col min="16136" max="16136" width="12.7109375" style="148" customWidth="1"/>
    <col min="16137" max="16137" width="14.5703125" style="148" bestFit="1" customWidth="1"/>
    <col min="16138" max="16384" width="9.140625" style="148"/>
  </cols>
  <sheetData>
    <row r="1" spans="1:9" x14ac:dyDescent="0.25">
      <c r="B1" s="148" t="s">
        <v>211</v>
      </c>
    </row>
    <row r="2" spans="1:9" x14ac:dyDescent="0.25">
      <c r="E2" s="148" t="s">
        <v>112</v>
      </c>
    </row>
    <row r="3" spans="1:9" ht="23.25" x14ac:dyDescent="0.25">
      <c r="A3" s="1226" t="s">
        <v>212</v>
      </c>
      <c r="B3" s="1226"/>
      <c r="C3" s="1226"/>
      <c r="D3" s="1226"/>
      <c r="E3" s="1226"/>
      <c r="F3" s="1226"/>
    </row>
    <row r="4" spans="1:9" x14ac:dyDescent="0.25">
      <c r="A4" s="380"/>
      <c r="B4" s="380"/>
    </row>
    <row r="5" spans="1:9" ht="18.75" x14ac:dyDescent="0.25">
      <c r="A5" s="381" t="s">
        <v>211</v>
      </c>
      <c r="B5" s="380"/>
      <c r="E5" s="382" t="s">
        <v>213</v>
      </c>
      <c r="F5" s="383" t="str">
        <f>LPKK!Q4</f>
        <v>SC MARABAHAN</v>
      </c>
    </row>
    <row r="6" spans="1:9" ht="18.75" x14ac:dyDescent="0.25">
      <c r="A6" s="381"/>
      <c r="B6" s="380"/>
      <c r="E6" s="382" t="s">
        <v>214</v>
      </c>
      <c r="F6" s="383" t="str">
        <f>LPKK!Q5</f>
        <v>1-7 JULI 2026</v>
      </c>
    </row>
    <row r="7" spans="1:9" ht="13.5" thickBot="1" x14ac:dyDescent="0.3">
      <c r="A7" s="380"/>
    </row>
    <row r="8" spans="1:9" ht="3.95" customHeight="1" thickBot="1" x14ac:dyDescent="0.3">
      <c r="A8" s="138"/>
      <c r="B8" s="139"/>
      <c r="C8" s="139"/>
      <c r="D8" s="139"/>
      <c r="E8" s="139"/>
      <c r="F8" s="384"/>
    </row>
    <row r="9" spans="1:9" s="131" customFormat="1" ht="18" customHeight="1" thickBot="1" x14ac:dyDescent="0.3">
      <c r="A9" s="385" t="s">
        <v>89</v>
      </c>
      <c r="B9" s="386" t="s">
        <v>91</v>
      </c>
      <c r="C9" s="387" t="s">
        <v>32</v>
      </c>
      <c r="D9" s="387" t="s">
        <v>40</v>
      </c>
      <c r="E9" s="387" t="s">
        <v>215</v>
      </c>
      <c r="F9" s="388" t="s">
        <v>216</v>
      </c>
    </row>
    <row r="10" spans="1:9" ht="21.75" thickBot="1" x14ac:dyDescent="0.3">
      <c r="A10" s="389" t="s">
        <v>155</v>
      </c>
      <c r="B10" s="1401" t="s">
        <v>217</v>
      </c>
      <c r="C10" s="1402"/>
      <c r="D10" s="1402"/>
      <c r="E10" s="1402"/>
      <c r="F10" s="1403"/>
      <c r="H10" s="390"/>
    </row>
    <row r="11" spans="1:9" ht="15" x14ac:dyDescent="0.25">
      <c r="A11" s="391">
        <v>1</v>
      </c>
      <c r="B11" s="392" t="s">
        <v>138</v>
      </c>
      <c r="C11" s="393" t="s">
        <v>218</v>
      </c>
      <c r="D11" s="394">
        <v>34</v>
      </c>
      <c r="E11" s="395">
        <v>5240.625</v>
      </c>
      <c r="F11" s="396">
        <f>D11*E11</f>
        <v>178181.25</v>
      </c>
      <c r="H11" s="397"/>
      <c r="I11" s="398"/>
    </row>
    <row r="12" spans="1:9" ht="15" x14ac:dyDescent="0.25">
      <c r="A12" s="399">
        <v>2</v>
      </c>
      <c r="B12" s="400" t="s">
        <v>139</v>
      </c>
      <c r="C12" s="401" t="s">
        <v>218</v>
      </c>
      <c r="D12" s="402">
        <v>51</v>
      </c>
      <c r="E12" s="395">
        <v>6248.4375</v>
      </c>
      <c r="F12" s="396">
        <f t="shared" ref="F12:F24" si="0">D12*E12</f>
        <v>318670.3125</v>
      </c>
      <c r="H12" s="397"/>
      <c r="I12" s="398"/>
    </row>
    <row r="13" spans="1:9" ht="15" x14ac:dyDescent="0.25">
      <c r="A13" s="399">
        <v>3</v>
      </c>
      <c r="B13" s="400" t="s">
        <v>29</v>
      </c>
      <c r="C13" s="401" t="s">
        <v>218</v>
      </c>
      <c r="D13" s="402">
        <v>59</v>
      </c>
      <c r="E13" s="395">
        <v>6450</v>
      </c>
      <c r="F13" s="396">
        <f t="shared" si="0"/>
        <v>380550</v>
      </c>
      <c r="H13" s="397"/>
      <c r="I13" s="398"/>
    </row>
    <row r="14" spans="1:9" ht="15" x14ac:dyDescent="0.25">
      <c r="A14" s="399">
        <v>4</v>
      </c>
      <c r="B14" s="400" t="s">
        <v>30</v>
      </c>
      <c r="C14" s="401" t="s">
        <v>218</v>
      </c>
      <c r="D14" s="402">
        <v>128</v>
      </c>
      <c r="E14" s="395">
        <v>4635.9375</v>
      </c>
      <c r="F14" s="396">
        <f t="shared" si="0"/>
        <v>593400</v>
      </c>
      <c r="H14" s="397"/>
      <c r="I14" s="398"/>
    </row>
    <row r="15" spans="1:9" ht="15" x14ac:dyDescent="0.25">
      <c r="A15" s="399">
        <v>5</v>
      </c>
      <c r="B15" s="400" t="s">
        <v>31</v>
      </c>
      <c r="C15" s="401" t="s">
        <v>218</v>
      </c>
      <c r="D15" s="402">
        <v>136</v>
      </c>
      <c r="E15" s="395">
        <v>4240.0183823529414</v>
      </c>
      <c r="F15" s="396">
        <f t="shared" si="0"/>
        <v>576642.5</v>
      </c>
      <c r="H15" s="397"/>
      <c r="I15" s="398"/>
    </row>
    <row r="16" spans="1:9" ht="15" x14ac:dyDescent="0.25">
      <c r="A16" s="399">
        <v>6</v>
      </c>
      <c r="B16" s="400" t="s">
        <v>219</v>
      </c>
      <c r="C16" s="401" t="s">
        <v>218</v>
      </c>
      <c r="D16" s="402">
        <v>22</v>
      </c>
      <c r="E16" s="403">
        <f>'TO-TI'!S21</f>
        <v>2374.6076388888887</v>
      </c>
      <c r="F16" s="396">
        <f t="shared" si="0"/>
        <v>52241.368055555547</v>
      </c>
    </row>
    <row r="17" spans="1:9" ht="15" x14ac:dyDescent="0.25">
      <c r="A17" s="399">
        <v>7</v>
      </c>
      <c r="B17" s="404" t="s">
        <v>220</v>
      </c>
      <c r="C17" s="405" t="s">
        <v>218</v>
      </c>
      <c r="D17" s="406">
        <v>26</v>
      </c>
      <c r="E17" s="1193">
        <v>24070</v>
      </c>
      <c r="F17" s="396">
        <f t="shared" si="0"/>
        <v>625820</v>
      </c>
    </row>
    <row r="18" spans="1:9" ht="15" x14ac:dyDescent="0.25">
      <c r="A18" s="399">
        <v>8</v>
      </c>
      <c r="B18" s="408" t="s">
        <v>1053</v>
      </c>
      <c r="C18" s="405" t="s">
        <v>218</v>
      </c>
      <c r="D18" s="402"/>
      <c r="E18" s="1194">
        <v>3172.75</v>
      </c>
      <c r="F18" s="396">
        <f t="shared" si="0"/>
        <v>0</v>
      </c>
    </row>
    <row r="19" spans="1:9" ht="15" x14ac:dyDescent="0.25">
      <c r="A19" s="399">
        <v>9</v>
      </c>
      <c r="B19" s="400" t="s">
        <v>1054</v>
      </c>
      <c r="C19" s="405" t="s">
        <v>224</v>
      </c>
      <c r="D19" s="402">
        <v>7.5</v>
      </c>
      <c r="E19" s="1194">
        <v>35500</v>
      </c>
      <c r="F19" s="396">
        <f t="shared" si="0"/>
        <v>266250</v>
      </c>
    </row>
    <row r="20" spans="1:9" ht="15" x14ac:dyDescent="0.25">
      <c r="A20" s="399">
        <v>10</v>
      </c>
      <c r="B20" s="400" t="s">
        <v>1055</v>
      </c>
      <c r="C20" s="405" t="s">
        <v>218</v>
      </c>
      <c r="D20" s="402"/>
      <c r="E20" s="1194">
        <v>4647.9799999999996</v>
      </c>
      <c r="F20" s="396">
        <f t="shared" si="0"/>
        <v>0</v>
      </c>
    </row>
    <row r="21" spans="1:9" ht="15" x14ac:dyDescent="0.25">
      <c r="A21" s="399">
        <v>11</v>
      </c>
      <c r="B21" s="400" t="s">
        <v>1056</v>
      </c>
      <c r="C21" s="405" t="s">
        <v>218</v>
      </c>
      <c r="D21" s="402">
        <v>240</v>
      </c>
      <c r="E21" s="1194">
        <v>4142</v>
      </c>
      <c r="F21" s="396">
        <f t="shared" si="0"/>
        <v>994080</v>
      </c>
    </row>
    <row r="22" spans="1:9" ht="15" x14ac:dyDescent="0.25">
      <c r="A22" s="399">
        <v>12</v>
      </c>
      <c r="B22" s="400"/>
      <c r="C22" s="405"/>
      <c r="D22" s="402"/>
      <c r="E22" s="409"/>
      <c r="F22" s="396">
        <f t="shared" si="0"/>
        <v>0</v>
      </c>
    </row>
    <row r="23" spans="1:9" ht="15" x14ac:dyDescent="0.25">
      <c r="A23" s="399">
        <v>13</v>
      </c>
      <c r="B23" s="408"/>
      <c r="C23" s="405"/>
      <c r="D23" s="402"/>
      <c r="E23" s="409"/>
      <c r="F23" s="396">
        <f t="shared" si="0"/>
        <v>0</v>
      </c>
    </row>
    <row r="24" spans="1:9" ht="15.75" thickBot="1" x14ac:dyDescent="0.3">
      <c r="A24" s="399">
        <v>14</v>
      </c>
      <c r="B24" s="408"/>
      <c r="C24" s="405"/>
      <c r="D24" s="402"/>
      <c r="E24" s="409"/>
      <c r="F24" s="396">
        <f t="shared" si="0"/>
        <v>0</v>
      </c>
    </row>
    <row r="25" spans="1:9" ht="15.75" thickBot="1" x14ac:dyDescent="0.3">
      <c r="A25" s="410"/>
      <c r="B25" s="411"/>
      <c r="C25" s="412"/>
      <c r="D25" s="411"/>
      <c r="E25" s="413" t="s">
        <v>8</v>
      </c>
      <c r="F25" s="414">
        <f>SUM(F11:F24)</f>
        <v>3985835.4305555555</v>
      </c>
    </row>
    <row r="26" spans="1:9" ht="21.75" thickBot="1" x14ac:dyDescent="0.3">
      <c r="A26" s="415" t="s">
        <v>221</v>
      </c>
      <c r="B26" s="1401" t="s">
        <v>222</v>
      </c>
      <c r="C26" s="1402"/>
      <c r="D26" s="1402"/>
      <c r="E26" s="1402"/>
      <c r="F26" s="1403"/>
    </row>
    <row r="27" spans="1:9" ht="15" x14ac:dyDescent="0.25">
      <c r="A27" s="416">
        <v>1</v>
      </c>
      <c r="B27" s="417" t="s">
        <v>223</v>
      </c>
      <c r="C27" s="418" t="s">
        <v>224</v>
      </c>
      <c r="D27" s="419">
        <v>0.6</v>
      </c>
      <c r="E27" s="420">
        <v>35000</v>
      </c>
      <c r="F27" s="421">
        <f>D27*E27</f>
        <v>21000</v>
      </c>
      <c r="G27" s="404"/>
      <c r="H27" s="404"/>
      <c r="I27" s="404"/>
    </row>
    <row r="28" spans="1:9" ht="14.25" customHeight="1" x14ac:dyDescent="0.25">
      <c r="A28" s="422">
        <v>2</v>
      </c>
      <c r="B28" s="400" t="s">
        <v>225</v>
      </c>
      <c r="C28" s="393" t="s">
        <v>224</v>
      </c>
      <c r="D28" s="394">
        <v>222</v>
      </c>
      <c r="E28" s="423">
        <v>17500</v>
      </c>
      <c r="F28" s="396">
        <f>D28*E28</f>
        <v>3885000</v>
      </c>
      <c r="G28" s="404"/>
      <c r="H28" s="404"/>
      <c r="I28" s="404"/>
    </row>
    <row r="29" spans="1:9" ht="15" x14ac:dyDescent="0.25">
      <c r="A29" s="422">
        <v>3</v>
      </c>
      <c r="B29" s="400" t="s">
        <v>226</v>
      </c>
      <c r="C29" s="401" t="s">
        <v>224</v>
      </c>
      <c r="D29" s="402">
        <v>0.4</v>
      </c>
      <c r="E29" s="424">
        <v>30000</v>
      </c>
      <c r="F29" s="425">
        <f t="shared" ref="F29:F53" si="1">D29*E29</f>
        <v>12000</v>
      </c>
      <c r="G29" s="404"/>
      <c r="H29" s="404"/>
      <c r="I29" s="404"/>
    </row>
    <row r="30" spans="1:9" ht="15" x14ac:dyDescent="0.25">
      <c r="A30" s="422">
        <v>4</v>
      </c>
      <c r="B30" s="400" t="s">
        <v>227</v>
      </c>
      <c r="C30" s="401" t="s">
        <v>218</v>
      </c>
      <c r="D30" s="402">
        <v>3</v>
      </c>
      <c r="E30" s="424">
        <v>2833</v>
      </c>
      <c r="F30" s="425">
        <f t="shared" si="1"/>
        <v>8499</v>
      </c>
      <c r="G30" s="404"/>
      <c r="H30" s="404"/>
      <c r="I30" s="404"/>
    </row>
    <row r="31" spans="1:9" ht="15" x14ac:dyDescent="0.25">
      <c r="A31" s="422">
        <v>5</v>
      </c>
      <c r="B31" s="400" t="s">
        <v>228</v>
      </c>
      <c r="C31" s="401" t="s">
        <v>218</v>
      </c>
      <c r="D31" s="402">
        <v>10</v>
      </c>
      <c r="E31" s="424">
        <v>1300</v>
      </c>
      <c r="F31" s="425">
        <f t="shared" si="1"/>
        <v>13000</v>
      </c>
      <c r="G31" s="404"/>
      <c r="H31" s="404"/>
      <c r="I31" s="404"/>
    </row>
    <row r="32" spans="1:9" ht="15" x14ac:dyDescent="0.25">
      <c r="A32" s="422">
        <v>6</v>
      </c>
      <c r="B32" s="400" t="s">
        <v>229</v>
      </c>
      <c r="C32" s="401" t="s">
        <v>230</v>
      </c>
      <c r="D32" s="402">
        <v>44</v>
      </c>
      <c r="E32" s="424">
        <v>2479.6517857142858</v>
      </c>
      <c r="F32" s="425">
        <f t="shared" si="1"/>
        <v>109104.67857142858</v>
      </c>
      <c r="G32" s="404"/>
      <c r="H32" s="404"/>
      <c r="I32" s="404"/>
    </row>
    <row r="33" spans="1:9" ht="15" x14ac:dyDescent="0.25">
      <c r="A33" s="422">
        <v>7</v>
      </c>
      <c r="B33" s="400" t="s">
        <v>1088</v>
      </c>
      <c r="C33" s="401" t="s">
        <v>218</v>
      </c>
      <c r="D33" s="402">
        <v>9</v>
      </c>
      <c r="E33" s="424">
        <v>1150</v>
      </c>
      <c r="F33" s="425">
        <f t="shared" si="1"/>
        <v>10350</v>
      </c>
      <c r="G33" s="404"/>
      <c r="H33" s="404"/>
      <c r="I33" s="404"/>
    </row>
    <row r="34" spans="1:9" ht="15" x14ac:dyDescent="0.25">
      <c r="A34" s="422">
        <v>8</v>
      </c>
      <c r="B34" s="400" t="s">
        <v>232</v>
      </c>
      <c r="C34" s="401" t="s">
        <v>218</v>
      </c>
      <c r="D34" s="402">
        <v>48</v>
      </c>
      <c r="E34" s="424">
        <v>600</v>
      </c>
      <c r="F34" s="425">
        <f t="shared" si="1"/>
        <v>28800</v>
      </c>
      <c r="G34" s="404"/>
      <c r="H34" s="404"/>
      <c r="I34" s="404"/>
    </row>
    <row r="35" spans="1:9" ht="15" x14ac:dyDescent="0.25">
      <c r="A35" s="422">
        <v>9</v>
      </c>
      <c r="B35" s="426" t="s">
        <v>233</v>
      </c>
      <c r="C35" s="405" t="s">
        <v>218</v>
      </c>
      <c r="D35" s="402">
        <v>4</v>
      </c>
      <c r="E35" s="424">
        <v>640</v>
      </c>
      <c r="F35" s="425">
        <f t="shared" si="1"/>
        <v>2560</v>
      </c>
      <c r="G35" s="404"/>
      <c r="H35" s="404"/>
      <c r="I35" s="404"/>
    </row>
    <row r="36" spans="1:9" ht="15" x14ac:dyDescent="0.25">
      <c r="A36" s="422">
        <v>10</v>
      </c>
      <c r="B36" s="426"/>
      <c r="C36" s="405"/>
      <c r="D36" s="402"/>
      <c r="E36" s="424"/>
      <c r="F36" s="425">
        <f t="shared" si="1"/>
        <v>0</v>
      </c>
      <c r="G36" s="404"/>
      <c r="H36" s="404"/>
      <c r="I36" s="404"/>
    </row>
    <row r="37" spans="1:9" ht="15" x14ac:dyDescent="0.25">
      <c r="A37" s="422">
        <v>11</v>
      </c>
      <c r="B37" s="426"/>
      <c r="C37" s="405"/>
      <c r="D37" s="402"/>
      <c r="E37" s="424"/>
      <c r="F37" s="425">
        <f t="shared" si="1"/>
        <v>0</v>
      </c>
      <c r="G37" s="404"/>
      <c r="H37" s="404"/>
      <c r="I37" s="404"/>
    </row>
    <row r="38" spans="1:9" ht="15" x14ac:dyDescent="0.25">
      <c r="A38" s="422">
        <v>12</v>
      </c>
      <c r="B38" s="426"/>
      <c r="C38" s="405"/>
      <c r="D38" s="402"/>
      <c r="E38" s="424"/>
      <c r="F38" s="425">
        <f t="shared" si="1"/>
        <v>0</v>
      </c>
      <c r="G38" s="404"/>
      <c r="H38" s="404"/>
      <c r="I38" s="404"/>
    </row>
    <row r="39" spans="1:9" ht="15" x14ac:dyDescent="0.25">
      <c r="A39" s="422"/>
      <c r="B39" s="427" t="s">
        <v>150</v>
      </c>
      <c r="C39" s="405"/>
      <c r="D39" s="402"/>
      <c r="E39" s="424"/>
      <c r="F39" s="425"/>
      <c r="G39" s="404"/>
      <c r="H39" s="404"/>
      <c r="I39" s="404"/>
    </row>
    <row r="40" spans="1:9" ht="15" x14ac:dyDescent="0.25">
      <c r="A40" s="422">
        <v>13</v>
      </c>
      <c r="B40" s="400" t="s">
        <v>234</v>
      </c>
      <c r="C40" s="428" t="s">
        <v>218</v>
      </c>
      <c r="D40" s="394">
        <v>17</v>
      </c>
      <c r="E40" s="423">
        <v>1166</v>
      </c>
      <c r="F40" s="396">
        <f t="shared" si="1"/>
        <v>19822</v>
      </c>
      <c r="G40" s="404"/>
      <c r="H40" s="404"/>
      <c r="I40" s="404"/>
    </row>
    <row r="41" spans="1:9" ht="15" x14ac:dyDescent="0.25">
      <c r="A41" s="422">
        <v>14</v>
      </c>
      <c r="B41" s="426" t="s">
        <v>235</v>
      </c>
      <c r="C41" s="429" t="s">
        <v>236</v>
      </c>
      <c r="D41" s="402">
        <v>1</v>
      </c>
      <c r="E41" s="424">
        <v>17000</v>
      </c>
      <c r="F41" s="425">
        <f t="shared" si="1"/>
        <v>17000</v>
      </c>
      <c r="G41" s="404"/>
      <c r="H41" s="404"/>
      <c r="I41" s="404"/>
    </row>
    <row r="42" spans="1:9" ht="15" x14ac:dyDescent="0.25">
      <c r="A42" s="422">
        <v>15</v>
      </c>
      <c r="B42" s="426" t="s">
        <v>237</v>
      </c>
      <c r="C42" s="429" t="s">
        <v>224</v>
      </c>
      <c r="D42" s="402">
        <v>0.13</v>
      </c>
      <c r="E42" s="424">
        <v>31000</v>
      </c>
      <c r="F42" s="425">
        <f t="shared" si="1"/>
        <v>4030</v>
      </c>
      <c r="G42" s="404"/>
      <c r="H42" s="404"/>
      <c r="I42" s="404"/>
    </row>
    <row r="43" spans="1:9" ht="15" x14ac:dyDescent="0.25">
      <c r="A43" s="422">
        <v>16</v>
      </c>
      <c r="B43" s="426" t="s">
        <v>238</v>
      </c>
      <c r="C43" s="405" t="s">
        <v>239</v>
      </c>
      <c r="D43" s="402">
        <v>1</v>
      </c>
      <c r="E43" s="424">
        <v>5000</v>
      </c>
      <c r="F43" s="425">
        <f t="shared" si="1"/>
        <v>5000</v>
      </c>
      <c r="G43" s="404"/>
      <c r="H43" s="404"/>
      <c r="I43" s="404"/>
    </row>
    <row r="44" spans="1:9" ht="15" x14ac:dyDescent="0.25">
      <c r="A44" s="422">
        <v>17</v>
      </c>
      <c r="B44" s="426" t="s">
        <v>55</v>
      </c>
      <c r="C44" s="405" t="s">
        <v>224</v>
      </c>
      <c r="D44" s="402">
        <v>0.1</v>
      </c>
      <c r="E44" s="424">
        <v>40000</v>
      </c>
      <c r="F44" s="425">
        <f t="shared" si="1"/>
        <v>4000</v>
      </c>
      <c r="G44" s="404"/>
      <c r="H44" s="404"/>
      <c r="I44" s="404"/>
    </row>
    <row r="45" spans="1:9" ht="15" x14ac:dyDescent="0.25">
      <c r="A45" s="422">
        <v>18</v>
      </c>
      <c r="B45" s="426" t="s">
        <v>240</v>
      </c>
      <c r="C45" s="405" t="s">
        <v>241</v>
      </c>
      <c r="D45" s="402">
        <v>0.2</v>
      </c>
      <c r="E45" s="424">
        <v>37882.666666666664</v>
      </c>
      <c r="F45" s="425">
        <f t="shared" si="1"/>
        <v>7576.5333333333328</v>
      </c>
      <c r="G45" s="404"/>
      <c r="H45" s="404" t="s">
        <v>242</v>
      </c>
      <c r="I45" s="404"/>
    </row>
    <row r="46" spans="1:9" ht="15" x14ac:dyDescent="0.25">
      <c r="A46" s="422">
        <v>19</v>
      </c>
      <c r="B46" s="426" t="s">
        <v>243</v>
      </c>
      <c r="C46" s="405" t="s">
        <v>236</v>
      </c>
      <c r="D46" s="402">
        <v>1</v>
      </c>
      <c r="E46" s="424">
        <v>7000</v>
      </c>
      <c r="F46" s="425">
        <f t="shared" si="1"/>
        <v>7000</v>
      </c>
      <c r="G46" s="404"/>
      <c r="H46" s="404"/>
      <c r="I46" s="404"/>
    </row>
    <row r="47" spans="1:9" ht="15" x14ac:dyDescent="0.25">
      <c r="A47" s="422">
        <v>20</v>
      </c>
      <c r="B47" s="426" t="s">
        <v>244</v>
      </c>
      <c r="C47" s="429" t="s">
        <v>224</v>
      </c>
      <c r="D47" s="406">
        <v>0.1</v>
      </c>
      <c r="E47" s="430">
        <v>20000</v>
      </c>
      <c r="F47" s="425">
        <f t="shared" si="1"/>
        <v>2000</v>
      </c>
      <c r="G47" s="404"/>
      <c r="H47" s="404"/>
      <c r="I47" s="404"/>
    </row>
    <row r="48" spans="1:9" ht="15" x14ac:dyDescent="0.25">
      <c r="A48" s="422">
        <v>21</v>
      </c>
      <c r="B48" s="426" t="s">
        <v>50</v>
      </c>
      <c r="C48" s="405" t="s">
        <v>218</v>
      </c>
      <c r="D48" s="402">
        <v>3</v>
      </c>
      <c r="E48" s="424">
        <v>900</v>
      </c>
      <c r="F48" s="425">
        <f t="shared" si="1"/>
        <v>2700</v>
      </c>
      <c r="G48" s="404"/>
      <c r="H48" s="404"/>
      <c r="I48" s="404"/>
    </row>
    <row r="49" spans="1:9" ht="15" x14ac:dyDescent="0.25">
      <c r="A49" s="422">
        <v>22</v>
      </c>
      <c r="B49" s="426" t="s">
        <v>245</v>
      </c>
      <c r="C49" s="405" t="s">
        <v>224</v>
      </c>
      <c r="D49" s="402">
        <v>0.17</v>
      </c>
      <c r="E49" s="424">
        <v>10000</v>
      </c>
      <c r="F49" s="425">
        <f t="shared" si="1"/>
        <v>1700.0000000000002</v>
      </c>
      <c r="G49" s="404"/>
      <c r="H49" s="404"/>
      <c r="I49" s="404"/>
    </row>
    <row r="50" spans="1:9" ht="15" x14ac:dyDescent="0.25">
      <c r="A50" s="422">
        <v>23</v>
      </c>
      <c r="B50" s="426" t="s">
        <v>246</v>
      </c>
      <c r="C50" s="405" t="s">
        <v>236</v>
      </c>
      <c r="D50" s="402"/>
      <c r="E50" s="424">
        <v>17000</v>
      </c>
      <c r="F50" s="425">
        <f t="shared" si="1"/>
        <v>0</v>
      </c>
      <c r="G50" s="404"/>
      <c r="H50" s="404"/>
      <c r="I50" s="404"/>
    </row>
    <row r="51" spans="1:9" ht="15" x14ac:dyDescent="0.25">
      <c r="A51" s="422">
        <v>24</v>
      </c>
      <c r="B51" s="431" t="s">
        <v>247</v>
      </c>
      <c r="C51" s="429" t="s">
        <v>236</v>
      </c>
      <c r="D51" s="406"/>
      <c r="E51" s="430">
        <v>6000</v>
      </c>
      <c r="F51" s="425">
        <f t="shared" si="1"/>
        <v>0</v>
      </c>
      <c r="G51" s="404"/>
      <c r="H51" s="404"/>
      <c r="I51" s="404"/>
    </row>
    <row r="52" spans="1:9" ht="15" x14ac:dyDescent="0.25">
      <c r="A52" s="422">
        <v>25</v>
      </c>
      <c r="B52" s="431"/>
      <c r="C52" s="405"/>
      <c r="D52" s="402"/>
      <c r="E52" s="424"/>
      <c r="F52" s="432">
        <f t="shared" si="1"/>
        <v>0</v>
      </c>
      <c r="G52" s="404"/>
      <c r="H52" s="404"/>
      <c r="I52" s="404"/>
    </row>
    <row r="53" spans="1:9" ht="15.75" thickBot="1" x14ac:dyDescent="0.3">
      <c r="A53" s="422">
        <v>26</v>
      </c>
      <c r="B53" s="433"/>
      <c r="C53" s="434"/>
      <c r="D53" s="435"/>
      <c r="E53" s="434"/>
      <c r="F53" s="425">
        <f t="shared" si="1"/>
        <v>0</v>
      </c>
      <c r="G53" s="404"/>
      <c r="H53" s="404"/>
      <c r="I53" s="404"/>
    </row>
    <row r="54" spans="1:9" ht="15.75" thickBot="1" x14ac:dyDescent="0.3">
      <c r="A54" s="436"/>
      <c r="B54" s="437"/>
      <c r="C54" s="411"/>
      <c r="D54" s="412"/>
      <c r="E54" s="438" t="s">
        <v>8</v>
      </c>
      <c r="F54" s="439">
        <f>SUM(F27:F53)</f>
        <v>4161142.2119047618</v>
      </c>
      <c r="G54" s="1404" t="s">
        <v>248</v>
      </c>
      <c r="H54" s="1405"/>
      <c r="I54" s="440">
        <f>SUM(F40:F53)</f>
        <v>70828.533333333326</v>
      </c>
    </row>
    <row r="55" spans="1:9" ht="21.75" thickBot="1" x14ac:dyDescent="0.3">
      <c r="A55" s="441" t="s">
        <v>249</v>
      </c>
      <c r="B55" s="1401" t="s">
        <v>250</v>
      </c>
      <c r="C55" s="1402"/>
      <c r="D55" s="1402"/>
      <c r="E55" s="1402"/>
      <c r="F55" s="1403"/>
    </row>
    <row r="56" spans="1:9" ht="15.75" x14ac:dyDescent="0.25">
      <c r="A56" s="442"/>
      <c r="B56" s="443"/>
      <c r="C56" s="428"/>
      <c r="D56" s="444"/>
      <c r="E56" s="444"/>
      <c r="F56" s="396"/>
    </row>
    <row r="57" spans="1:9" ht="15.75" x14ac:dyDescent="0.25">
      <c r="A57" s="446">
        <v>1</v>
      </c>
      <c r="B57" s="400" t="s">
        <v>251</v>
      </c>
      <c r="C57" s="428" t="s">
        <v>231</v>
      </c>
      <c r="D57" s="444"/>
      <c r="E57" s="423">
        <v>17500</v>
      </c>
      <c r="F57" s="396">
        <f>D57*E57</f>
        <v>0</v>
      </c>
    </row>
    <row r="58" spans="1:9" ht="15.75" x14ac:dyDescent="0.25">
      <c r="A58" s="446">
        <v>2</v>
      </c>
      <c r="B58" s="1174"/>
      <c r="C58" s="405"/>
      <c r="D58" s="402"/>
      <c r="E58" s="424"/>
      <c r="F58" s="396">
        <f>D58*E58</f>
        <v>0</v>
      </c>
    </row>
    <row r="59" spans="1:9" ht="15.75" x14ac:dyDescent="0.25">
      <c r="A59" s="446">
        <v>3</v>
      </c>
      <c r="B59" s="400" t="s">
        <v>252</v>
      </c>
      <c r="C59" s="428" t="s">
        <v>231</v>
      </c>
      <c r="D59" s="394">
        <v>0.5</v>
      </c>
      <c r="E59" s="423">
        <v>27500</v>
      </c>
      <c r="F59" s="396">
        <f t="shared" ref="F59:F68" si="2">D59*E59</f>
        <v>13750</v>
      </c>
    </row>
    <row r="60" spans="1:9" ht="15.75" x14ac:dyDescent="0.25">
      <c r="A60" s="446">
        <v>4</v>
      </c>
      <c r="B60" s="400" t="s">
        <v>253</v>
      </c>
      <c r="C60" s="405" t="s">
        <v>231</v>
      </c>
      <c r="D60" s="402">
        <v>0.48</v>
      </c>
      <c r="E60" s="424">
        <v>15000</v>
      </c>
      <c r="F60" s="396">
        <f t="shared" si="2"/>
        <v>7200</v>
      </c>
    </row>
    <row r="61" spans="1:9" ht="15.75" x14ac:dyDescent="0.25">
      <c r="A61" s="446">
        <v>5</v>
      </c>
      <c r="B61" s="400" t="s">
        <v>254</v>
      </c>
      <c r="C61" s="405" t="s">
        <v>255</v>
      </c>
      <c r="D61" s="402">
        <v>4</v>
      </c>
      <c r="E61" s="424">
        <v>6000</v>
      </c>
      <c r="F61" s="396">
        <f t="shared" si="2"/>
        <v>24000</v>
      </c>
    </row>
    <row r="62" spans="1:9" ht="15.75" x14ac:dyDescent="0.25">
      <c r="A62" s="446">
        <v>6</v>
      </c>
      <c r="B62" s="400" t="s">
        <v>256</v>
      </c>
      <c r="C62" s="429" t="s">
        <v>257</v>
      </c>
      <c r="D62" s="406">
        <v>1</v>
      </c>
      <c r="E62" s="430">
        <v>14000</v>
      </c>
      <c r="F62" s="396">
        <f t="shared" si="2"/>
        <v>14000</v>
      </c>
    </row>
    <row r="63" spans="1:9" ht="15.75" x14ac:dyDescent="0.25">
      <c r="A63" s="446">
        <v>8</v>
      </c>
      <c r="B63" s="400" t="s">
        <v>258</v>
      </c>
      <c r="C63" s="405" t="s">
        <v>962</v>
      </c>
      <c r="D63" s="402">
        <v>36.1</v>
      </c>
      <c r="E63" s="424">
        <v>13543.859649122807</v>
      </c>
      <c r="F63" s="396">
        <f t="shared" si="2"/>
        <v>488933.33333333337</v>
      </c>
    </row>
    <row r="64" spans="1:9" ht="15.75" x14ac:dyDescent="0.25">
      <c r="A64" s="446">
        <v>9</v>
      </c>
      <c r="B64" s="400" t="s">
        <v>947</v>
      </c>
      <c r="C64" s="405"/>
      <c r="D64" s="402"/>
      <c r="E64" s="409">
        <v>1000</v>
      </c>
      <c r="F64" s="396">
        <f t="shared" si="2"/>
        <v>0</v>
      </c>
    </row>
    <row r="65" spans="1:9" ht="15.75" x14ac:dyDescent="0.25">
      <c r="A65" s="446">
        <v>10</v>
      </c>
      <c r="B65" s="400"/>
      <c r="C65" s="405"/>
      <c r="D65" s="402"/>
      <c r="E65" s="409"/>
      <c r="F65" s="396">
        <f t="shared" si="2"/>
        <v>0</v>
      </c>
    </row>
    <row r="66" spans="1:9" ht="15.75" x14ac:dyDescent="0.25">
      <c r="A66" s="446">
        <v>11</v>
      </c>
      <c r="B66" s="400"/>
      <c r="C66" s="405"/>
      <c r="D66" s="402"/>
      <c r="E66" s="409"/>
      <c r="F66" s="396">
        <f t="shared" si="2"/>
        <v>0</v>
      </c>
      <c r="H66" s="148" t="s">
        <v>112</v>
      </c>
    </row>
    <row r="67" spans="1:9" ht="15.75" x14ac:dyDescent="0.25">
      <c r="A67" s="446">
        <v>12</v>
      </c>
      <c r="B67" s="400"/>
      <c r="C67" s="405"/>
      <c r="D67" s="402"/>
      <c r="E67" s="409"/>
      <c r="F67" s="447">
        <f t="shared" si="2"/>
        <v>0</v>
      </c>
    </row>
    <row r="68" spans="1:9" ht="16.5" thickBot="1" x14ac:dyDescent="0.3">
      <c r="A68" s="446">
        <v>13</v>
      </c>
      <c r="B68" s="448"/>
      <c r="C68" s="449"/>
      <c r="D68" s="450"/>
      <c r="E68" s="451"/>
      <c r="F68" s="452">
        <f t="shared" si="2"/>
        <v>0</v>
      </c>
    </row>
    <row r="69" spans="1:9" ht="15.75" thickBot="1" x14ac:dyDescent="0.3">
      <c r="A69" s="453"/>
      <c r="B69" s="454"/>
      <c r="C69" s="455"/>
      <c r="D69" s="456"/>
      <c r="E69" s="413" t="s">
        <v>8</v>
      </c>
      <c r="F69" s="414">
        <f>SUM(F56:F68)</f>
        <v>547883.33333333337</v>
      </c>
      <c r="G69" s="1399" t="s">
        <v>260</v>
      </c>
      <c r="H69" s="1400"/>
      <c r="I69" s="457">
        <f>SUM(F60:F68)</f>
        <v>534133.33333333337</v>
      </c>
    </row>
    <row r="70" spans="1:9" ht="15.75" thickBot="1" x14ac:dyDescent="0.3">
      <c r="A70" s="436"/>
      <c r="B70" s="436"/>
      <c r="C70" s="412"/>
      <c r="D70" s="411"/>
      <c r="E70" s="413" t="s">
        <v>157</v>
      </c>
      <c r="F70" s="458">
        <f>F25+F54+F69</f>
        <v>8694860.9757936504</v>
      </c>
      <c r="G70" s="215"/>
      <c r="H70" s="215"/>
      <c r="I70" s="215" t="s">
        <v>112</v>
      </c>
    </row>
    <row r="71" spans="1:9" ht="15" x14ac:dyDescent="0.25">
      <c r="B71" s="147"/>
      <c r="E71" s="130"/>
      <c r="F71" s="149"/>
    </row>
    <row r="72" spans="1:9" ht="15.75" thickBot="1" x14ac:dyDescent="0.3">
      <c r="B72" s="147"/>
      <c r="E72" s="130"/>
      <c r="F72" s="149"/>
    </row>
    <row r="73" spans="1:9" ht="13.5" thickBot="1" x14ac:dyDescent="0.3">
      <c r="A73" s="138"/>
      <c r="B73" s="138"/>
      <c r="C73" s="139"/>
      <c r="D73" s="139"/>
      <c r="E73" s="139"/>
      <c r="F73" s="140"/>
    </row>
    <row r="74" spans="1:9" ht="19.5" thickBot="1" x14ac:dyDescent="0.3">
      <c r="A74" s="459" t="s">
        <v>89</v>
      </c>
      <c r="B74" s="385" t="s">
        <v>91</v>
      </c>
      <c r="C74" s="387" t="s">
        <v>32</v>
      </c>
      <c r="D74" s="387" t="s">
        <v>40</v>
      </c>
      <c r="E74" s="387" t="s">
        <v>215</v>
      </c>
      <c r="F74" s="460" t="s">
        <v>216</v>
      </c>
    </row>
    <row r="75" spans="1:9" ht="21.75" thickBot="1" x14ac:dyDescent="0.3">
      <c r="A75" s="389" t="s">
        <v>261</v>
      </c>
      <c r="B75" s="1401" t="s">
        <v>262</v>
      </c>
      <c r="C75" s="1402"/>
      <c r="D75" s="1402"/>
      <c r="E75" s="1402"/>
      <c r="F75" s="1403"/>
    </row>
    <row r="76" spans="1:9" ht="15" x14ac:dyDescent="0.25">
      <c r="A76" s="391">
        <v>1</v>
      </c>
      <c r="B76" s="461" t="s">
        <v>263</v>
      </c>
      <c r="C76" s="428" t="s">
        <v>218</v>
      </c>
      <c r="D76" s="394">
        <v>15</v>
      </c>
      <c r="E76" s="423">
        <v>2500</v>
      </c>
      <c r="F76" s="396">
        <f>D76*E76</f>
        <v>37500</v>
      </c>
    </row>
    <row r="77" spans="1:9" ht="15" x14ac:dyDescent="0.25">
      <c r="A77" s="399">
        <v>2</v>
      </c>
      <c r="B77" s="408" t="s">
        <v>264</v>
      </c>
      <c r="C77" s="405" t="s">
        <v>218</v>
      </c>
      <c r="D77" s="402">
        <v>55</v>
      </c>
      <c r="E77" s="424">
        <v>2500</v>
      </c>
      <c r="F77" s="396">
        <f t="shared" ref="F77:F106" si="3">D77*E77</f>
        <v>137500</v>
      </c>
    </row>
    <row r="78" spans="1:9" ht="15" x14ac:dyDescent="0.25">
      <c r="A78" s="462">
        <v>3</v>
      </c>
      <c r="B78" s="408"/>
      <c r="C78" s="405"/>
      <c r="D78" s="402"/>
      <c r="E78" s="424"/>
      <c r="F78" s="396">
        <f t="shared" si="3"/>
        <v>0</v>
      </c>
    </row>
    <row r="79" spans="1:9" ht="15" x14ac:dyDescent="0.25">
      <c r="A79" s="399">
        <v>4</v>
      </c>
      <c r="B79" s="408" t="s">
        <v>265</v>
      </c>
      <c r="C79" s="405" t="s">
        <v>218</v>
      </c>
      <c r="D79" s="402"/>
      <c r="E79" s="424"/>
      <c r="F79" s="396">
        <f t="shared" si="3"/>
        <v>0</v>
      </c>
    </row>
    <row r="80" spans="1:9" ht="15" x14ac:dyDescent="0.25">
      <c r="A80" s="462">
        <v>5</v>
      </c>
      <c r="B80" s="408"/>
      <c r="C80" s="405"/>
      <c r="D80" s="463"/>
      <c r="E80" s="424"/>
      <c r="F80" s="396">
        <f t="shared" si="3"/>
        <v>0</v>
      </c>
    </row>
    <row r="81" spans="1:6" ht="15" x14ac:dyDescent="0.25">
      <c r="A81" s="399">
        <v>6</v>
      </c>
      <c r="B81" s="408" t="s">
        <v>267</v>
      </c>
      <c r="C81" s="405" t="s">
        <v>218</v>
      </c>
      <c r="D81" s="464">
        <v>29</v>
      </c>
      <c r="E81" s="465">
        <v>1750</v>
      </c>
      <c r="F81" s="396">
        <f t="shared" si="3"/>
        <v>50750</v>
      </c>
    </row>
    <row r="82" spans="1:6" ht="15" x14ac:dyDescent="0.25">
      <c r="A82" s="462">
        <v>7</v>
      </c>
      <c r="B82" s="408" t="s">
        <v>268</v>
      </c>
      <c r="C82" s="405" t="s">
        <v>218</v>
      </c>
      <c r="D82" s="463"/>
      <c r="E82" s="424"/>
      <c r="F82" s="396">
        <f t="shared" si="3"/>
        <v>0</v>
      </c>
    </row>
    <row r="83" spans="1:6" ht="15" x14ac:dyDescent="0.25">
      <c r="A83" s="399">
        <v>8</v>
      </c>
      <c r="B83" s="408" t="s">
        <v>269</v>
      </c>
      <c r="C83" s="405" t="s">
        <v>236</v>
      </c>
      <c r="D83" s="463">
        <v>0.43</v>
      </c>
      <c r="E83" s="424">
        <v>133100</v>
      </c>
      <c r="F83" s="396">
        <f t="shared" si="3"/>
        <v>57233</v>
      </c>
    </row>
    <row r="84" spans="1:6" ht="15" x14ac:dyDescent="0.25">
      <c r="A84" s="462">
        <v>9</v>
      </c>
      <c r="B84" s="408" t="s">
        <v>270</v>
      </c>
      <c r="C84" s="405" t="s">
        <v>236</v>
      </c>
      <c r="D84" s="463">
        <v>1.64</v>
      </c>
      <c r="E84" s="424">
        <v>86625</v>
      </c>
      <c r="F84" s="396">
        <f t="shared" si="3"/>
        <v>142065</v>
      </c>
    </row>
    <row r="85" spans="1:6" ht="15" x14ac:dyDescent="0.25">
      <c r="A85" s="399">
        <v>10</v>
      </c>
      <c r="B85" s="408" t="s">
        <v>271</v>
      </c>
      <c r="C85" s="405" t="s">
        <v>236</v>
      </c>
      <c r="D85" s="463">
        <v>1.1499999999999999</v>
      </c>
      <c r="E85" s="424">
        <v>76025</v>
      </c>
      <c r="F85" s="396">
        <f t="shared" si="3"/>
        <v>87428.75</v>
      </c>
    </row>
    <row r="86" spans="1:6" ht="15" x14ac:dyDescent="0.25">
      <c r="A86" s="462">
        <v>11</v>
      </c>
      <c r="B86" s="408" t="s">
        <v>272</v>
      </c>
      <c r="C86" s="405" t="s">
        <v>218</v>
      </c>
      <c r="D86" s="463">
        <v>120</v>
      </c>
      <c r="E86" s="424">
        <v>3960</v>
      </c>
      <c r="F86" s="396">
        <f t="shared" si="3"/>
        <v>475200</v>
      </c>
    </row>
    <row r="87" spans="1:6" ht="15" x14ac:dyDescent="0.25">
      <c r="A87" s="399">
        <v>12</v>
      </c>
      <c r="B87" s="408"/>
      <c r="C87" s="405"/>
      <c r="D87" s="463"/>
      <c r="E87" s="424"/>
      <c r="F87" s="396">
        <f t="shared" si="3"/>
        <v>0</v>
      </c>
    </row>
    <row r="88" spans="1:6" ht="15.75" customHeight="1" x14ac:dyDescent="0.25">
      <c r="A88" s="462">
        <v>13</v>
      </c>
      <c r="B88" s="408" t="s">
        <v>858</v>
      </c>
      <c r="C88" s="405" t="s">
        <v>224</v>
      </c>
      <c r="D88" s="463">
        <v>7</v>
      </c>
      <c r="E88" s="424">
        <v>44000</v>
      </c>
      <c r="F88" s="396">
        <f t="shared" si="3"/>
        <v>308000</v>
      </c>
    </row>
    <row r="89" spans="1:6" ht="15" x14ac:dyDescent="0.25">
      <c r="A89" s="399">
        <v>14</v>
      </c>
      <c r="B89" s="408" t="s">
        <v>859</v>
      </c>
      <c r="C89" s="405" t="s">
        <v>218</v>
      </c>
      <c r="D89" s="463"/>
      <c r="E89" s="424"/>
      <c r="F89" s="396">
        <f t="shared" si="3"/>
        <v>0</v>
      </c>
    </row>
    <row r="90" spans="1:6" ht="15" x14ac:dyDescent="0.25">
      <c r="A90" s="462">
        <v>15</v>
      </c>
      <c r="B90" s="408"/>
      <c r="C90" s="405"/>
      <c r="D90" s="463"/>
      <c r="E90" s="424"/>
      <c r="F90" s="396">
        <f t="shared" si="3"/>
        <v>0</v>
      </c>
    </row>
    <row r="91" spans="1:6" ht="14.25" customHeight="1" x14ac:dyDescent="0.25">
      <c r="A91" s="399">
        <v>16</v>
      </c>
      <c r="B91" s="408"/>
      <c r="C91" s="405"/>
      <c r="D91" s="463"/>
      <c r="E91" s="424"/>
      <c r="F91" s="396">
        <f t="shared" si="3"/>
        <v>0</v>
      </c>
    </row>
    <row r="92" spans="1:6" ht="15" x14ac:dyDescent="0.25">
      <c r="A92" s="462">
        <v>17</v>
      </c>
      <c r="B92" s="408"/>
      <c r="C92" s="405"/>
      <c r="D92" s="463"/>
      <c r="E92" s="424"/>
      <c r="F92" s="396">
        <f t="shared" si="3"/>
        <v>0</v>
      </c>
    </row>
    <row r="93" spans="1:6" ht="15" x14ac:dyDescent="0.25">
      <c r="A93" s="399">
        <v>18</v>
      </c>
      <c r="B93" s="408"/>
      <c r="C93" s="405"/>
      <c r="D93" s="463"/>
      <c r="E93" s="424"/>
      <c r="F93" s="396">
        <f t="shared" si="3"/>
        <v>0</v>
      </c>
    </row>
    <row r="94" spans="1:6" ht="15" x14ac:dyDescent="0.25">
      <c r="A94" s="462">
        <v>19</v>
      </c>
      <c r="B94" s="408"/>
      <c r="C94" s="405"/>
      <c r="D94" s="463"/>
      <c r="E94" s="424"/>
      <c r="F94" s="396">
        <f t="shared" si="3"/>
        <v>0</v>
      </c>
    </row>
    <row r="95" spans="1:6" ht="15.75" customHeight="1" x14ac:dyDescent="0.25">
      <c r="A95" s="399">
        <v>20</v>
      </c>
      <c r="B95" s="408"/>
      <c r="C95" s="405"/>
      <c r="D95" s="463"/>
      <c r="E95" s="424"/>
      <c r="F95" s="396">
        <f t="shared" si="3"/>
        <v>0</v>
      </c>
    </row>
    <row r="96" spans="1:6" ht="15.75" customHeight="1" x14ac:dyDescent="0.25">
      <c r="A96" s="462">
        <v>21</v>
      </c>
      <c r="B96" s="408"/>
      <c r="C96" s="405"/>
      <c r="D96" s="463"/>
      <c r="E96" s="424"/>
      <c r="F96" s="396">
        <f t="shared" si="3"/>
        <v>0</v>
      </c>
    </row>
    <row r="97" spans="1:6" ht="15.75" customHeight="1" x14ac:dyDescent="0.25">
      <c r="A97" s="399">
        <v>22</v>
      </c>
      <c r="B97" s="408"/>
      <c r="C97" s="405"/>
      <c r="D97" s="463"/>
      <c r="E97" s="424"/>
      <c r="F97" s="396">
        <f t="shared" si="3"/>
        <v>0</v>
      </c>
    </row>
    <row r="98" spans="1:6" ht="15" x14ac:dyDescent="0.25">
      <c r="A98" s="462">
        <v>23</v>
      </c>
      <c r="B98" s="408"/>
      <c r="C98" s="405"/>
      <c r="D98" s="463"/>
      <c r="E98" s="424"/>
      <c r="F98" s="396">
        <f t="shared" si="3"/>
        <v>0</v>
      </c>
    </row>
    <row r="99" spans="1:6" ht="15" x14ac:dyDescent="0.25">
      <c r="A99" s="399">
        <v>24</v>
      </c>
      <c r="B99" s="408"/>
      <c r="C99" s="405"/>
      <c r="D99" s="463"/>
      <c r="E99" s="424"/>
      <c r="F99" s="396">
        <f t="shared" si="3"/>
        <v>0</v>
      </c>
    </row>
    <row r="100" spans="1:6" ht="15" x14ac:dyDescent="0.25">
      <c r="A100" s="462">
        <v>25</v>
      </c>
      <c r="B100" s="408"/>
      <c r="C100" s="405"/>
      <c r="D100" s="463"/>
      <c r="E100" s="424"/>
      <c r="F100" s="396">
        <f t="shared" si="3"/>
        <v>0</v>
      </c>
    </row>
    <row r="101" spans="1:6" ht="15" x14ac:dyDescent="0.25">
      <c r="A101" s="399">
        <v>26</v>
      </c>
      <c r="B101" s="408"/>
      <c r="C101" s="429"/>
      <c r="D101" s="466"/>
      <c r="E101" s="430"/>
      <c r="F101" s="396">
        <f t="shared" si="3"/>
        <v>0</v>
      </c>
    </row>
    <row r="102" spans="1:6" ht="15" x14ac:dyDescent="0.25">
      <c r="A102" s="462">
        <v>27</v>
      </c>
      <c r="B102" s="408"/>
      <c r="C102" s="405"/>
      <c r="D102" s="402"/>
      <c r="E102" s="424"/>
      <c r="F102" s="396">
        <f t="shared" si="3"/>
        <v>0</v>
      </c>
    </row>
    <row r="103" spans="1:6" ht="15" x14ac:dyDescent="0.25">
      <c r="A103" s="399">
        <v>28</v>
      </c>
      <c r="B103" s="408"/>
      <c r="C103" s="405"/>
      <c r="D103" s="402"/>
      <c r="E103" s="424"/>
      <c r="F103" s="396">
        <f t="shared" si="3"/>
        <v>0</v>
      </c>
    </row>
    <row r="104" spans="1:6" ht="15" x14ac:dyDescent="0.25">
      <c r="A104" s="462">
        <v>29</v>
      </c>
      <c r="B104" s="408"/>
      <c r="C104" s="405"/>
      <c r="D104" s="402"/>
      <c r="E104" s="424"/>
      <c r="F104" s="396">
        <f t="shared" si="3"/>
        <v>0</v>
      </c>
    </row>
    <row r="105" spans="1:6" ht="15" x14ac:dyDescent="0.25">
      <c r="A105" s="399">
        <v>30</v>
      </c>
      <c r="B105" s="408"/>
      <c r="C105" s="405"/>
      <c r="D105" s="402"/>
      <c r="E105" s="424"/>
      <c r="F105" s="396">
        <f t="shared" si="3"/>
        <v>0</v>
      </c>
    </row>
    <row r="106" spans="1:6" ht="15.75" thickBot="1" x14ac:dyDescent="0.3">
      <c r="A106" s="462">
        <v>31</v>
      </c>
      <c r="B106" s="467"/>
      <c r="C106" s="468"/>
      <c r="D106" s="464"/>
      <c r="E106" s="465"/>
      <c r="F106" s="396">
        <f t="shared" si="3"/>
        <v>0</v>
      </c>
    </row>
    <row r="107" spans="1:6" ht="15.75" thickBot="1" x14ac:dyDescent="0.3">
      <c r="A107" s="469"/>
      <c r="B107" s="470"/>
      <c r="C107" s="411"/>
      <c r="D107" s="470"/>
      <c r="E107" s="413" t="s">
        <v>8</v>
      </c>
      <c r="F107" s="458">
        <f>SUM(F76:F106)</f>
        <v>1295676.75</v>
      </c>
    </row>
    <row r="108" spans="1:6" ht="21.75" thickBot="1" x14ac:dyDescent="0.3">
      <c r="A108" s="471" t="s">
        <v>273</v>
      </c>
      <c r="B108" s="1402" t="s">
        <v>274</v>
      </c>
      <c r="C108" s="1402"/>
      <c r="D108" s="1402"/>
      <c r="E108" s="1402"/>
      <c r="F108" s="1403"/>
    </row>
    <row r="109" spans="1:6" ht="15" x14ac:dyDescent="0.25">
      <c r="A109" s="472">
        <v>1</v>
      </c>
      <c r="B109" s="461" t="s">
        <v>275</v>
      </c>
      <c r="C109" s="428" t="s">
        <v>218</v>
      </c>
      <c r="D109" s="473">
        <v>1.5</v>
      </c>
      <c r="E109" s="474">
        <v>10000</v>
      </c>
      <c r="F109" s="396">
        <f>D109*E109</f>
        <v>15000</v>
      </c>
    </row>
    <row r="110" spans="1:6" ht="15" x14ac:dyDescent="0.25">
      <c r="A110" s="472">
        <v>2</v>
      </c>
      <c r="B110" s="408" t="s">
        <v>276</v>
      </c>
      <c r="C110" s="428" t="s">
        <v>218</v>
      </c>
      <c r="D110" s="473">
        <v>1179</v>
      </c>
      <c r="E110" s="475">
        <v>363.6</v>
      </c>
      <c r="F110" s="396">
        <f t="shared" ref="F110:F142" si="4">D110*E110</f>
        <v>428684.4</v>
      </c>
    </row>
    <row r="111" spans="1:6" ht="15" x14ac:dyDescent="0.25">
      <c r="A111" s="472">
        <v>3</v>
      </c>
      <c r="B111" s="408" t="s">
        <v>277</v>
      </c>
      <c r="C111" s="428" t="s">
        <v>218</v>
      </c>
      <c r="D111" s="473">
        <v>773</v>
      </c>
      <c r="E111" s="475">
        <v>240</v>
      </c>
      <c r="F111" s="396">
        <f t="shared" si="4"/>
        <v>185520</v>
      </c>
    </row>
    <row r="112" spans="1:6" ht="15" x14ac:dyDescent="0.25">
      <c r="A112" s="472">
        <v>4</v>
      </c>
      <c r="B112" s="408" t="s">
        <v>278</v>
      </c>
      <c r="C112" s="428" t="s">
        <v>218</v>
      </c>
      <c r="D112" s="473">
        <v>330</v>
      </c>
      <c r="E112" s="444">
        <v>455.5</v>
      </c>
      <c r="F112" s="396">
        <f t="shared" si="4"/>
        <v>150315</v>
      </c>
    </row>
    <row r="113" spans="1:6" ht="15" x14ac:dyDescent="0.25">
      <c r="A113" s="472">
        <v>5</v>
      </c>
      <c r="B113" s="408" t="s">
        <v>279</v>
      </c>
      <c r="C113" s="405" t="s">
        <v>218</v>
      </c>
      <c r="D113" s="476">
        <v>320</v>
      </c>
      <c r="E113" s="424">
        <v>70</v>
      </c>
      <c r="F113" s="396">
        <f t="shared" si="4"/>
        <v>22400</v>
      </c>
    </row>
    <row r="114" spans="1:6" ht="15" x14ac:dyDescent="0.25">
      <c r="A114" s="472">
        <v>6</v>
      </c>
      <c r="B114" s="408" t="s">
        <v>280</v>
      </c>
      <c r="C114" s="405" t="s">
        <v>281</v>
      </c>
      <c r="D114" s="477">
        <v>348</v>
      </c>
      <c r="E114" s="478">
        <v>148</v>
      </c>
      <c r="F114" s="396">
        <f t="shared" si="4"/>
        <v>51504</v>
      </c>
    </row>
    <row r="115" spans="1:6" ht="15" x14ac:dyDescent="0.25">
      <c r="A115" s="472">
        <v>7</v>
      </c>
      <c r="B115" s="408" t="s">
        <v>282</v>
      </c>
      <c r="C115" s="429" t="s">
        <v>281</v>
      </c>
      <c r="D115" s="477">
        <v>3013</v>
      </c>
      <c r="E115" s="478">
        <v>1058</v>
      </c>
      <c r="F115" s="396">
        <f t="shared" si="4"/>
        <v>3187754</v>
      </c>
    </row>
    <row r="116" spans="1:6" ht="15" x14ac:dyDescent="0.25">
      <c r="A116" s="472">
        <v>8</v>
      </c>
      <c r="B116" s="408" t="s">
        <v>283</v>
      </c>
      <c r="C116" s="429" t="s">
        <v>281</v>
      </c>
      <c r="D116" s="477">
        <v>268</v>
      </c>
      <c r="E116" s="479">
        <v>2970</v>
      </c>
      <c r="F116" s="396">
        <f t="shared" si="4"/>
        <v>795960</v>
      </c>
    </row>
    <row r="117" spans="1:6" ht="15" x14ac:dyDescent="0.25">
      <c r="A117" s="472">
        <v>9</v>
      </c>
      <c r="B117" s="408" t="s">
        <v>284</v>
      </c>
      <c r="C117" s="429" t="s">
        <v>281</v>
      </c>
      <c r="D117" s="477">
        <v>489</v>
      </c>
      <c r="E117" s="479">
        <v>100</v>
      </c>
      <c r="F117" s="396">
        <f t="shared" si="4"/>
        <v>48900</v>
      </c>
    </row>
    <row r="118" spans="1:6" ht="15" x14ac:dyDescent="0.25">
      <c r="A118" s="472">
        <v>10</v>
      </c>
      <c r="B118" s="408" t="s">
        <v>285</v>
      </c>
      <c r="C118" s="429" t="s">
        <v>281</v>
      </c>
      <c r="D118" s="477">
        <v>125</v>
      </c>
      <c r="E118" s="479">
        <v>231</v>
      </c>
      <c r="F118" s="396">
        <f t="shared" si="4"/>
        <v>28875</v>
      </c>
    </row>
    <row r="119" spans="1:6" ht="15" x14ac:dyDescent="0.25">
      <c r="A119" s="472">
        <v>11</v>
      </c>
      <c r="B119" s="408"/>
      <c r="C119" s="405"/>
      <c r="D119" s="477"/>
      <c r="E119" s="479"/>
      <c r="F119" s="396">
        <f t="shared" si="4"/>
        <v>0</v>
      </c>
    </row>
    <row r="120" spans="1:6" ht="15" x14ac:dyDescent="0.25">
      <c r="A120" s="472">
        <v>12</v>
      </c>
      <c r="B120" s="408" t="s">
        <v>1057</v>
      </c>
      <c r="C120" s="405"/>
      <c r="D120" s="477">
        <v>90</v>
      </c>
      <c r="E120" s="479">
        <v>520</v>
      </c>
      <c r="F120" s="396">
        <f t="shared" si="4"/>
        <v>46800</v>
      </c>
    </row>
    <row r="121" spans="1:6" ht="15" x14ac:dyDescent="0.25">
      <c r="A121" s="472">
        <v>13</v>
      </c>
      <c r="B121" s="408" t="s">
        <v>286</v>
      </c>
      <c r="C121" s="405" t="s">
        <v>287</v>
      </c>
      <c r="D121" s="477">
        <v>1.2</v>
      </c>
      <c r="E121" s="479">
        <v>37000</v>
      </c>
      <c r="F121" s="396">
        <f t="shared" si="4"/>
        <v>44400</v>
      </c>
    </row>
    <row r="122" spans="1:6" ht="15" x14ac:dyDescent="0.25">
      <c r="A122" s="472">
        <v>14</v>
      </c>
      <c r="B122" s="408" t="s">
        <v>860</v>
      </c>
      <c r="C122" s="405" t="s">
        <v>218</v>
      </c>
      <c r="D122" s="476"/>
      <c r="E122" s="480">
        <v>220</v>
      </c>
      <c r="F122" s="396">
        <f t="shared" si="4"/>
        <v>0</v>
      </c>
    </row>
    <row r="123" spans="1:6" ht="15" x14ac:dyDescent="0.25">
      <c r="A123" s="472">
        <v>15</v>
      </c>
      <c r="B123" s="408" t="s">
        <v>288</v>
      </c>
      <c r="C123" s="405" t="s">
        <v>218</v>
      </c>
      <c r="D123" s="477">
        <v>13</v>
      </c>
      <c r="E123" s="479">
        <v>7000</v>
      </c>
      <c r="F123" s="396">
        <f t="shared" si="4"/>
        <v>91000</v>
      </c>
    </row>
    <row r="124" spans="1:6" ht="15" x14ac:dyDescent="0.25">
      <c r="A124" s="472">
        <v>16</v>
      </c>
      <c r="B124" s="408" t="s">
        <v>289</v>
      </c>
      <c r="C124" s="405" t="s">
        <v>218</v>
      </c>
      <c r="D124" s="476">
        <v>1178</v>
      </c>
      <c r="E124" s="479">
        <v>404</v>
      </c>
      <c r="F124" s="396">
        <f t="shared" si="4"/>
        <v>475912</v>
      </c>
    </row>
    <row r="125" spans="1:6" ht="15" x14ac:dyDescent="0.25">
      <c r="A125" s="472">
        <v>17</v>
      </c>
      <c r="B125" s="408" t="s">
        <v>290</v>
      </c>
      <c r="C125" s="405" t="s">
        <v>218</v>
      </c>
      <c r="D125" s="477">
        <v>2254</v>
      </c>
      <c r="E125" s="479">
        <v>546</v>
      </c>
      <c r="F125" s="396">
        <f t="shared" si="4"/>
        <v>1230684</v>
      </c>
    </row>
    <row r="126" spans="1:6" ht="15" x14ac:dyDescent="0.25">
      <c r="A126" s="472">
        <v>18</v>
      </c>
      <c r="B126" s="408" t="s">
        <v>291</v>
      </c>
      <c r="C126" s="405" t="s">
        <v>218</v>
      </c>
      <c r="D126" s="477">
        <v>7</v>
      </c>
      <c r="E126" s="479">
        <v>164</v>
      </c>
      <c r="F126" s="396">
        <f t="shared" si="4"/>
        <v>1148</v>
      </c>
    </row>
    <row r="127" spans="1:6" ht="15" x14ac:dyDescent="0.25">
      <c r="A127" s="472">
        <v>19</v>
      </c>
      <c r="B127" s="481" t="s">
        <v>292</v>
      </c>
      <c r="C127" s="405" t="s">
        <v>281</v>
      </c>
      <c r="D127" s="477">
        <v>38</v>
      </c>
      <c r="E127" s="479">
        <v>300</v>
      </c>
      <c r="F127" s="396">
        <f t="shared" si="4"/>
        <v>11400</v>
      </c>
    </row>
    <row r="128" spans="1:6" ht="14.25" customHeight="1" x14ac:dyDescent="0.25">
      <c r="A128" s="472">
        <v>20</v>
      </c>
      <c r="B128" s="481" t="s">
        <v>293</v>
      </c>
      <c r="C128" s="405" t="s">
        <v>281</v>
      </c>
      <c r="D128" s="477">
        <v>0.1</v>
      </c>
      <c r="E128" s="479">
        <v>6000</v>
      </c>
      <c r="F128" s="396">
        <f t="shared" si="4"/>
        <v>600</v>
      </c>
    </row>
    <row r="129" spans="1:6" ht="14.25" customHeight="1" x14ac:dyDescent="0.25">
      <c r="A129" s="472">
        <v>21</v>
      </c>
      <c r="B129" s="481" t="s">
        <v>294</v>
      </c>
      <c r="C129" s="429" t="s">
        <v>218</v>
      </c>
      <c r="D129" s="477"/>
      <c r="E129" s="479">
        <v>250</v>
      </c>
      <c r="F129" s="396">
        <f t="shared" si="4"/>
        <v>0</v>
      </c>
    </row>
    <row r="130" spans="1:6" ht="14.25" customHeight="1" x14ac:dyDescent="0.25">
      <c r="A130" s="472">
        <v>22</v>
      </c>
      <c r="B130" s="481" t="s">
        <v>295</v>
      </c>
      <c r="C130" s="429" t="s">
        <v>236</v>
      </c>
      <c r="D130" s="482">
        <v>0.8</v>
      </c>
      <c r="E130" s="483">
        <v>380</v>
      </c>
      <c r="F130" s="396">
        <f t="shared" si="4"/>
        <v>304</v>
      </c>
    </row>
    <row r="131" spans="1:6" ht="14.25" customHeight="1" x14ac:dyDescent="0.25">
      <c r="A131" s="472">
        <v>23</v>
      </c>
      <c r="B131" s="481" t="s">
        <v>861</v>
      </c>
      <c r="C131" s="429" t="s">
        <v>236</v>
      </c>
      <c r="D131" s="482"/>
      <c r="E131" s="483">
        <v>140</v>
      </c>
      <c r="F131" s="396">
        <f t="shared" si="4"/>
        <v>0</v>
      </c>
    </row>
    <row r="132" spans="1:6" ht="14.25" customHeight="1" x14ac:dyDescent="0.25">
      <c r="A132" s="472">
        <v>24</v>
      </c>
      <c r="B132" s="481" t="s">
        <v>862</v>
      </c>
      <c r="C132" s="429" t="s">
        <v>218</v>
      </c>
      <c r="D132" s="484">
        <v>0.5</v>
      </c>
      <c r="E132" s="407">
        <v>5000</v>
      </c>
      <c r="F132" s="396">
        <f t="shared" si="4"/>
        <v>2500</v>
      </c>
    </row>
    <row r="133" spans="1:6" ht="14.25" customHeight="1" x14ac:dyDescent="0.25">
      <c r="A133" s="472">
        <v>25</v>
      </c>
      <c r="B133" s="481" t="s">
        <v>863</v>
      </c>
      <c r="C133" s="429" t="s">
        <v>218</v>
      </c>
      <c r="D133" s="484"/>
      <c r="E133" s="407">
        <v>3500</v>
      </c>
      <c r="F133" s="396">
        <f t="shared" si="4"/>
        <v>0</v>
      </c>
    </row>
    <row r="134" spans="1:6" ht="14.25" customHeight="1" x14ac:dyDescent="0.25">
      <c r="A134" s="472">
        <v>26</v>
      </c>
      <c r="B134" s="481"/>
      <c r="C134" s="429"/>
      <c r="D134" s="484"/>
      <c r="E134" s="407"/>
      <c r="F134" s="396">
        <f t="shared" si="4"/>
        <v>0</v>
      </c>
    </row>
    <row r="135" spans="1:6" ht="14.25" customHeight="1" x14ac:dyDescent="0.25">
      <c r="A135" s="472">
        <v>27</v>
      </c>
      <c r="B135" s="481" t="s">
        <v>933</v>
      </c>
      <c r="C135" s="429" t="s">
        <v>218</v>
      </c>
      <c r="D135" s="484">
        <v>73</v>
      </c>
      <c r="E135" s="407">
        <v>120</v>
      </c>
      <c r="F135" s="396">
        <f t="shared" si="4"/>
        <v>8760</v>
      </c>
    </row>
    <row r="136" spans="1:6" ht="14.25" customHeight="1" x14ac:dyDescent="0.25">
      <c r="A136" s="472">
        <v>28</v>
      </c>
      <c r="B136" s="481" t="s">
        <v>1085</v>
      </c>
      <c r="C136" s="429" t="s">
        <v>218</v>
      </c>
      <c r="D136" s="484">
        <v>4</v>
      </c>
      <c r="E136" s="407">
        <v>7830</v>
      </c>
      <c r="F136" s="396">
        <f t="shared" si="4"/>
        <v>31320</v>
      </c>
    </row>
    <row r="137" spans="1:6" ht="14.25" customHeight="1" x14ac:dyDescent="0.25">
      <c r="A137" s="472">
        <v>29</v>
      </c>
      <c r="B137" s="481" t="s">
        <v>1087</v>
      </c>
      <c r="C137" s="429" t="s">
        <v>218</v>
      </c>
      <c r="D137" s="484"/>
      <c r="E137" s="407">
        <v>400</v>
      </c>
      <c r="F137" s="396">
        <f t="shared" si="4"/>
        <v>0</v>
      </c>
    </row>
    <row r="138" spans="1:6" ht="14.25" customHeight="1" x14ac:dyDescent="0.25">
      <c r="A138" s="472">
        <v>30</v>
      </c>
      <c r="B138" s="481" t="s">
        <v>1086</v>
      </c>
      <c r="C138" s="429" t="s">
        <v>236</v>
      </c>
      <c r="D138" s="484">
        <v>1</v>
      </c>
      <c r="E138" s="485">
        <v>8000</v>
      </c>
      <c r="F138" s="396">
        <f t="shared" si="4"/>
        <v>8000</v>
      </c>
    </row>
    <row r="139" spans="1:6" ht="14.25" customHeight="1" x14ac:dyDescent="0.25">
      <c r="A139" s="472">
        <v>31</v>
      </c>
      <c r="B139" s="481"/>
      <c r="C139" s="429"/>
      <c r="D139" s="484"/>
      <c r="E139" s="407"/>
      <c r="F139" s="396">
        <f t="shared" si="4"/>
        <v>0</v>
      </c>
    </row>
    <row r="140" spans="1:6" ht="14.25" customHeight="1" x14ac:dyDescent="0.25">
      <c r="A140" s="472">
        <v>32</v>
      </c>
      <c r="B140" s="481"/>
      <c r="C140" s="429"/>
      <c r="D140" s="484"/>
      <c r="E140" s="407"/>
      <c r="F140" s="396">
        <f t="shared" si="4"/>
        <v>0</v>
      </c>
    </row>
    <row r="141" spans="1:6" ht="14.25" customHeight="1" x14ac:dyDescent="0.25">
      <c r="A141" s="472">
        <v>33</v>
      </c>
      <c r="B141" s="481"/>
      <c r="C141" s="429"/>
      <c r="D141" s="484"/>
      <c r="E141" s="407"/>
      <c r="F141" s="396">
        <f t="shared" si="4"/>
        <v>0</v>
      </c>
    </row>
    <row r="142" spans="1:6" ht="15.75" thickBot="1" x14ac:dyDescent="0.3">
      <c r="A142" s="472">
        <v>34</v>
      </c>
      <c r="B142" s="481"/>
      <c r="C142" s="407"/>
      <c r="D142" s="484"/>
      <c r="E142" s="407"/>
      <c r="F142" s="396">
        <f t="shared" si="4"/>
        <v>0</v>
      </c>
    </row>
    <row r="143" spans="1:6" ht="15.75" thickBot="1" x14ac:dyDescent="0.3">
      <c r="A143" s="486"/>
      <c r="B143" s="487"/>
      <c r="C143" s="488"/>
      <c r="D143" s="488"/>
      <c r="E143" s="413" t="s">
        <v>8</v>
      </c>
      <c r="F143" s="414">
        <f>SUM(F109:F142)</f>
        <v>6867740.4000000004</v>
      </c>
    </row>
    <row r="144" spans="1:6" ht="21.75" thickBot="1" x14ac:dyDescent="0.3">
      <c r="A144" s="389" t="s">
        <v>296</v>
      </c>
      <c r="B144" s="1402" t="s">
        <v>297</v>
      </c>
      <c r="C144" s="1402"/>
      <c r="D144" s="1402"/>
      <c r="E144" s="1402"/>
      <c r="F144" s="1403"/>
    </row>
    <row r="145" spans="1:9" ht="20.100000000000001" customHeight="1" x14ac:dyDescent="0.25">
      <c r="A145" s="489"/>
      <c r="B145" s="490"/>
      <c r="C145" s="491"/>
      <c r="D145" s="491"/>
      <c r="E145" s="491"/>
      <c r="F145" s="492"/>
      <c r="G145" s="147"/>
    </row>
    <row r="146" spans="1:9" ht="15" x14ac:dyDescent="0.25">
      <c r="A146" s="462">
        <v>1</v>
      </c>
      <c r="B146" s="461" t="s">
        <v>298</v>
      </c>
      <c r="C146" s="428" t="s">
        <v>259</v>
      </c>
      <c r="D146" s="444">
        <v>30</v>
      </c>
      <c r="E146" s="423">
        <v>23524.79</v>
      </c>
      <c r="F146" s="396">
        <f>D146*E146</f>
        <v>705743.70000000007</v>
      </c>
      <c r="H146" s="397"/>
      <c r="I146" s="398"/>
    </row>
    <row r="147" spans="1:9" ht="15.75" thickBot="1" x14ac:dyDescent="0.3">
      <c r="A147" s="493">
        <v>2</v>
      </c>
      <c r="B147" s="481" t="s">
        <v>299</v>
      </c>
      <c r="C147" s="429" t="s">
        <v>259</v>
      </c>
      <c r="D147" s="407"/>
      <c r="E147" s="407">
        <v>22000</v>
      </c>
      <c r="F147" s="396">
        <f>D147*E147</f>
        <v>0</v>
      </c>
    </row>
    <row r="148" spans="1:9" ht="15.75" thickBot="1" x14ac:dyDescent="0.3">
      <c r="A148" s="453"/>
      <c r="B148" s="494"/>
      <c r="C148" s="411"/>
      <c r="D148" s="411"/>
      <c r="E148" s="413" t="s">
        <v>8</v>
      </c>
      <c r="F148" s="414">
        <f>SUM(F146:F147)</f>
        <v>705743.70000000007</v>
      </c>
    </row>
    <row r="149" spans="1:9" ht="21.75" thickBot="1" x14ac:dyDescent="0.3">
      <c r="A149" s="389" t="s">
        <v>300</v>
      </c>
      <c r="B149" s="1402" t="s">
        <v>301</v>
      </c>
      <c r="C149" s="1402"/>
      <c r="D149" s="1402"/>
      <c r="E149" s="1402"/>
      <c r="F149" s="1403"/>
      <c r="I149" s="398"/>
    </row>
    <row r="150" spans="1:9" ht="15.75" hidden="1" thickBot="1" x14ac:dyDescent="0.3">
      <c r="A150" s="462"/>
      <c r="B150" s="461" t="e">
        <f t="shared" ref="B150:B213" si="5">UPPER(#REF!)</f>
        <v>#REF!</v>
      </c>
      <c r="C150" s="428" t="s">
        <v>302</v>
      </c>
      <c r="D150" s="495"/>
      <c r="E150" s="495"/>
      <c r="F150" s="496">
        <f>D150*E150</f>
        <v>0</v>
      </c>
    </row>
    <row r="151" spans="1:9" ht="15.75" hidden="1" thickBot="1" x14ac:dyDescent="0.3">
      <c r="A151" s="399">
        <v>1</v>
      </c>
      <c r="B151" s="497" t="e">
        <f t="shared" si="5"/>
        <v>#REF!</v>
      </c>
      <c r="C151" s="405" t="s">
        <v>224</v>
      </c>
      <c r="D151" s="409"/>
      <c r="E151" s="409"/>
      <c r="F151" s="496">
        <f t="shared" ref="F151:F214" si="6">D151*E151</f>
        <v>0</v>
      </c>
    </row>
    <row r="152" spans="1:9" ht="15.75" hidden="1" thickBot="1" x14ac:dyDescent="0.3">
      <c r="A152" s="399">
        <v>2</v>
      </c>
      <c r="B152" s="497" t="e">
        <f t="shared" si="5"/>
        <v>#REF!</v>
      </c>
      <c r="C152" s="405" t="s">
        <v>302</v>
      </c>
      <c r="D152" s="409"/>
      <c r="E152" s="409"/>
      <c r="F152" s="496">
        <f t="shared" si="6"/>
        <v>0</v>
      </c>
    </row>
    <row r="153" spans="1:9" ht="15.75" hidden="1" thickBot="1" x14ac:dyDescent="0.3">
      <c r="A153" s="399">
        <v>3</v>
      </c>
      <c r="B153" s="497" t="e">
        <f t="shared" si="5"/>
        <v>#REF!</v>
      </c>
      <c r="C153" s="405" t="s">
        <v>302</v>
      </c>
      <c r="D153" s="409"/>
      <c r="E153" s="409"/>
      <c r="F153" s="496">
        <f t="shared" si="6"/>
        <v>0</v>
      </c>
    </row>
    <row r="154" spans="1:9" ht="15.75" hidden="1" thickBot="1" x14ac:dyDescent="0.3">
      <c r="A154" s="399">
        <v>4</v>
      </c>
      <c r="B154" s="497" t="e">
        <f t="shared" si="5"/>
        <v>#REF!</v>
      </c>
      <c r="C154" s="405" t="s">
        <v>302</v>
      </c>
      <c r="D154" s="409"/>
      <c r="E154" s="409"/>
      <c r="F154" s="496">
        <f t="shared" si="6"/>
        <v>0</v>
      </c>
    </row>
    <row r="155" spans="1:9" ht="15.75" hidden="1" thickBot="1" x14ac:dyDescent="0.3">
      <c r="A155" s="399">
        <v>5</v>
      </c>
      <c r="B155" s="497" t="e">
        <f t="shared" si="5"/>
        <v>#REF!</v>
      </c>
      <c r="C155" s="405" t="s">
        <v>224</v>
      </c>
      <c r="D155" s="409"/>
      <c r="E155" s="409"/>
      <c r="F155" s="496">
        <f t="shared" si="6"/>
        <v>0</v>
      </c>
    </row>
    <row r="156" spans="1:9" ht="15.75" hidden="1" thickBot="1" x14ac:dyDescent="0.3">
      <c r="A156" s="399">
        <v>6</v>
      </c>
      <c r="B156" s="497" t="e">
        <f t="shared" si="5"/>
        <v>#REF!</v>
      </c>
      <c r="C156" s="405" t="s">
        <v>224</v>
      </c>
      <c r="D156" s="409"/>
      <c r="E156" s="409"/>
      <c r="F156" s="496">
        <f t="shared" si="6"/>
        <v>0</v>
      </c>
    </row>
    <row r="157" spans="1:9" ht="15.75" hidden="1" thickBot="1" x14ac:dyDescent="0.3">
      <c r="A157" s="498">
        <v>7</v>
      </c>
      <c r="B157" s="499" t="e">
        <f t="shared" si="5"/>
        <v>#REF!</v>
      </c>
      <c r="C157" s="468" t="s">
        <v>224</v>
      </c>
      <c r="D157" s="434"/>
      <c r="E157" s="434"/>
      <c r="F157" s="496">
        <f t="shared" si="6"/>
        <v>0</v>
      </c>
    </row>
    <row r="158" spans="1:9" ht="15.75" hidden="1" thickBot="1" x14ac:dyDescent="0.3">
      <c r="A158" s="399"/>
      <c r="B158" s="408" t="e">
        <f t="shared" si="5"/>
        <v>#REF!</v>
      </c>
      <c r="C158" s="405" t="s">
        <v>224</v>
      </c>
      <c r="D158" s="409"/>
      <c r="E158" s="78"/>
      <c r="F158" s="496">
        <f t="shared" si="6"/>
        <v>0</v>
      </c>
    </row>
    <row r="159" spans="1:9" ht="15.75" hidden="1" thickBot="1" x14ac:dyDescent="0.3">
      <c r="A159" s="399"/>
      <c r="B159" s="408" t="e">
        <f t="shared" si="5"/>
        <v>#REF!</v>
      </c>
      <c r="C159" s="405" t="s">
        <v>303</v>
      </c>
      <c r="D159" s="409"/>
      <c r="E159" s="78"/>
      <c r="F159" s="496">
        <f t="shared" si="6"/>
        <v>0</v>
      </c>
    </row>
    <row r="160" spans="1:9" ht="15.75" hidden="1" thickBot="1" x14ac:dyDescent="0.3">
      <c r="A160" s="399"/>
      <c r="B160" s="408" t="e">
        <f t="shared" si="5"/>
        <v>#REF!</v>
      </c>
      <c r="C160" s="405" t="s">
        <v>224</v>
      </c>
      <c r="D160" s="409"/>
      <c r="E160" s="78"/>
      <c r="F160" s="496">
        <f t="shared" si="6"/>
        <v>0</v>
      </c>
    </row>
    <row r="161" spans="1:6" ht="15.75" hidden="1" thickBot="1" x14ac:dyDescent="0.3">
      <c r="A161" s="399"/>
      <c r="B161" s="408" t="e">
        <f t="shared" si="5"/>
        <v>#REF!</v>
      </c>
      <c r="C161" s="405" t="s">
        <v>303</v>
      </c>
      <c r="D161" s="409"/>
      <c r="E161" s="78"/>
      <c r="F161" s="496">
        <f t="shared" si="6"/>
        <v>0</v>
      </c>
    </row>
    <row r="162" spans="1:6" ht="15.75" hidden="1" thickBot="1" x14ac:dyDescent="0.3">
      <c r="A162" s="399"/>
      <c r="B162" s="408" t="e">
        <f t="shared" si="5"/>
        <v>#REF!</v>
      </c>
      <c r="C162" s="405" t="s">
        <v>303</v>
      </c>
      <c r="D162" s="409"/>
      <c r="E162" s="78"/>
      <c r="F162" s="496">
        <f t="shared" si="6"/>
        <v>0</v>
      </c>
    </row>
    <row r="163" spans="1:6" ht="15.75" hidden="1" thickBot="1" x14ac:dyDescent="0.3">
      <c r="A163" s="399"/>
      <c r="B163" s="408" t="e">
        <f t="shared" si="5"/>
        <v>#REF!</v>
      </c>
      <c r="C163" s="405" t="s">
        <v>224</v>
      </c>
      <c r="D163" s="409"/>
      <c r="E163" s="78"/>
      <c r="F163" s="496">
        <f t="shared" si="6"/>
        <v>0</v>
      </c>
    </row>
    <row r="164" spans="1:6" ht="15.75" hidden="1" thickBot="1" x14ac:dyDescent="0.3">
      <c r="A164" s="399"/>
      <c r="B164" s="408" t="e">
        <f t="shared" si="5"/>
        <v>#REF!</v>
      </c>
      <c r="C164" s="405" t="s">
        <v>224</v>
      </c>
      <c r="D164" s="409"/>
      <c r="E164" s="78"/>
      <c r="F164" s="496">
        <f t="shared" si="6"/>
        <v>0</v>
      </c>
    </row>
    <row r="165" spans="1:6" ht="15.75" hidden="1" thickBot="1" x14ac:dyDescent="0.3">
      <c r="A165" s="399"/>
      <c r="B165" s="408" t="e">
        <f t="shared" si="5"/>
        <v>#REF!</v>
      </c>
      <c r="C165" s="429" t="s">
        <v>224</v>
      </c>
      <c r="D165" s="407"/>
      <c r="E165" s="500"/>
      <c r="F165" s="496">
        <f t="shared" si="6"/>
        <v>0</v>
      </c>
    </row>
    <row r="166" spans="1:6" ht="15.75" hidden="1" thickBot="1" x14ac:dyDescent="0.3">
      <c r="A166" s="399"/>
      <c r="B166" s="408" t="e">
        <f t="shared" si="5"/>
        <v>#REF!</v>
      </c>
      <c r="C166" s="407"/>
      <c r="D166" s="407"/>
      <c r="E166" s="500"/>
      <c r="F166" s="496">
        <f t="shared" si="6"/>
        <v>0</v>
      </c>
    </row>
    <row r="167" spans="1:6" ht="15.75" hidden="1" thickBot="1" x14ac:dyDescent="0.3">
      <c r="A167" s="399"/>
      <c r="B167" s="408" t="e">
        <f t="shared" si="5"/>
        <v>#REF!</v>
      </c>
      <c r="C167" s="407"/>
      <c r="D167" s="407"/>
      <c r="E167" s="500"/>
      <c r="F167" s="501">
        <f t="shared" si="6"/>
        <v>0</v>
      </c>
    </row>
    <row r="168" spans="1:6" ht="15.75" hidden="1" thickBot="1" x14ac:dyDescent="0.3">
      <c r="A168" s="399"/>
      <c r="B168" s="408" t="e">
        <f t="shared" si="5"/>
        <v>#REF!</v>
      </c>
      <c r="C168" s="411"/>
      <c r="D168" s="411"/>
      <c r="E168" s="413" t="s">
        <v>8</v>
      </c>
      <c r="F168" s="502">
        <f>SUM(F150:F167)</f>
        <v>0</v>
      </c>
    </row>
    <row r="169" spans="1:6" ht="15.75" hidden="1" thickBot="1" x14ac:dyDescent="0.3">
      <c r="A169" s="399"/>
      <c r="B169" s="408" t="e">
        <f t="shared" si="5"/>
        <v>#REF!</v>
      </c>
      <c r="C169" s="444"/>
      <c r="D169" s="444"/>
      <c r="E169" s="445"/>
      <c r="F169" s="496">
        <f t="shared" si="6"/>
        <v>0</v>
      </c>
    </row>
    <row r="170" spans="1:6" ht="15.75" hidden="1" thickBot="1" x14ac:dyDescent="0.3">
      <c r="A170" s="399"/>
      <c r="B170" s="408" t="e">
        <f t="shared" si="5"/>
        <v>#REF!</v>
      </c>
      <c r="C170" s="444"/>
      <c r="D170" s="444"/>
      <c r="E170" s="445"/>
      <c r="F170" s="496">
        <f t="shared" si="6"/>
        <v>0</v>
      </c>
    </row>
    <row r="171" spans="1:6" ht="15.75" hidden="1" thickBot="1" x14ac:dyDescent="0.3">
      <c r="A171" s="399"/>
      <c r="B171" s="408" t="e">
        <f t="shared" si="5"/>
        <v>#REF!</v>
      </c>
      <c r="C171" s="405" t="s">
        <v>302</v>
      </c>
      <c r="D171" s="409"/>
      <c r="E171" s="78"/>
      <c r="F171" s="496">
        <f t="shared" si="6"/>
        <v>0</v>
      </c>
    </row>
    <row r="172" spans="1:6" ht="15.75" hidden="1" thickBot="1" x14ac:dyDescent="0.3">
      <c r="A172" s="399"/>
      <c r="B172" s="408" t="e">
        <f t="shared" si="5"/>
        <v>#REF!</v>
      </c>
      <c r="C172" s="405" t="s">
        <v>224</v>
      </c>
      <c r="D172" s="409"/>
      <c r="E172" s="78"/>
      <c r="F172" s="496">
        <f t="shared" si="6"/>
        <v>0</v>
      </c>
    </row>
    <row r="173" spans="1:6" ht="15.75" hidden="1" thickBot="1" x14ac:dyDescent="0.3">
      <c r="A173" s="399"/>
      <c r="B173" s="408" t="e">
        <f t="shared" si="5"/>
        <v>#REF!</v>
      </c>
      <c r="C173" s="405" t="s">
        <v>304</v>
      </c>
      <c r="D173" s="409"/>
      <c r="E173" s="78"/>
      <c r="F173" s="496">
        <f t="shared" si="6"/>
        <v>0</v>
      </c>
    </row>
    <row r="174" spans="1:6" ht="15.75" hidden="1" thickBot="1" x14ac:dyDescent="0.3">
      <c r="A174" s="399"/>
      <c r="B174" s="408" t="e">
        <f t="shared" si="5"/>
        <v>#REF!</v>
      </c>
      <c r="C174" s="405" t="s">
        <v>302</v>
      </c>
      <c r="D174" s="409"/>
      <c r="E174" s="78"/>
      <c r="F174" s="496">
        <f t="shared" si="6"/>
        <v>0</v>
      </c>
    </row>
    <row r="175" spans="1:6" ht="15.75" hidden="1" thickBot="1" x14ac:dyDescent="0.3">
      <c r="A175" s="399"/>
      <c r="B175" s="408" t="e">
        <f t="shared" si="5"/>
        <v>#REF!</v>
      </c>
      <c r="C175" s="405" t="s">
        <v>224</v>
      </c>
      <c r="D175" s="409"/>
      <c r="E175" s="78"/>
      <c r="F175" s="496">
        <f t="shared" si="6"/>
        <v>0</v>
      </c>
    </row>
    <row r="176" spans="1:6" ht="15.75" hidden="1" thickBot="1" x14ac:dyDescent="0.3">
      <c r="A176" s="399"/>
      <c r="B176" s="408" t="e">
        <f t="shared" si="5"/>
        <v>#REF!</v>
      </c>
      <c r="C176" s="405" t="s">
        <v>224</v>
      </c>
      <c r="D176" s="409"/>
      <c r="E176" s="78"/>
      <c r="F176" s="496">
        <f t="shared" si="6"/>
        <v>0</v>
      </c>
    </row>
    <row r="177" spans="1:6" ht="15.75" hidden="1" thickBot="1" x14ac:dyDescent="0.3">
      <c r="A177" s="399"/>
      <c r="B177" s="408" t="e">
        <f t="shared" si="5"/>
        <v>#REF!</v>
      </c>
      <c r="C177" s="405" t="s">
        <v>224</v>
      </c>
      <c r="D177" s="409"/>
      <c r="E177" s="78"/>
      <c r="F177" s="496">
        <f t="shared" si="6"/>
        <v>0</v>
      </c>
    </row>
    <row r="178" spans="1:6" ht="15.75" hidden="1" thickBot="1" x14ac:dyDescent="0.3">
      <c r="A178" s="399"/>
      <c r="B178" s="408" t="e">
        <f t="shared" si="5"/>
        <v>#REF!</v>
      </c>
      <c r="C178" s="429" t="s">
        <v>224</v>
      </c>
      <c r="D178" s="407"/>
      <c r="E178" s="500"/>
      <c r="F178" s="496">
        <f t="shared" si="6"/>
        <v>0</v>
      </c>
    </row>
    <row r="179" spans="1:6" ht="15.75" hidden="1" thickBot="1" x14ac:dyDescent="0.3">
      <c r="A179" s="399"/>
      <c r="B179" s="408" t="e">
        <f t="shared" si="5"/>
        <v>#REF!</v>
      </c>
      <c r="C179" s="409"/>
      <c r="D179" s="409"/>
      <c r="E179" s="78"/>
      <c r="F179" s="496">
        <f t="shared" si="6"/>
        <v>0</v>
      </c>
    </row>
    <row r="180" spans="1:6" ht="15.75" hidden="1" thickBot="1" x14ac:dyDescent="0.3">
      <c r="A180" s="399"/>
      <c r="B180" s="408" t="e">
        <f t="shared" si="5"/>
        <v>#REF!</v>
      </c>
      <c r="C180" s="434"/>
      <c r="D180" s="434"/>
      <c r="E180" s="503"/>
      <c r="F180" s="496">
        <f t="shared" si="6"/>
        <v>0</v>
      </c>
    </row>
    <row r="181" spans="1:6" ht="15.75" hidden="1" thickBot="1" x14ac:dyDescent="0.3">
      <c r="A181" s="399"/>
      <c r="B181" s="408" t="e">
        <f t="shared" si="5"/>
        <v>#REF!</v>
      </c>
      <c r="C181" s="411"/>
      <c r="D181" s="411"/>
      <c r="E181" s="413" t="s">
        <v>8</v>
      </c>
      <c r="F181" s="504">
        <f>SUM(F169:F180)</f>
        <v>0</v>
      </c>
    </row>
    <row r="182" spans="1:6" ht="15.75" hidden="1" thickBot="1" x14ac:dyDescent="0.3">
      <c r="A182" s="399"/>
      <c r="B182" s="408" t="e">
        <f t="shared" si="5"/>
        <v>#REF!</v>
      </c>
      <c r="C182" s="505"/>
      <c r="D182" s="505"/>
      <c r="E182" s="506"/>
      <c r="F182" s="496">
        <f t="shared" si="6"/>
        <v>0</v>
      </c>
    </row>
    <row r="183" spans="1:6" ht="15.75" hidden="1" thickBot="1" x14ac:dyDescent="0.3">
      <c r="A183" s="399"/>
      <c r="B183" s="408" t="e">
        <f t="shared" si="5"/>
        <v>#REF!</v>
      </c>
      <c r="C183" s="405" t="s">
        <v>302</v>
      </c>
      <c r="D183" s="409"/>
      <c r="E183" s="78"/>
      <c r="F183" s="496">
        <f t="shared" si="6"/>
        <v>0</v>
      </c>
    </row>
    <row r="184" spans="1:6" ht="15.75" hidden="1" thickBot="1" x14ac:dyDescent="0.3">
      <c r="A184" s="399"/>
      <c r="B184" s="408" t="e">
        <f t="shared" si="5"/>
        <v>#REF!</v>
      </c>
      <c r="C184" s="405" t="s">
        <v>302</v>
      </c>
      <c r="D184" s="409"/>
      <c r="E184" s="78"/>
      <c r="F184" s="496">
        <f t="shared" si="6"/>
        <v>0</v>
      </c>
    </row>
    <row r="185" spans="1:6" ht="15.75" hidden="1" thickBot="1" x14ac:dyDescent="0.3">
      <c r="A185" s="399"/>
      <c r="B185" s="408" t="e">
        <f t="shared" si="5"/>
        <v>#REF!</v>
      </c>
      <c r="C185" s="405" t="s">
        <v>302</v>
      </c>
      <c r="D185" s="409"/>
      <c r="E185" s="78"/>
      <c r="F185" s="496">
        <f t="shared" si="6"/>
        <v>0</v>
      </c>
    </row>
    <row r="186" spans="1:6" ht="15.75" hidden="1" thickBot="1" x14ac:dyDescent="0.3">
      <c r="A186" s="399"/>
      <c r="B186" s="408" t="e">
        <f t="shared" si="5"/>
        <v>#REF!</v>
      </c>
      <c r="C186" s="405" t="s">
        <v>302</v>
      </c>
      <c r="D186" s="409"/>
      <c r="E186" s="78"/>
      <c r="F186" s="496">
        <f t="shared" si="6"/>
        <v>0</v>
      </c>
    </row>
    <row r="187" spans="1:6" ht="15.75" hidden="1" thickBot="1" x14ac:dyDescent="0.3">
      <c r="A187" s="399"/>
      <c r="B187" s="408" t="e">
        <f t="shared" si="5"/>
        <v>#REF!</v>
      </c>
      <c r="C187" s="405" t="s">
        <v>224</v>
      </c>
      <c r="D187" s="409"/>
      <c r="E187" s="78"/>
      <c r="F187" s="496">
        <f t="shared" si="6"/>
        <v>0</v>
      </c>
    </row>
    <row r="188" spans="1:6" ht="15.75" hidden="1" thickBot="1" x14ac:dyDescent="0.3">
      <c r="A188" s="399"/>
      <c r="B188" s="408" t="e">
        <f t="shared" si="5"/>
        <v>#REF!</v>
      </c>
      <c r="C188" s="429" t="s">
        <v>305</v>
      </c>
      <c r="D188" s="407"/>
      <c r="E188" s="500"/>
      <c r="F188" s="496">
        <f t="shared" si="6"/>
        <v>0</v>
      </c>
    </row>
    <row r="189" spans="1:6" ht="15.75" hidden="1" thickBot="1" x14ac:dyDescent="0.3">
      <c r="A189" s="399"/>
      <c r="B189" s="408" t="e">
        <f t="shared" si="5"/>
        <v>#REF!</v>
      </c>
      <c r="C189" s="429" t="s">
        <v>305</v>
      </c>
      <c r="D189" s="407"/>
      <c r="E189" s="500"/>
      <c r="F189" s="496">
        <f t="shared" si="6"/>
        <v>0</v>
      </c>
    </row>
    <row r="190" spans="1:6" ht="15.75" hidden="1" thickBot="1" x14ac:dyDescent="0.3">
      <c r="A190" s="399"/>
      <c r="B190" s="408" t="e">
        <f t="shared" si="5"/>
        <v>#REF!</v>
      </c>
      <c r="C190" s="429" t="s">
        <v>218</v>
      </c>
      <c r="D190" s="407"/>
      <c r="E190" s="500"/>
      <c r="F190" s="496">
        <f t="shared" si="6"/>
        <v>0</v>
      </c>
    </row>
    <row r="191" spans="1:6" ht="15.75" hidden="1" thickBot="1" x14ac:dyDescent="0.3">
      <c r="A191" s="399"/>
      <c r="B191" s="408" t="e">
        <f t="shared" si="5"/>
        <v>#REF!</v>
      </c>
      <c r="C191" s="429" t="s">
        <v>218</v>
      </c>
      <c r="D191" s="407"/>
      <c r="E191" s="500"/>
      <c r="F191" s="496">
        <f t="shared" si="6"/>
        <v>0</v>
      </c>
    </row>
    <row r="192" spans="1:6" ht="15.75" hidden="1" thickBot="1" x14ac:dyDescent="0.3">
      <c r="A192" s="399"/>
      <c r="B192" s="408" t="e">
        <f t="shared" si="5"/>
        <v>#REF!</v>
      </c>
      <c r="C192" s="407"/>
      <c r="D192" s="407"/>
      <c r="E192" s="500"/>
      <c r="F192" s="496">
        <f t="shared" si="6"/>
        <v>0</v>
      </c>
    </row>
    <row r="193" spans="1:6" ht="15.75" hidden="1" thickBot="1" x14ac:dyDescent="0.3">
      <c r="A193" s="399"/>
      <c r="B193" s="408" t="e">
        <f t="shared" si="5"/>
        <v>#REF!</v>
      </c>
      <c r="C193" s="411"/>
      <c r="D193" s="411"/>
      <c r="E193" s="413" t="s">
        <v>8</v>
      </c>
      <c r="F193" s="504">
        <f>SUM(F182:F192)</f>
        <v>0</v>
      </c>
    </row>
    <row r="194" spans="1:6" ht="15.75" hidden="1" thickBot="1" x14ac:dyDescent="0.3">
      <c r="A194" s="399"/>
      <c r="B194" s="408" t="e">
        <f t="shared" si="5"/>
        <v>#REF!</v>
      </c>
      <c r="C194" s="444"/>
      <c r="D194" s="444"/>
      <c r="E194" s="444"/>
      <c r="F194" s="496">
        <f t="shared" si="6"/>
        <v>0</v>
      </c>
    </row>
    <row r="195" spans="1:6" ht="15.75" hidden="1" thickBot="1" x14ac:dyDescent="0.3">
      <c r="A195" s="399"/>
      <c r="B195" s="408" t="e">
        <f t="shared" si="5"/>
        <v>#REF!</v>
      </c>
      <c r="C195" s="405" t="s">
        <v>306</v>
      </c>
      <c r="D195" s="409"/>
      <c r="E195" s="409"/>
      <c r="F195" s="496">
        <f t="shared" si="6"/>
        <v>0</v>
      </c>
    </row>
    <row r="196" spans="1:6" ht="15.75" hidden="1" thickBot="1" x14ac:dyDescent="0.3">
      <c r="A196" s="399"/>
      <c r="B196" s="408" t="e">
        <f t="shared" si="5"/>
        <v>#REF!</v>
      </c>
      <c r="C196" s="405" t="s">
        <v>303</v>
      </c>
      <c r="D196" s="409"/>
      <c r="E196" s="409"/>
      <c r="F196" s="496">
        <f t="shared" si="6"/>
        <v>0</v>
      </c>
    </row>
    <row r="197" spans="1:6" ht="15.75" hidden="1" thickBot="1" x14ac:dyDescent="0.3">
      <c r="A197" s="399"/>
      <c r="B197" s="408" t="e">
        <f t="shared" si="5"/>
        <v>#REF!</v>
      </c>
      <c r="C197" s="405" t="s">
        <v>224</v>
      </c>
      <c r="D197" s="409"/>
      <c r="E197" s="409"/>
      <c r="F197" s="496">
        <f t="shared" si="6"/>
        <v>0</v>
      </c>
    </row>
    <row r="198" spans="1:6" ht="15.75" hidden="1" thickBot="1" x14ac:dyDescent="0.3">
      <c r="A198" s="399"/>
      <c r="B198" s="408" t="e">
        <f t="shared" si="5"/>
        <v>#REF!</v>
      </c>
      <c r="C198" s="468" t="s">
        <v>303</v>
      </c>
      <c r="D198" s="434"/>
      <c r="E198" s="434"/>
      <c r="F198" s="496">
        <f t="shared" si="6"/>
        <v>0</v>
      </c>
    </row>
    <row r="199" spans="1:6" ht="15.75" hidden="1" thickBot="1" x14ac:dyDescent="0.3">
      <c r="A199" s="399"/>
      <c r="B199" s="408" t="e">
        <f t="shared" si="5"/>
        <v>#REF!</v>
      </c>
      <c r="C199" s="405" t="s">
        <v>303</v>
      </c>
      <c r="D199" s="409"/>
      <c r="E199" s="409"/>
      <c r="F199" s="496">
        <f t="shared" si="6"/>
        <v>0</v>
      </c>
    </row>
    <row r="200" spans="1:6" ht="15.75" hidden="1" thickBot="1" x14ac:dyDescent="0.3">
      <c r="A200" s="399"/>
      <c r="B200" s="408" t="e">
        <f t="shared" si="5"/>
        <v>#REF!</v>
      </c>
      <c r="C200" s="405" t="s">
        <v>303</v>
      </c>
      <c r="D200" s="409"/>
      <c r="E200" s="409"/>
      <c r="F200" s="496">
        <f t="shared" si="6"/>
        <v>0</v>
      </c>
    </row>
    <row r="201" spans="1:6" ht="15.75" hidden="1" thickBot="1" x14ac:dyDescent="0.3">
      <c r="A201" s="399"/>
      <c r="B201" s="408" t="e">
        <f t="shared" si="5"/>
        <v>#REF!</v>
      </c>
      <c r="C201" s="468" t="s">
        <v>303</v>
      </c>
      <c r="D201" s="434"/>
      <c r="E201" s="434"/>
      <c r="F201" s="496">
        <f t="shared" si="6"/>
        <v>0</v>
      </c>
    </row>
    <row r="202" spans="1:6" ht="15.75" hidden="1" thickBot="1" x14ac:dyDescent="0.3">
      <c r="A202" s="399"/>
      <c r="B202" s="408" t="e">
        <f t="shared" si="5"/>
        <v>#REF!</v>
      </c>
      <c r="C202" s="405" t="s">
        <v>303</v>
      </c>
      <c r="D202" s="409"/>
      <c r="E202" s="409"/>
      <c r="F202" s="496">
        <f t="shared" si="6"/>
        <v>0</v>
      </c>
    </row>
    <row r="203" spans="1:6" ht="15.75" hidden="1" thickBot="1" x14ac:dyDescent="0.3">
      <c r="A203" s="399"/>
      <c r="B203" s="408" t="e">
        <f t="shared" si="5"/>
        <v>#REF!</v>
      </c>
      <c r="C203" s="468" t="s">
        <v>303</v>
      </c>
      <c r="D203" s="434"/>
      <c r="E203" s="434"/>
      <c r="F203" s="496">
        <f t="shared" si="6"/>
        <v>0</v>
      </c>
    </row>
    <row r="204" spans="1:6" ht="15.75" hidden="1" thickBot="1" x14ac:dyDescent="0.3">
      <c r="A204" s="399"/>
      <c r="B204" s="408" t="e">
        <f t="shared" si="5"/>
        <v>#REF!</v>
      </c>
      <c r="C204" s="429" t="s">
        <v>303</v>
      </c>
      <c r="D204" s="407"/>
      <c r="E204" s="407"/>
      <c r="F204" s="496">
        <f t="shared" si="6"/>
        <v>0</v>
      </c>
    </row>
    <row r="205" spans="1:6" ht="15.75" hidden="1" thickBot="1" x14ac:dyDescent="0.3">
      <c r="A205" s="399"/>
      <c r="B205" s="408" t="e">
        <f t="shared" si="5"/>
        <v>#REF!</v>
      </c>
      <c r="C205" s="411"/>
      <c r="D205" s="411"/>
      <c r="E205" s="413" t="s">
        <v>8</v>
      </c>
      <c r="F205" s="504">
        <f>SUM(F194:F204)</f>
        <v>0</v>
      </c>
    </row>
    <row r="206" spans="1:6" ht="15.75" hidden="1" thickBot="1" x14ac:dyDescent="0.3">
      <c r="A206" s="399"/>
      <c r="B206" s="408" t="e">
        <f t="shared" si="5"/>
        <v>#REF!</v>
      </c>
      <c r="C206" s="505"/>
      <c r="D206" s="505"/>
      <c r="E206" s="505"/>
      <c r="F206" s="496">
        <f t="shared" si="6"/>
        <v>0</v>
      </c>
    </row>
    <row r="207" spans="1:6" ht="15.75" hidden="1" thickBot="1" x14ac:dyDescent="0.3">
      <c r="A207" s="399"/>
      <c r="B207" s="408" t="e">
        <f t="shared" si="5"/>
        <v>#REF!</v>
      </c>
      <c r="C207" s="409" t="s">
        <v>307</v>
      </c>
      <c r="D207" s="409"/>
      <c r="E207" s="409"/>
      <c r="F207" s="496">
        <f t="shared" si="6"/>
        <v>0</v>
      </c>
    </row>
    <row r="208" spans="1:6" ht="15.75" hidden="1" thickBot="1" x14ac:dyDescent="0.3">
      <c r="A208" s="399"/>
      <c r="B208" s="408" t="e">
        <f t="shared" si="5"/>
        <v>#REF!</v>
      </c>
      <c r="C208" s="409" t="s">
        <v>307</v>
      </c>
      <c r="D208" s="409"/>
      <c r="E208" s="409"/>
      <c r="F208" s="496">
        <f t="shared" si="6"/>
        <v>0</v>
      </c>
    </row>
    <row r="209" spans="1:6" ht="15.75" hidden="1" thickBot="1" x14ac:dyDescent="0.3">
      <c r="A209" s="399"/>
      <c r="B209" s="408" t="e">
        <f t="shared" si="5"/>
        <v>#REF!</v>
      </c>
      <c r="C209" s="409" t="s">
        <v>307</v>
      </c>
      <c r="D209" s="409"/>
      <c r="E209" s="409"/>
      <c r="F209" s="496">
        <f t="shared" si="6"/>
        <v>0</v>
      </c>
    </row>
    <row r="210" spans="1:6" ht="15.75" hidden="1" thickBot="1" x14ac:dyDescent="0.3">
      <c r="A210" s="399"/>
      <c r="B210" s="408" t="e">
        <f t="shared" si="5"/>
        <v>#REF!</v>
      </c>
      <c r="C210" s="409" t="s">
        <v>307</v>
      </c>
      <c r="D210" s="409"/>
      <c r="E210" s="409"/>
      <c r="F210" s="496">
        <f t="shared" si="6"/>
        <v>0</v>
      </c>
    </row>
    <row r="211" spans="1:6" ht="15.75" hidden="1" thickBot="1" x14ac:dyDescent="0.3">
      <c r="A211" s="399"/>
      <c r="B211" s="408" t="e">
        <f t="shared" si="5"/>
        <v>#REF!</v>
      </c>
      <c r="C211" s="409" t="s">
        <v>307</v>
      </c>
      <c r="D211" s="409"/>
      <c r="E211" s="409"/>
      <c r="F211" s="496">
        <f t="shared" si="6"/>
        <v>0</v>
      </c>
    </row>
    <row r="212" spans="1:6" ht="15.75" hidden="1" thickBot="1" x14ac:dyDescent="0.3">
      <c r="A212" s="399"/>
      <c r="B212" s="408" t="e">
        <f t="shared" si="5"/>
        <v>#REF!</v>
      </c>
      <c r="C212" s="409" t="s">
        <v>307</v>
      </c>
      <c r="D212" s="409"/>
      <c r="E212" s="409"/>
      <c r="F212" s="496">
        <f t="shared" si="6"/>
        <v>0</v>
      </c>
    </row>
    <row r="213" spans="1:6" ht="15.75" hidden="1" thickBot="1" x14ac:dyDescent="0.3">
      <c r="A213" s="399"/>
      <c r="B213" s="408" t="e">
        <f t="shared" si="5"/>
        <v>#REF!</v>
      </c>
      <c r="C213" s="409" t="s">
        <v>307</v>
      </c>
      <c r="D213" s="409"/>
      <c r="E213" s="409"/>
      <c r="F213" s="496">
        <f t="shared" si="6"/>
        <v>0</v>
      </c>
    </row>
    <row r="214" spans="1:6" ht="15.75" hidden="1" thickBot="1" x14ac:dyDescent="0.3">
      <c r="A214" s="399"/>
      <c r="B214" s="408" t="e">
        <f t="shared" ref="B214:B264" si="7">UPPER(#REF!)</f>
        <v>#REF!</v>
      </c>
      <c r="C214" s="409" t="s">
        <v>307</v>
      </c>
      <c r="D214" s="409"/>
      <c r="E214" s="409"/>
      <c r="F214" s="496">
        <f t="shared" si="6"/>
        <v>0</v>
      </c>
    </row>
    <row r="215" spans="1:6" ht="15.75" hidden="1" thickBot="1" x14ac:dyDescent="0.3">
      <c r="A215" s="399"/>
      <c r="B215" s="408" t="e">
        <f t="shared" si="7"/>
        <v>#REF!</v>
      </c>
      <c r="C215" s="456" t="s">
        <v>307</v>
      </c>
      <c r="D215" s="456"/>
      <c r="E215" s="456"/>
      <c r="F215" s="496">
        <f t="shared" ref="F215:F278" si="8">D215*E215</f>
        <v>0</v>
      </c>
    </row>
    <row r="216" spans="1:6" ht="15.75" hidden="1" thickBot="1" x14ac:dyDescent="0.3">
      <c r="A216" s="399"/>
      <c r="B216" s="408" t="e">
        <f t="shared" si="7"/>
        <v>#REF!</v>
      </c>
      <c r="C216" s="411"/>
      <c r="D216" s="411"/>
      <c r="E216" s="413" t="s">
        <v>8</v>
      </c>
      <c r="F216" s="504">
        <f>SUM(F206:F215)</f>
        <v>0</v>
      </c>
    </row>
    <row r="217" spans="1:6" ht="15.75" hidden="1" thickBot="1" x14ac:dyDescent="0.3">
      <c r="A217" s="399"/>
      <c r="B217" s="408" t="e">
        <f t="shared" si="7"/>
        <v>#REF!</v>
      </c>
      <c r="C217" s="505"/>
      <c r="D217" s="505"/>
      <c r="E217" s="505"/>
      <c r="F217" s="496">
        <f t="shared" si="8"/>
        <v>0</v>
      </c>
    </row>
    <row r="218" spans="1:6" ht="15.75" hidden="1" thickBot="1" x14ac:dyDescent="0.3">
      <c r="A218" s="399"/>
      <c r="B218" s="408" t="e">
        <f t="shared" si="7"/>
        <v>#REF!</v>
      </c>
      <c r="C218" s="409" t="s">
        <v>302</v>
      </c>
      <c r="D218" s="409"/>
      <c r="E218" s="409"/>
      <c r="F218" s="496">
        <f t="shared" si="8"/>
        <v>0</v>
      </c>
    </row>
    <row r="219" spans="1:6" ht="15.75" hidden="1" thickBot="1" x14ac:dyDescent="0.3">
      <c r="A219" s="399"/>
      <c r="B219" s="408" t="e">
        <f t="shared" si="7"/>
        <v>#REF!</v>
      </c>
      <c r="C219" s="409" t="s">
        <v>302</v>
      </c>
      <c r="D219" s="409"/>
      <c r="E219" s="409"/>
      <c r="F219" s="496">
        <f t="shared" si="8"/>
        <v>0</v>
      </c>
    </row>
    <row r="220" spans="1:6" ht="15.75" hidden="1" thickBot="1" x14ac:dyDescent="0.3">
      <c r="A220" s="399"/>
      <c r="B220" s="408" t="e">
        <f t="shared" si="7"/>
        <v>#REF!</v>
      </c>
      <c r="C220" s="409" t="s">
        <v>302</v>
      </c>
      <c r="D220" s="409"/>
      <c r="E220" s="409"/>
      <c r="F220" s="496">
        <f t="shared" si="8"/>
        <v>0</v>
      </c>
    </row>
    <row r="221" spans="1:6" ht="15.75" hidden="1" thickBot="1" x14ac:dyDescent="0.3">
      <c r="A221" s="399"/>
      <c r="B221" s="408" t="e">
        <f t="shared" si="7"/>
        <v>#REF!</v>
      </c>
      <c r="C221" s="409" t="s">
        <v>302</v>
      </c>
      <c r="D221" s="409"/>
      <c r="E221" s="409"/>
      <c r="F221" s="496">
        <f t="shared" si="8"/>
        <v>0</v>
      </c>
    </row>
    <row r="222" spans="1:6" ht="15.75" hidden="1" thickBot="1" x14ac:dyDescent="0.3">
      <c r="A222" s="399"/>
      <c r="B222" s="408" t="e">
        <f t="shared" si="7"/>
        <v>#REF!</v>
      </c>
      <c r="C222" s="409" t="s">
        <v>224</v>
      </c>
      <c r="D222" s="409"/>
      <c r="E222" s="409"/>
      <c r="F222" s="496">
        <f t="shared" si="8"/>
        <v>0</v>
      </c>
    </row>
    <row r="223" spans="1:6" ht="15.75" hidden="1" thickBot="1" x14ac:dyDescent="0.3">
      <c r="A223" s="399"/>
      <c r="B223" s="408" t="e">
        <f t="shared" si="7"/>
        <v>#REF!</v>
      </c>
      <c r="C223" s="409" t="s">
        <v>305</v>
      </c>
      <c r="D223" s="409"/>
      <c r="E223" s="409"/>
      <c r="F223" s="496">
        <f t="shared" si="8"/>
        <v>0</v>
      </c>
    </row>
    <row r="224" spans="1:6" ht="15.75" hidden="1" thickBot="1" x14ac:dyDescent="0.3">
      <c r="A224" s="399"/>
      <c r="B224" s="408" t="e">
        <f t="shared" si="7"/>
        <v>#REF!</v>
      </c>
      <c r="C224" s="407" t="s">
        <v>305</v>
      </c>
      <c r="D224" s="407"/>
      <c r="E224" s="407"/>
      <c r="F224" s="496">
        <f t="shared" si="8"/>
        <v>0</v>
      </c>
    </row>
    <row r="225" spans="1:6" ht="15.75" hidden="1" thickBot="1" x14ac:dyDescent="0.3">
      <c r="A225" s="399"/>
      <c r="B225" s="408" t="e">
        <f t="shared" si="7"/>
        <v>#REF!</v>
      </c>
      <c r="C225" s="409" t="s">
        <v>218</v>
      </c>
      <c r="D225" s="409"/>
      <c r="E225" s="409"/>
      <c r="F225" s="496">
        <f t="shared" si="8"/>
        <v>0</v>
      </c>
    </row>
    <row r="226" spans="1:6" ht="15.75" hidden="1" thickBot="1" x14ac:dyDescent="0.3">
      <c r="A226" s="399"/>
      <c r="B226" s="408" t="e">
        <f t="shared" si="7"/>
        <v>#REF!</v>
      </c>
      <c r="C226" s="434" t="s">
        <v>218</v>
      </c>
      <c r="D226" s="434"/>
      <c r="E226" s="434"/>
      <c r="F226" s="496">
        <f t="shared" si="8"/>
        <v>0</v>
      </c>
    </row>
    <row r="227" spans="1:6" ht="15.75" hidden="1" thickBot="1" x14ac:dyDescent="0.3">
      <c r="A227" s="399"/>
      <c r="B227" s="408" t="e">
        <f t="shared" si="7"/>
        <v>#REF!</v>
      </c>
      <c r="C227" s="407"/>
      <c r="D227" s="407"/>
      <c r="E227" s="407"/>
      <c r="F227" s="496">
        <f t="shared" si="8"/>
        <v>0</v>
      </c>
    </row>
    <row r="228" spans="1:6" ht="15.75" hidden="1" thickBot="1" x14ac:dyDescent="0.3">
      <c r="A228" s="399"/>
      <c r="B228" s="408" t="e">
        <f t="shared" si="7"/>
        <v>#REF!</v>
      </c>
      <c r="C228" s="411"/>
      <c r="D228" s="411"/>
      <c r="E228" s="413" t="s">
        <v>8</v>
      </c>
      <c r="F228" s="496">
        <f>SUM(F217:F227)</f>
        <v>0</v>
      </c>
    </row>
    <row r="229" spans="1:6" ht="15.75" hidden="1" thickBot="1" x14ac:dyDescent="0.3">
      <c r="A229" s="399"/>
      <c r="B229" s="408" t="e">
        <f t="shared" si="7"/>
        <v>#REF!</v>
      </c>
      <c r="C229" s="411"/>
      <c r="D229" s="413"/>
      <c r="E229" s="413" t="s">
        <v>60</v>
      </c>
      <c r="F229" s="496"/>
    </row>
    <row r="230" spans="1:6" ht="15.75" hidden="1" thickBot="1" x14ac:dyDescent="0.3">
      <c r="A230" s="399"/>
      <c r="B230" s="408" t="e">
        <f t="shared" si="7"/>
        <v>#REF!</v>
      </c>
      <c r="C230" s="434"/>
      <c r="D230" s="434"/>
      <c r="E230" s="434"/>
      <c r="F230" s="496"/>
    </row>
    <row r="231" spans="1:6" ht="15.75" hidden="1" thickBot="1" x14ac:dyDescent="0.3">
      <c r="A231" s="399"/>
      <c r="B231" s="408" t="e">
        <f t="shared" si="7"/>
        <v>#REF!</v>
      </c>
      <c r="C231" s="411"/>
      <c r="D231" s="411"/>
      <c r="E231" s="413" t="s">
        <v>308</v>
      </c>
      <c r="F231" s="496"/>
    </row>
    <row r="232" spans="1:6" ht="15.75" hidden="1" thickBot="1" x14ac:dyDescent="0.3">
      <c r="A232" s="399"/>
      <c r="B232" s="408" t="e">
        <f t="shared" si="7"/>
        <v>#REF!</v>
      </c>
      <c r="C232" s="444"/>
      <c r="D232" s="444"/>
      <c r="E232" s="444"/>
      <c r="F232" s="496">
        <f t="shared" si="8"/>
        <v>0</v>
      </c>
    </row>
    <row r="233" spans="1:6" ht="15" hidden="1" customHeight="1" x14ac:dyDescent="0.25">
      <c r="A233" s="399"/>
      <c r="B233" s="408" t="e">
        <f t="shared" si="7"/>
        <v>#REF!</v>
      </c>
      <c r="C233" s="409" t="s">
        <v>281</v>
      </c>
      <c r="D233" s="409"/>
      <c r="E233" s="409"/>
      <c r="F233" s="496">
        <f t="shared" si="8"/>
        <v>0</v>
      </c>
    </row>
    <row r="234" spans="1:6" ht="15.75" hidden="1" thickBot="1" x14ac:dyDescent="0.3">
      <c r="A234" s="399"/>
      <c r="B234" s="408" t="e">
        <f t="shared" si="7"/>
        <v>#REF!</v>
      </c>
      <c r="C234" s="407" t="s">
        <v>309</v>
      </c>
      <c r="D234" s="407"/>
      <c r="E234" s="407"/>
      <c r="F234" s="496">
        <f t="shared" si="8"/>
        <v>0</v>
      </c>
    </row>
    <row r="235" spans="1:6" ht="15.75" hidden="1" thickBot="1" x14ac:dyDescent="0.3">
      <c r="A235" s="399"/>
      <c r="B235" s="408" t="e">
        <f t="shared" si="7"/>
        <v>#REF!</v>
      </c>
      <c r="C235" s="407" t="s">
        <v>310</v>
      </c>
      <c r="D235" s="407"/>
      <c r="E235" s="407"/>
      <c r="F235" s="496">
        <f t="shared" si="8"/>
        <v>0</v>
      </c>
    </row>
    <row r="236" spans="1:6" ht="15.75" hidden="1" thickBot="1" x14ac:dyDescent="0.3">
      <c r="A236" s="399"/>
      <c r="B236" s="408" t="e">
        <f t="shared" si="7"/>
        <v>#REF!</v>
      </c>
      <c r="C236" s="407"/>
      <c r="D236" s="407"/>
      <c r="E236" s="407"/>
      <c r="F236" s="496">
        <f t="shared" si="8"/>
        <v>0</v>
      </c>
    </row>
    <row r="237" spans="1:6" ht="15.75" hidden="1" thickBot="1" x14ac:dyDescent="0.3">
      <c r="A237" s="399"/>
      <c r="B237" s="408" t="e">
        <f t="shared" si="7"/>
        <v>#REF!</v>
      </c>
      <c r="C237" s="411"/>
      <c r="D237" s="411"/>
      <c r="E237" s="413" t="s">
        <v>8</v>
      </c>
      <c r="F237" s="496"/>
    </row>
    <row r="238" spans="1:6" ht="15.75" hidden="1" thickBot="1" x14ac:dyDescent="0.3">
      <c r="A238" s="399"/>
      <c r="B238" s="408" t="e">
        <f t="shared" si="7"/>
        <v>#REF!</v>
      </c>
      <c r="C238" s="409"/>
      <c r="D238" s="409"/>
      <c r="E238" s="409"/>
      <c r="F238" s="496">
        <f t="shared" si="8"/>
        <v>0</v>
      </c>
    </row>
    <row r="239" spans="1:6" ht="15.75" hidden="1" thickBot="1" x14ac:dyDescent="0.3">
      <c r="A239" s="399"/>
      <c r="B239" s="408" t="e">
        <f t="shared" si="7"/>
        <v>#REF!</v>
      </c>
      <c r="C239" s="409" t="s">
        <v>281</v>
      </c>
      <c r="D239" s="409"/>
      <c r="E239" s="409"/>
      <c r="F239" s="496">
        <f t="shared" si="8"/>
        <v>0</v>
      </c>
    </row>
    <row r="240" spans="1:6" ht="15.75" hidden="1" thickBot="1" x14ac:dyDescent="0.3">
      <c r="A240" s="399"/>
      <c r="B240" s="408" t="e">
        <f t="shared" si="7"/>
        <v>#REF!</v>
      </c>
      <c r="C240" s="409" t="s">
        <v>224</v>
      </c>
      <c r="D240" s="409"/>
      <c r="E240" s="409"/>
      <c r="F240" s="496">
        <f t="shared" si="8"/>
        <v>0</v>
      </c>
    </row>
    <row r="241" spans="1:6" ht="15.75" hidden="1" thickBot="1" x14ac:dyDescent="0.3">
      <c r="A241" s="399"/>
      <c r="B241" s="408" t="e">
        <f t="shared" si="7"/>
        <v>#REF!</v>
      </c>
      <c r="C241" s="409" t="s">
        <v>218</v>
      </c>
      <c r="D241" s="409"/>
      <c r="E241" s="409"/>
      <c r="F241" s="496">
        <f t="shared" si="8"/>
        <v>0</v>
      </c>
    </row>
    <row r="242" spans="1:6" ht="15.75" hidden="1" thickBot="1" x14ac:dyDescent="0.3">
      <c r="A242" s="399"/>
      <c r="B242" s="408" t="e">
        <f t="shared" si="7"/>
        <v>#REF!</v>
      </c>
      <c r="C242" s="409" t="s">
        <v>305</v>
      </c>
      <c r="D242" s="409"/>
      <c r="E242" s="409"/>
      <c r="F242" s="496">
        <f t="shared" si="8"/>
        <v>0</v>
      </c>
    </row>
    <row r="243" spans="1:6" ht="15.75" hidden="1" thickBot="1" x14ac:dyDescent="0.3">
      <c r="A243" s="399"/>
      <c r="B243" s="408" t="e">
        <f t="shared" si="7"/>
        <v>#REF!</v>
      </c>
      <c r="C243" s="409" t="s">
        <v>305</v>
      </c>
      <c r="D243" s="409"/>
      <c r="E243" s="409"/>
      <c r="F243" s="496">
        <f t="shared" si="8"/>
        <v>0</v>
      </c>
    </row>
    <row r="244" spans="1:6" ht="15.75" hidden="1" thickBot="1" x14ac:dyDescent="0.3">
      <c r="A244" s="399"/>
      <c r="B244" s="408" t="e">
        <f t="shared" si="7"/>
        <v>#REF!</v>
      </c>
      <c r="C244" s="409" t="s">
        <v>311</v>
      </c>
      <c r="D244" s="409"/>
      <c r="E244" s="409"/>
      <c r="F244" s="496">
        <f t="shared" si="8"/>
        <v>0</v>
      </c>
    </row>
    <row r="245" spans="1:6" ht="15.75" hidden="1" thickBot="1" x14ac:dyDescent="0.3">
      <c r="A245" s="399"/>
      <c r="B245" s="408" t="e">
        <f t="shared" si="7"/>
        <v>#REF!</v>
      </c>
      <c r="C245" s="411"/>
      <c r="D245" s="411"/>
      <c r="E245" s="413" t="s">
        <v>8</v>
      </c>
      <c r="F245" s="496"/>
    </row>
    <row r="246" spans="1:6" ht="15.75" hidden="1" thickBot="1" x14ac:dyDescent="0.3">
      <c r="A246" s="399"/>
      <c r="B246" s="408" t="e">
        <f t="shared" si="7"/>
        <v>#REF!</v>
      </c>
      <c r="C246" s="411"/>
      <c r="D246" s="470"/>
      <c r="E246" s="413" t="s">
        <v>312</v>
      </c>
      <c r="F246" s="496"/>
    </row>
    <row r="247" spans="1:6" ht="15.75" hidden="1" thickBot="1" x14ac:dyDescent="0.3">
      <c r="A247" s="399"/>
      <c r="B247" s="408" t="e">
        <f t="shared" si="7"/>
        <v>#REF!</v>
      </c>
      <c r="C247" s="404"/>
      <c r="D247" s="404"/>
      <c r="E247" s="404"/>
      <c r="F247" s="496">
        <f t="shared" si="8"/>
        <v>0</v>
      </c>
    </row>
    <row r="248" spans="1:6" ht="15.75" hidden="1" thickBot="1" x14ac:dyDescent="0.3">
      <c r="A248" s="399"/>
      <c r="B248" s="408" t="e">
        <f t="shared" si="7"/>
        <v>#REF!</v>
      </c>
      <c r="C248" s="429" t="s">
        <v>281</v>
      </c>
      <c r="D248" s="409"/>
      <c r="E248" s="409"/>
      <c r="F248" s="496">
        <f t="shared" si="8"/>
        <v>0</v>
      </c>
    </row>
    <row r="249" spans="1:6" ht="15.75" hidden="1" thickBot="1" x14ac:dyDescent="0.3">
      <c r="A249" s="399"/>
      <c r="B249" s="408" t="e">
        <f t="shared" si="7"/>
        <v>#REF!</v>
      </c>
      <c r="C249" s="405" t="s">
        <v>281</v>
      </c>
      <c r="D249" s="409"/>
      <c r="E249" s="409"/>
      <c r="F249" s="496">
        <f t="shared" si="8"/>
        <v>0</v>
      </c>
    </row>
    <row r="250" spans="1:6" ht="15.75" hidden="1" thickBot="1" x14ac:dyDescent="0.3">
      <c r="A250" s="399"/>
      <c r="B250" s="408" t="e">
        <f t="shared" si="7"/>
        <v>#REF!</v>
      </c>
      <c r="C250" s="405" t="s">
        <v>218</v>
      </c>
      <c r="D250" s="409"/>
      <c r="E250" s="409"/>
      <c r="F250" s="496">
        <f t="shared" si="8"/>
        <v>0</v>
      </c>
    </row>
    <row r="251" spans="1:6" ht="15.75" hidden="1" thickBot="1" x14ac:dyDescent="0.3">
      <c r="A251" s="399"/>
      <c r="B251" s="408" t="e">
        <f t="shared" si="7"/>
        <v>#REF!</v>
      </c>
      <c r="C251" s="405" t="s">
        <v>218</v>
      </c>
      <c r="D251" s="409"/>
      <c r="E251" s="409"/>
      <c r="F251" s="496">
        <f t="shared" si="8"/>
        <v>0</v>
      </c>
    </row>
    <row r="252" spans="1:6" ht="15.75" hidden="1" thickBot="1" x14ac:dyDescent="0.3">
      <c r="A252" s="399"/>
      <c r="B252" s="408" t="e">
        <f t="shared" si="7"/>
        <v>#REF!</v>
      </c>
      <c r="C252" s="405" t="s">
        <v>218</v>
      </c>
      <c r="D252" s="409"/>
      <c r="E252" s="409"/>
      <c r="F252" s="496">
        <f t="shared" si="8"/>
        <v>0</v>
      </c>
    </row>
    <row r="253" spans="1:6" ht="15.75" hidden="1" thickBot="1" x14ac:dyDescent="0.3">
      <c r="A253" s="399"/>
      <c r="B253" s="408" t="e">
        <f t="shared" si="7"/>
        <v>#REF!</v>
      </c>
      <c r="C253" s="405" t="s">
        <v>218</v>
      </c>
      <c r="D253" s="409"/>
      <c r="E253" s="409"/>
      <c r="F253" s="496">
        <f t="shared" si="8"/>
        <v>0</v>
      </c>
    </row>
    <row r="254" spans="1:6" ht="15.75" hidden="1" thickBot="1" x14ac:dyDescent="0.3">
      <c r="A254" s="399"/>
      <c r="B254" s="408" t="e">
        <f t="shared" si="7"/>
        <v>#REF!</v>
      </c>
      <c r="C254" s="429" t="s">
        <v>281</v>
      </c>
      <c r="D254" s="407"/>
      <c r="E254" s="407"/>
      <c r="F254" s="496">
        <f t="shared" si="8"/>
        <v>0</v>
      </c>
    </row>
    <row r="255" spans="1:6" ht="15.75" hidden="1" thickBot="1" x14ac:dyDescent="0.3">
      <c r="A255" s="399"/>
      <c r="B255" s="408" t="e">
        <f t="shared" si="7"/>
        <v>#REF!</v>
      </c>
      <c r="C255" s="429" t="s">
        <v>218</v>
      </c>
      <c r="D255" s="407"/>
      <c r="E255" s="407"/>
      <c r="F255" s="496">
        <f t="shared" si="8"/>
        <v>0</v>
      </c>
    </row>
    <row r="256" spans="1:6" ht="15.75" hidden="1" thickBot="1" x14ac:dyDescent="0.3">
      <c r="A256" s="399"/>
      <c r="B256" s="408" t="e">
        <f t="shared" si="7"/>
        <v>#REF!</v>
      </c>
      <c r="C256" s="429" t="s">
        <v>218</v>
      </c>
      <c r="D256" s="407"/>
      <c r="E256" s="407"/>
      <c r="F256" s="496">
        <f t="shared" si="8"/>
        <v>0</v>
      </c>
    </row>
    <row r="257" spans="1:6" ht="18.75" hidden="1" customHeight="1" x14ac:dyDescent="0.25">
      <c r="A257" s="399"/>
      <c r="B257" s="408" t="e">
        <f t="shared" si="7"/>
        <v>#REF!</v>
      </c>
      <c r="C257" s="429" t="s">
        <v>218</v>
      </c>
      <c r="D257" s="407"/>
      <c r="E257" s="407"/>
      <c r="F257" s="496">
        <f t="shared" si="8"/>
        <v>0</v>
      </c>
    </row>
    <row r="258" spans="1:6" ht="15.75" hidden="1" thickBot="1" x14ac:dyDescent="0.3">
      <c r="A258" s="399"/>
      <c r="B258" s="408" t="e">
        <f t="shared" si="7"/>
        <v>#REF!</v>
      </c>
      <c r="C258" s="429" t="s">
        <v>218</v>
      </c>
      <c r="D258" s="407"/>
      <c r="E258" s="407"/>
      <c r="F258" s="496">
        <f t="shared" si="8"/>
        <v>0</v>
      </c>
    </row>
    <row r="259" spans="1:6" ht="21" hidden="1" customHeight="1" x14ac:dyDescent="0.25">
      <c r="A259" s="399"/>
      <c r="B259" s="408" t="e">
        <f t="shared" si="7"/>
        <v>#REF!</v>
      </c>
      <c r="C259" s="429" t="s">
        <v>281</v>
      </c>
      <c r="D259" s="407"/>
      <c r="E259" s="407"/>
      <c r="F259" s="496">
        <f t="shared" si="8"/>
        <v>0</v>
      </c>
    </row>
    <row r="260" spans="1:6" ht="15.75" hidden="1" thickBot="1" x14ac:dyDescent="0.3">
      <c r="A260" s="399"/>
      <c r="B260" s="408" t="e">
        <f t="shared" si="7"/>
        <v>#REF!</v>
      </c>
      <c r="C260" s="429" t="s">
        <v>218</v>
      </c>
      <c r="D260" s="407"/>
      <c r="E260" s="407"/>
      <c r="F260" s="496">
        <f t="shared" si="8"/>
        <v>0</v>
      </c>
    </row>
    <row r="261" spans="1:6" ht="15.75" hidden="1" thickBot="1" x14ac:dyDescent="0.3">
      <c r="A261" s="399"/>
      <c r="B261" s="408" t="e">
        <f t="shared" si="7"/>
        <v>#REF!</v>
      </c>
      <c r="C261" s="429" t="s">
        <v>218</v>
      </c>
      <c r="D261" s="407"/>
      <c r="E261" s="407"/>
      <c r="F261" s="496">
        <f t="shared" si="8"/>
        <v>0</v>
      </c>
    </row>
    <row r="262" spans="1:6" ht="15.75" hidden="1" thickBot="1" x14ac:dyDescent="0.3">
      <c r="A262" s="399"/>
      <c r="B262" s="408" t="e">
        <f t="shared" si="7"/>
        <v>#REF!</v>
      </c>
      <c r="C262" s="429" t="s">
        <v>218</v>
      </c>
      <c r="D262" s="407"/>
      <c r="E262" s="407"/>
      <c r="F262" s="496">
        <f t="shared" si="8"/>
        <v>0</v>
      </c>
    </row>
    <row r="263" spans="1:6" ht="15.75" hidden="1" thickBot="1" x14ac:dyDescent="0.3">
      <c r="A263" s="399"/>
      <c r="B263" s="408" t="e">
        <f t="shared" si="7"/>
        <v>#REF!</v>
      </c>
      <c r="C263" s="429" t="s">
        <v>281</v>
      </c>
      <c r="D263" s="407"/>
      <c r="E263" s="407"/>
      <c r="F263" s="496">
        <f t="shared" si="8"/>
        <v>0</v>
      </c>
    </row>
    <row r="264" spans="1:6" ht="15.75" hidden="1" thickBot="1" x14ac:dyDescent="0.3">
      <c r="A264" s="399"/>
      <c r="B264" s="408" t="e">
        <f t="shared" si="7"/>
        <v>#REF!</v>
      </c>
      <c r="C264" s="429" t="s">
        <v>281</v>
      </c>
      <c r="D264" s="407"/>
      <c r="E264" s="407"/>
      <c r="F264" s="496">
        <f t="shared" si="8"/>
        <v>0</v>
      </c>
    </row>
    <row r="265" spans="1:6" ht="14.25" hidden="1" customHeight="1" x14ac:dyDescent="0.25">
      <c r="A265" s="399"/>
      <c r="B265" s="467"/>
      <c r="C265" s="449"/>
      <c r="D265" s="451"/>
      <c r="E265" s="451"/>
      <c r="F265" s="496">
        <f t="shared" si="8"/>
        <v>0</v>
      </c>
    </row>
    <row r="266" spans="1:6" ht="15.75" hidden="1" thickBot="1" x14ac:dyDescent="0.3">
      <c r="A266" s="399"/>
      <c r="B266" s="461"/>
      <c r="C266" s="444"/>
      <c r="D266" s="444"/>
      <c r="E266" s="444"/>
      <c r="F266" s="496">
        <f t="shared" si="8"/>
        <v>0</v>
      </c>
    </row>
    <row r="267" spans="1:6" ht="15.75" hidden="1" thickBot="1" x14ac:dyDescent="0.3">
      <c r="A267" s="399"/>
      <c r="B267" s="507"/>
      <c r="C267" s="456"/>
      <c r="D267" s="456"/>
      <c r="E267" s="456"/>
      <c r="F267" s="496">
        <f t="shared" si="8"/>
        <v>0</v>
      </c>
    </row>
    <row r="268" spans="1:6" ht="15.75" hidden="1" thickBot="1" x14ac:dyDescent="0.3">
      <c r="A268" s="399"/>
      <c r="B268" s="494"/>
      <c r="C268" s="411"/>
      <c r="D268" s="411"/>
      <c r="E268" s="413" t="s">
        <v>8</v>
      </c>
      <c r="F268" s="496"/>
    </row>
    <row r="269" spans="1:6" ht="15.75" hidden="1" thickBot="1" x14ac:dyDescent="0.3">
      <c r="A269" s="399"/>
      <c r="B269" s="508" t="e">
        <f>UPPER(#REF!)</f>
        <v>#REF!</v>
      </c>
      <c r="C269" s="505"/>
      <c r="D269" s="505"/>
      <c r="E269" s="505"/>
      <c r="F269" s="496">
        <f t="shared" si="8"/>
        <v>0</v>
      </c>
    </row>
    <row r="270" spans="1:6" ht="15.75" hidden="1" thickBot="1" x14ac:dyDescent="0.3">
      <c r="A270" s="399"/>
      <c r="B270" s="497" t="e">
        <f>UPPER(#REF!)</f>
        <v>#REF!</v>
      </c>
      <c r="C270" s="405" t="s">
        <v>306</v>
      </c>
      <c r="D270" s="409"/>
      <c r="E270" s="409"/>
      <c r="F270" s="496">
        <f t="shared" si="8"/>
        <v>0</v>
      </c>
    </row>
    <row r="271" spans="1:6" ht="15.75" hidden="1" thickBot="1" x14ac:dyDescent="0.3">
      <c r="A271" s="399"/>
      <c r="B271" s="509" t="e">
        <f>UPPER(#REF!)</f>
        <v>#REF!</v>
      </c>
      <c r="C271" s="449" t="s">
        <v>311</v>
      </c>
      <c r="D271" s="451"/>
      <c r="E271" s="451"/>
      <c r="F271" s="496">
        <f t="shared" si="8"/>
        <v>0</v>
      </c>
    </row>
    <row r="272" spans="1:6" ht="15.75" hidden="1" thickBot="1" x14ac:dyDescent="0.3">
      <c r="A272" s="469"/>
      <c r="B272" s="494"/>
      <c r="C272" s="411"/>
      <c r="D272" s="411"/>
      <c r="E272" s="413" t="s">
        <v>8</v>
      </c>
      <c r="F272" s="496"/>
    </row>
    <row r="273" spans="1:9" ht="15" customHeight="1" x14ac:dyDescent="0.25">
      <c r="A273" s="510"/>
      <c r="B273" s="508" t="s">
        <v>166</v>
      </c>
      <c r="C273" s="505"/>
      <c r="D273" s="505"/>
      <c r="E273" s="505"/>
      <c r="F273" s="396">
        <f t="shared" si="8"/>
        <v>0</v>
      </c>
    </row>
    <row r="274" spans="1:9" ht="15" x14ac:dyDescent="0.25">
      <c r="A274" s="399">
        <v>1</v>
      </c>
      <c r="B274" s="497" t="s">
        <v>874</v>
      </c>
      <c r="C274" s="405" t="s">
        <v>236</v>
      </c>
      <c r="D274" s="409">
        <v>1</v>
      </c>
      <c r="E274" s="409">
        <v>14000</v>
      </c>
      <c r="F274" s="396">
        <f t="shared" si="8"/>
        <v>14000</v>
      </c>
    </row>
    <row r="275" spans="1:9" ht="15" x14ac:dyDescent="0.25">
      <c r="A275" s="399">
        <v>2</v>
      </c>
      <c r="B275" s="497" t="s">
        <v>58</v>
      </c>
      <c r="C275" s="405" t="s">
        <v>224</v>
      </c>
      <c r="D275" s="409"/>
      <c r="E275" s="479">
        <v>25000</v>
      </c>
      <c r="F275" s="396">
        <f t="shared" si="8"/>
        <v>0</v>
      </c>
    </row>
    <row r="276" spans="1:9" ht="15" x14ac:dyDescent="0.25">
      <c r="A276" s="399">
        <v>3</v>
      </c>
      <c r="B276" s="497" t="s">
        <v>313</v>
      </c>
      <c r="C276" s="405" t="s">
        <v>236</v>
      </c>
      <c r="D276" s="409">
        <v>0.5</v>
      </c>
      <c r="E276" s="479">
        <v>8000</v>
      </c>
      <c r="F276" s="396">
        <f t="shared" si="8"/>
        <v>4000</v>
      </c>
    </row>
    <row r="277" spans="1:9" ht="15" x14ac:dyDescent="0.25">
      <c r="A277" s="399">
        <v>4</v>
      </c>
      <c r="B277" s="497" t="s">
        <v>873</v>
      </c>
      <c r="C277" s="405" t="s">
        <v>236</v>
      </c>
      <c r="D277" s="409">
        <v>24</v>
      </c>
      <c r="E277" s="479">
        <v>1500</v>
      </c>
      <c r="F277" s="396">
        <f t="shared" si="8"/>
        <v>36000</v>
      </c>
    </row>
    <row r="278" spans="1:9" ht="15" x14ac:dyDescent="0.25">
      <c r="A278" s="399">
        <v>5</v>
      </c>
      <c r="B278" s="497" t="s">
        <v>314</v>
      </c>
      <c r="C278" s="405" t="s">
        <v>224</v>
      </c>
      <c r="D278" s="409"/>
      <c r="E278" s="479">
        <v>10000</v>
      </c>
      <c r="F278" s="396">
        <f t="shared" si="8"/>
        <v>0</v>
      </c>
    </row>
    <row r="279" spans="1:9" ht="15" x14ac:dyDescent="0.25">
      <c r="A279" s="399">
        <v>6</v>
      </c>
      <c r="B279" s="497" t="s">
        <v>51</v>
      </c>
      <c r="C279" s="405" t="s">
        <v>224</v>
      </c>
      <c r="D279" s="409">
        <v>0.3</v>
      </c>
      <c r="E279" s="424">
        <v>40000</v>
      </c>
      <c r="F279" s="396">
        <f t="shared" ref="F279:F329" si="9">D279*E279</f>
        <v>12000</v>
      </c>
    </row>
    <row r="280" spans="1:9" ht="15.75" thickBot="1" x14ac:dyDescent="0.3">
      <c r="A280" s="399">
        <v>7</v>
      </c>
      <c r="B280" s="497" t="s">
        <v>49</v>
      </c>
      <c r="C280" s="405" t="s">
        <v>224</v>
      </c>
      <c r="D280" s="409"/>
      <c r="E280" s="424">
        <v>50000</v>
      </c>
      <c r="F280" s="396">
        <f t="shared" si="9"/>
        <v>0</v>
      </c>
      <c r="G280" s="512"/>
      <c r="H280" s="513"/>
      <c r="I280" s="514"/>
    </row>
    <row r="281" spans="1:9" ht="15.75" thickBot="1" x14ac:dyDescent="0.3">
      <c r="A281" s="511"/>
      <c r="B281" s="515" t="s">
        <v>315</v>
      </c>
      <c r="C281" s="405"/>
      <c r="D281" s="409"/>
      <c r="E281" s="424"/>
      <c r="F281" s="396"/>
      <c r="G281" s="516" t="s">
        <v>316</v>
      </c>
      <c r="H281" s="516"/>
      <c r="I281" s="517">
        <f>SUM(F274:F280)</f>
        <v>66000</v>
      </c>
    </row>
    <row r="282" spans="1:9" ht="15" x14ac:dyDescent="0.25">
      <c r="A282" s="399">
        <v>8</v>
      </c>
      <c r="B282" s="499" t="s">
        <v>59</v>
      </c>
      <c r="C282" s="405" t="s">
        <v>224</v>
      </c>
      <c r="D282" s="434">
        <v>12</v>
      </c>
      <c r="E282" s="465">
        <v>2322</v>
      </c>
      <c r="F282" s="396">
        <f t="shared" si="9"/>
        <v>27864</v>
      </c>
    </row>
    <row r="283" spans="1:9" ht="15" x14ac:dyDescent="0.25">
      <c r="A283" s="399">
        <v>9</v>
      </c>
      <c r="B283" s="408" t="s">
        <v>317</v>
      </c>
      <c r="C283" s="405" t="s">
        <v>224</v>
      </c>
      <c r="D283" s="409">
        <v>0.15</v>
      </c>
      <c r="E283" s="477">
        <v>50000</v>
      </c>
      <c r="F283" s="396">
        <f t="shared" si="9"/>
        <v>7500</v>
      </c>
    </row>
    <row r="284" spans="1:9" ht="15" x14ac:dyDescent="0.25">
      <c r="A284" s="399">
        <v>10</v>
      </c>
      <c r="B284" s="461" t="s">
        <v>318</v>
      </c>
      <c r="C284" s="405" t="s">
        <v>224</v>
      </c>
      <c r="D284" s="444">
        <v>0.1</v>
      </c>
      <c r="E284" s="423">
        <v>80000</v>
      </c>
      <c r="F284" s="396">
        <f t="shared" si="9"/>
        <v>8000</v>
      </c>
    </row>
    <row r="285" spans="1:9" ht="15" x14ac:dyDescent="0.25">
      <c r="A285" s="399">
        <v>11</v>
      </c>
      <c r="B285" s="461" t="s">
        <v>319</v>
      </c>
      <c r="C285" s="405" t="s">
        <v>224</v>
      </c>
      <c r="D285" s="409">
        <v>2.7</v>
      </c>
      <c r="E285" s="424">
        <v>83333</v>
      </c>
      <c r="F285" s="396">
        <f t="shared" si="9"/>
        <v>224999.1</v>
      </c>
    </row>
    <row r="286" spans="1:9" ht="15" x14ac:dyDescent="0.25">
      <c r="A286" s="399">
        <v>12</v>
      </c>
      <c r="B286" s="461" t="s">
        <v>320</v>
      </c>
      <c r="C286" s="468" t="s">
        <v>224</v>
      </c>
      <c r="D286" s="434">
        <v>0.08</v>
      </c>
      <c r="E286" s="465">
        <v>40000</v>
      </c>
      <c r="F286" s="396">
        <f t="shared" si="9"/>
        <v>3200</v>
      </c>
    </row>
    <row r="287" spans="1:9" ht="15" x14ac:dyDescent="0.25">
      <c r="A287" s="399">
        <v>13</v>
      </c>
      <c r="B287" s="461" t="s">
        <v>321</v>
      </c>
      <c r="C287" s="405" t="s">
        <v>224</v>
      </c>
      <c r="D287" s="409">
        <v>0.8</v>
      </c>
      <c r="E287" s="424">
        <v>14000</v>
      </c>
      <c r="F287" s="396">
        <f t="shared" si="9"/>
        <v>11200</v>
      </c>
    </row>
    <row r="288" spans="1:9" ht="15" x14ac:dyDescent="0.25">
      <c r="A288" s="399">
        <v>14</v>
      </c>
      <c r="B288" s="518" t="s">
        <v>322</v>
      </c>
      <c r="C288" s="429" t="s">
        <v>224</v>
      </c>
      <c r="D288" s="434">
        <v>0.09</v>
      </c>
      <c r="E288" s="465">
        <v>32000</v>
      </c>
      <c r="F288" s="396">
        <f t="shared" si="9"/>
        <v>2880</v>
      </c>
    </row>
    <row r="289" spans="1:9" ht="15" x14ac:dyDescent="0.25">
      <c r="A289" s="399">
        <v>15</v>
      </c>
      <c r="B289" s="408" t="s">
        <v>875</v>
      </c>
      <c r="C289" s="405" t="s">
        <v>963</v>
      </c>
      <c r="D289" s="409">
        <v>1</v>
      </c>
      <c r="E289" s="424">
        <v>22000</v>
      </c>
      <c r="F289" s="396">
        <f t="shared" si="9"/>
        <v>22000</v>
      </c>
    </row>
    <row r="290" spans="1:9" ht="15" x14ac:dyDescent="0.25">
      <c r="A290" s="399">
        <v>16</v>
      </c>
      <c r="B290" s="518" t="s">
        <v>323</v>
      </c>
      <c r="C290" s="428" t="s">
        <v>224</v>
      </c>
      <c r="D290" s="444">
        <v>0.2</v>
      </c>
      <c r="E290" s="423">
        <v>5000</v>
      </c>
      <c r="F290" s="396">
        <f t="shared" si="9"/>
        <v>1000</v>
      </c>
      <c r="G290" s="512"/>
      <c r="I290" s="398"/>
    </row>
    <row r="291" spans="1:9" ht="15" x14ac:dyDescent="0.25">
      <c r="A291" s="399">
        <v>17</v>
      </c>
      <c r="B291" s="481" t="s">
        <v>324</v>
      </c>
      <c r="C291" s="405" t="s">
        <v>224</v>
      </c>
      <c r="D291" s="408">
        <v>0.08</v>
      </c>
      <c r="E291" s="424">
        <v>32000</v>
      </c>
      <c r="F291" s="396">
        <f t="shared" si="9"/>
        <v>2560</v>
      </c>
      <c r="G291" s="512"/>
      <c r="I291" s="398"/>
    </row>
    <row r="292" spans="1:9" ht="15" x14ac:dyDescent="0.25">
      <c r="A292" s="399">
        <v>18</v>
      </c>
      <c r="B292" s="481" t="s">
        <v>325</v>
      </c>
      <c r="C292" s="405" t="s">
        <v>224</v>
      </c>
      <c r="D292" s="408"/>
      <c r="E292" s="424">
        <v>28000</v>
      </c>
      <c r="F292" s="396">
        <f t="shared" si="9"/>
        <v>0</v>
      </c>
      <c r="G292" s="512"/>
      <c r="I292" s="398"/>
    </row>
    <row r="293" spans="1:9" ht="15" x14ac:dyDescent="0.25">
      <c r="A293" s="399">
        <v>19</v>
      </c>
      <c r="B293" s="481"/>
      <c r="C293" s="405"/>
      <c r="D293" s="408"/>
      <c r="E293" s="424"/>
      <c r="F293" s="396">
        <f t="shared" si="9"/>
        <v>0</v>
      </c>
      <c r="G293" s="512"/>
      <c r="I293" s="398"/>
    </row>
    <row r="294" spans="1:9" ht="15" x14ac:dyDescent="0.25">
      <c r="A294" s="399">
        <v>20</v>
      </c>
      <c r="B294" s="481"/>
      <c r="C294" s="519"/>
      <c r="D294" s="408"/>
      <c r="E294" s="424"/>
      <c r="F294" s="396">
        <f t="shared" si="9"/>
        <v>0</v>
      </c>
      <c r="G294" s="512"/>
      <c r="I294" s="398"/>
    </row>
    <row r="295" spans="1:9" ht="15" x14ac:dyDescent="0.25">
      <c r="A295" s="399">
        <v>21</v>
      </c>
      <c r="B295" s="481"/>
      <c r="C295" s="519"/>
      <c r="D295" s="408"/>
      <c r="E295" s="424"/>
      <c r="F295" s="396">
        <f t="shared" si="9"/>
        <v>0</v>
      </c>
      <c r="G295" s="512"/>
      <c r="I295" s="398"/>
    </row>
    <row r="296" spans="1:9" ht="15" x14ac:dyDescent="0.25">
      <c r="A296" s="399">
        <v>22</v>
      </c>
      <c r="B296" s="481"/>
      <c r="C296" s="519"/>
      <c r="D296" s="408"/>
      <c r="E296" s="424"/>
      <c r="F296" s="396">
        <f t="shared" si="9"/>
        <v>0</v>
      </c>
      <c r="G296" s="512"/>
      <c r="I296" s="398"/>
    </row>
    <row r="297" spans="1:9" ht="15" x14ac:dyDescent="0.25">
      <c r="A297" s="399">
        <v>23</v>
      </c>
      <c r="B297" s="481"/>
      <c r="C297" s="519"/>
      <c r="D297" s="408"/>
      <c r="E297" s="424"/>
      <c r="F297" s="396">
        <f t="shared" si="9"/>
        <v>0</v>
      </c>
      <c r="G297" s="512"/>
      <c r="I297" s="398"/>
    </row>
    <row r="298" spans="1:9" ht="15" x14ac:dyDescent="0.25">
      <c r="A298" s="399">
        <v>24</v>
      </c>
      <c r="B298" s="408"/>
      <c r="C298" s="519"/>
      <c r="D298" s="408"/>
      <c r="E298" s="424"/>
      <c r="F298" s="396">
        <f t="shared" si="9"/>
        <v>0</v>
      </c>
      <c r="G298" s="512"/>
      <c r="I298" s="398"/>
    </row>
    <row r="299" spans="1:9" ht="15" x14ac:dyDescent="0.25">
      <c r="A299" s="399">
        <v>25</v>
      </c>
      <c r="B299" s="461"/>
      <c r="C299" s="519"/>
      <c r="D299" s="408"/>
      <c r="E299" s="424"/>
      <c r="F299" s="396">
        <f t="shared" si="9"/>
        <v>0</v>
      </c>
      <c r="G299" s="512"/>
      <c r="I299" s="398"/>
    </row>
    <row r="300" spans="1:9" ht="15" x14ac:dyDescent="0.25">
      <c r="A300" s="399">
        <v>26</v>
      </c>
      <c r="B300" s="461"/>
      <c r="C300" s="519"/>
      <c r="D300" s="408"/>
      <c r="E300" s="424"/>
      <c r="F300" s="396">
        <f t="shared" si="9"/>
        <v>0</v>
      </c>
      <c r="G300" s="512"/>
      <c r="I300" s="398"/>
    </row>
    <row r="301" spans="1:9" ht="15" x14ac:dyDescent="0.25">
      <c r="A301" s="399">
        <v>27</v>
      </c>
      <c r="B301" s="461"/>
      <c r="C301" s="519"/>
      <c r="D301" s="408"/>
      <c r="E301" s="424"/>
      <c r="F301" s="396">
        <f t="shared" si="9"/>
        <v>0</v>
      </c>
      <c r="G301" s="512"/>
      <c r="I301" s="398"/>
    </row>
    <row r="302" spans="1:9" ht="15.75" thickBot="1" x14ac:dyDescent="0.3">
      <c r="A302" s="399">
        <v>28</v>
      </c>
      <c r="B302" s="461"/>
      <c r="C302" s="519"/>
      <c r="D302" s="408"/>
      <c r="E302" s="424"/>
      <c r="F302" s="396">
        <f t="shared" si="9"/>
        <v>0</v>
      </c>
      <c r="G302" s="512"/>
      <c r="I302" s="398"/>
    </row>
    <row r="303" spans="1:9" ht="15.75" thickBot="1" x14ac:dyDescent="0.3">
      <c r="A303" s="399"/>
      <c r="B303" s="461"/>
      <c r="C303" s="429"/>
      <c r="D303" s="408"/>
      <c r="E303" s="424"/>
      <c r="F303" s="396"/>
      <c r="G303" s="516" t="s">
        <v>326</v>
      </c>
      <c r="H303" s="520"/>
      <c r="I303" s="521">
        <f>SUM(F282:F302)</f>
        <v>311203.09999999998</v>
      </c>
    </row>
    <row r="304" spans="1:9" ht="15" x14ac:dyDescent="0.25">
      <c r="A304" s="399">
        <v>29</v>
      </c>
      <c r="B304" s="522" t="s">
        <v>950</v>
      </c>
      <c r="C304" s="401" t="s">
        <v>231</v>
      </c>
      <c r="D304" s="1179"/>
      <c r="E304" s="424"/>
      <c r="F304" s="447">
        <f t="shared" si="9"/>
        <v>0</v>
      </c>
    </row>
    <row r="305" spans="1:8" ht="15" x14ac:dyDescent="0.25">
      <c r="A305" s="399">
        <v>30</v>
      </c>
      <c r="B305" s="522" t="s">
        <v>951</v>
      </c>
      <c r="C305" s="401" t="s">
        <v>231</v>
      </c>
      <c r="D305" s="408"/>
      <c r="E305" s="477"/>
      <c r="F305" s="396">
        <f t="shared" si="9"/>
        <v>0</v>
      </c>
    </row>
    <row r="306" spans="1:8" ht="15" x14ac:dyDescent="0.25">
      <c r="A306" s="399">
        <v>31</v>
      </c>
      <c r="B306" s="522"/>
      <c r="C306" s="401"/>
      <c r="D306" s="408"/>
      <c r="E306" s="477"/>
      <c r="F306" s="396">
        <f t="shared" si="9"/>
        <v>0</v>
      </c>
    </row>
    <row r="307" spans="1:8" ht="15" x14ac:dyDescent="0.25">
      <c r="A307" s="399">
        <v>32</v>
      </c>
      <c r="B307" s="522" t="s">
        <v>327</v>
      </c>
      <c r="C307" s="401" t="s">
        <v>230</v>
      </c>
      <c r="D307" s="408">
        <v>3</v>
      </c>
      <c r="E307" s="477">
        <v>12495</v>
      </c>
      <c r="F307" s="396">
        <f t="shared" si="9"/>
        <v>37485</v>
      </c>
    </row>
    <row r="308" spans="1:8" ht="15" x14ac:dyDescent="0.25">
      <c r="A308" s="399">
        <v>33</v>
      </c>
      <c r="B308" s="522" t="s">
        <v>328</v>
      </c>
      <c r="C308" s="401" t="s">
        <v>230</v>
      </c>
      <c r="D308" s="408"/>
      <c r="E308" s="477">
        <v>33000</v>
      </c>
      <c r="F308" s="396">
        <f t="shared" si="9"/>
        <v>0</v>
      </c>
    </row>
    <row r="309" spans="1:8" ht="15" x14ac:dyDescent="0.25">
      <c r="A309" s="399">
        <v>34</v>
      </c>
      <c r="B309" s="522" t="s">
        <v>982</v>
      </c>
      <c r="C309" s="401" t="s">
        <v>218</v>
      </c>
      <c r="D309" s="408">
        <v>0.4</v>
      </c>
      <c r="E309" s="477">
        <v>63000</v>
      </c>
      <c r="F309" s="396">
        <f t="shared" si="9"/>
        <v>25200</v>
      </c>
    </row>
    <row r="310" spans="1:8" ht="15" x14ac:dyDescent="0.25">
      <c r="A310" s="399">
        <v>35</v>
      </c>
      <c r="B310" s="523" t="s">
        <v>329</v>
      </c>
      <c r="C310" s="401" t="s">
        <v>231</v>
      </c>
      <c r="D310" s="409">
        <v>175</v>
      </c>
      <c r="E310" s="477">
        <v>9600</v>
      </c>
      <c r="F310" s="396">
        <f t="shared" si="9"/>
        <v>1680000</v>
      </c>
    </row>
    <row r="311" spans="1:8" ht="15" x14ac:dyDescent="0.25">
      <c r="A311" s="399">
        <v>36</v>
      </c>
      <c r="B311" s="522"/>
      <c r="C311" s="401"/>
      <c r="D311" s="408"/>
      <c r="E311" s="477"/>
      <c r="F311" s="396">
        <f t="shared" si="9"/>
        <v>0</v>
      </c>
      <c r="H311" s="397"/>
    </row>
    <row r="312" spans="1:8" ht="15" x14ac:dyDescent="0.25">
      <c r="A312" s="399">
        <v>37</v>
      </c>
      <c r="B312" s="522"/>
      <c r="C312" s="401"/>
      <c r="D312" s="524"/>
      <c r="E312" s="477"/>
      <c r="F312" s="396">
        <f t="shared" si="9"/>
        <v>0</v>
      </c>
    </row>
    <row r="313" spans="1:8" ht="15" x14ac:dyDescent="0.25">
      <c r="A313" s="399">
        <v>38</v>
      </c>
      <c r="B313" s="523" t="s">
        <v>330</v>
      </c>
      <c r="C313" s="401" t="s">
        <v>218</v>
      </c>
      <c r="D313" s="408">
        <v>315</v>
      </c>
      <c r="E313" s="477">
        <v>297</v>
      </c>
      <c r="F313" s="396">
        <f t="shared" si="9"/>
        <v>93555</v>
      </c>
    </row>
    <row r="314" spans="1:8" ht="15" x14ac:dyDescent="0.25">
      <c r="A314" s="399">
        <v>39</v>
      </c>
      <c r="B314" s="525" t="s">
        <v>331</v>
      </c>
      <c r="C314" s="401" t="s">
        <v>218</v>
      </c>
      <c r="D314" s="526">
        <v>437</v>
      </c>
      <c r="E314" s="477">
        <v>235.9</v>
      </c>
      <c r="F314" s="396">
        <f t="shared" si="9"/>
        <v>103088.3</v>
      </c>
    </row>
    <row r="315" spans="1:8" ht="15" x14ac:dyDescent="0.25">
      <c r="A315" s="399">
        <v>40</v>
      </c>
      <c r="B315" s="522" t="s">
        <v>332</v>
      </c>
      <c r="C315" s="401" t="s">
        <v>257</v>
      </c>
      <c r="D315" s="526">
        <v>2</v>
      </c>
      <c r="E315" s="477">
        <v>17325</v>
      </c>
      <c r="F315" s="396">
        <f t="shared" si="9"/>
        <v>34650</v>
      </c>
    </row>
    <row r="316" spans="1:8" ht="15" x14ac:dyDescent="0.25">
      <c r="A316" s="399">
        <v>41</v>
      </c>
      <c r="B316" s="525" t="s">
        <v>333</v>
      </c>
      <c r="C316" s="401" t="s">
        <v>257</v>
      </c>
      <c r="D316" s="408">
        <v>13</v>
      </c>
      <c r="E316" s="477">
        <v>6445</v>
      </c>
      <c r="F316" s="396">
        <f t="shared" si="9"/>
        <v>83785</v>
      </c>
    </row>
    <row r="317" spans="1:8" ht="15" x14ac:dyDescent="0.25">
      <c r="A317" s="399">
        <v>42</v>
      </c>
      <c r="B317" s="522" t="s">
        <v>334</v>
      </c>
      <c r="C317" s="401" t="s">
        <v>257</v>
      </c>
      <c r="D317" s="408">
        <v>1</v>
      </c>
      <c r="E317" s="477">
        <v>24378</v>
      </c>
      <c r="F317" s="396">
        <f t="shared" si="9"/>
        <v>24378</v>
      </c>
    </row>
    <row r="318" spans="1:8" ht="15" x14ac:dyDescent="0.25">
      <c r="A318" s="399">
        <v>43</v>
      </c>
      <c r="B318" s="522" t="s">
        <v>335</v>
      </c>
      <c r="C318" s="401" t="s">
        <v>257</v>
      </c>
      <c r="D318" s="408">
        <v>2</v>
      </c>
      <c r="E318" s="477">
        <v>22200</v>
      </c>
      <c r="F318" s="396">
        <f t="shared" si="9"/>
        <v>44400</v>
      </c>
    </row>
    <row r="319" spans="1:8" ht="15" x14ac:dyDescent="0.25">
      <c r="A319" s="399">
        <v>44</v>
      </c>
      <c r="B319" s="522" t="s">
        <v>336</v>
      </c>
      <c r="C319" s="401" t="s">
        <v>230</v>
      </c>
      <c r="D319" s="408"/>
      <c r="E319" s="477"/>
      <c r="F319" s="396">
        <f t="shared" si="9"/>
        <v>0</v>
      </c>
    </row>
    <row r="320" spans="1:8" ht="15" x14ac:dyDescent="0.25">
      <c r="A320" s="399">
        <v>45</v>
      </c>
      <c r="B320" s="525" t="s">
        <v>337</v>
      </c>
      <c r="C320" s="401" t="s">
        <v>230</v>
      </c>
      <c r="D320" s="409">
        <v>4</v>
      </c>
      <c r="E320" s="477">
        <v>6500</v>
      </c>
      <c r="F320" s="396">
        <f t="shared" si="9"/>
        <v>26000</v>
      </c>
    </row>
    <row r="321" spans="1:8" ht="15" x14ac:dyDescent="0.25">
      <c r="A321" s="399">
        <v>46</v>
      </c>
      <c r="B321" s="525" t="s">
        <v>928</v>
      </c>
      <c r="C321" s="401" t="s">
        <v>230</v>
      </c>
      <c r="D321" s="409">
        <v>31</v>
      </c>
      <c r="E321" s="477">
        <v>19338</v>
      </c>
      <c r="F321" s="396">
        <f t="shared" si="9"/>
        <v>599478</v>
      </c>
    </row>
    <row r="322" spans="1:8" ht="15" x14ac:dyDescent="0.25">
      <c r="A322" s="399">
        <v>47</v>
      </c>
      <c r="B322" s="525" t="s">
        <v>931</v>
      </c>
      <c r="C322" s="401" t="s">
        <v>963</v>
      </c>
      <c r="D322" s="409">
        <v>5</v>
      </c>
      <c r="E322" s="424">
        <v>17850</v>
      </c>
      <c r="F322" s="396">
        <f t="shared" si="9"/>
        <v>89250</v>
      </c>
    </row>
    <row r="323" spans="1:8" ht="15" x14ac:dyDescent="0.25">
      <c r="A323" s="399">
        <v>48</v>
      </c>
      <c r="B323" s="481" t="s">
        <v>932</v>
      </c>
      <c r="C323" s="401" t="s">
        <v>963</v>
      </c>
      <c r="D323" s="407">
        <v>5</v>
      </c>
      <c r="E323" s="430">
        <v>17850</v>
      </c>
      <c r="F323" s="396">
        <f t="shared" si="9"/>
        <v>89250</v>
      </c>
    </row>
    <row r="324" spans="1:8" ht="15" x14ac:dyDescent="0.25">
      <c r="A324" s="399">
        <v>49</v>
      </c>
      <c r="B324" s="481" t="s">
        <v>964</v>
      </c>
      <c r="C324" s="401" t="s">
        <v>241</v>
      </c>
      <c r="D324" s="409">
        <v>0.3</v>
      </c>
      <c r="E324" s="409">
        <v>83698.5</v>
      </c>
      <c r="F324" s="396">
        <f t="shared" si="9"/>
        <v>25109.55</v>
      </c>
    </row>
    <row r="325" spans="1:8" ht="15" x14ac:dyDescent="0.25">
      <c r="A325" s="399">
        <v>50</v>
      </c>
      <c r="B325" s="481" t="s">
        <v>797</v>
      </c>
      <c r="C325" s="401" t="s">
        <v>241</v>
      </c>
      <c r="D325" s="409">
        <v>1</v>
      </c>
      <c r="E325" s="424">
        <v>41864.605263157893</v>
      </c>
      <c r="F325" s="396">
        <f t="shared" si="9"/>
        <v>41864.605263157893</v>
      </c>
    </row>
    <row r="326" spans="1:8" ht="15" x14ac:dyDescent="0.25">
      <c r="A326" s="399">
        <v>51</v>
      </c>
      <c r="B326" s="481"/>
      <c r="C326" s="405"/>
      <c r="D326" s="409"/>
      <c r="E326" s="478">
        <v>62000</v>
      </c>
      <c r="F326" s="396">
        <f t="shared" si="9"/>
        <v>0</v>
      </c>
    </row>
    <row r="327" spans="1:8" ht="15" x14ac:dyDescent="0.25">
      <c r="A327" s="399">
        <v>52</v>
      </c>
      <c r="B327" s="481"/>
      <c r="C327" s="405"/>
      <c r="D327" s="409"/>
      <c r="E327" s="409">
        <v>60700</v>
      </c>
      <c r="F327" s="396">
        <f t="shared" si="9"/>
        <v>0</v>
      </c>
    </row>
    <row r="328" spans="1:8" ht="15" x14ac:dyDescent="0.25">
      <c r="A328" s="399">
        <v>53</v>
      </c>
      <c r="B328" s="481"/>
      <c r="C328" s="405"/>
      <c r="D328" s="409"/>
      <c r="E328" s="409"/>
      <c r="F328" s="396">
        <f t="shared" si="9"/>
        <v>0</v>
      </c>
    </row>
    <row r="329" spans="1:8" ht="15.75" thickBot="1" x14ac:dyDescent="0.3">
      <c r="A329" s="399">
        <v>54</v>
      </c>
      <c r="B329" s="467"/>
      <c r="C329" s="449"/>
      <c r="D329" s="451"/>
      <c r="E329" s="451"/>
      <c r="F329" s="527">
        <f t="shared" si="9"/>
        <v>0</v>
      </c>
      <c r="H329" s="398"/>
    </row>
    <row r="330" spans="1:8" ht="15.75" thickBot="1" x14ac:dyDescent="0.3">
      <c r="A330" s="453"/>
      <c r="B330" s="528"/>
      <c r="C330" s="529"/>
      <c r="D330" s="530"/>
      <c r="E330" s="531" t="s">
        <v>8</v>
      </c>
      <c r="F330" s="532">
        <f>SUM(F273:F329)</f>
        <v>3374696.5552631575</v>
      </c>
    </row>
    <row r="331" spans="1:8" ht="15.75" thickBot="1" x14ac:dyDescent="0.3">
      <c r="A331" s="453"/>
      <c r="B331" s="528"/>
      <c r="C331" s="453"/>
      <c r="D331" s="533"/>
      <c r="E331" s="486" t="s">
        <v>338</v>
      </c>
      <c r="F331" s="532">
        <f>F107+F143+F148+F330</f>
        <v>12243857.405263158</v>
      </c>
    </row>
    <row r="332" spans="1:8" ht="15.75" thickBot="1" x14ac:dyDescent="0.3">
      <c r="A332" s="453"/>
      <c r="B332" s="534" t="s">
        <v>339</v>
      </c>
      <c r="C332" s="453"/>
      <c r="D332" s="533"/>
      <c r="E332" s="486"/>
      <c r="F332" s="532">
        <f>F25+F54+F69+F107+F143+F148+F330</f>
        <v>20938718.381056808</v>
      </c>
    </row>
    <row r="333" spans="1:8" ht="15.75" thickBot="1" x14ac:dyDescent="0.3">
      <c r="A333" s="453"/>
      <c r="B333" s="534" t="s">
        <v>340</v>
      </c>
      <c r="C333" s="453"/>
      <c r="D333" s="533"/>
      <c r="E333" s="486"/>
      <c r="F333" s="532">
        <f>F332-F143</f>
        <v>14070977.981056808</v>
      </c>
    </row>
    <row r="334" spans="1:8" ht="15.75" thickBot="1" x14ac:dyDescent="0.3">
      <c r="A334" s="453"/>
      <c r="B334" s="534" t="s">
        <v>341</v>
      </c>
      <c r="C334" s="453"/>
      <c r="D334" s="533"/>
      <c r="E334" s="486"/>
      <c r="F334" s="532">
        <f>F143</f>
        <v>6867740.4000000004</v>
      </c>
    </row>
    <row r="335" spans="1:8" ht="13.5" thickBot="1" x14ac:dyDescent="0.3">
      <c r="A335" s="149"/>
      <c r="E335" s="148" t="s">
        <v>112</v>
      </c>
      <c r="F335" s="148" t="s">
        <v>112</v>
      </c>
    </row>
    <row r="336" spans="1:8" ht="19.5" thickBot="1" x14ac:dyDescent="0.3">
      <c r="A336" s="459" t="s">
        <v>89</v>
      </c>
      <c r="B336" s="535" t="s">
        <v>342</v>
      </c>
      <c r="C336" s="387" t="s">
        <v>32</v>
      </c>
      <c r="D336" s="387" t="s">
        <v>40</v>
      </c>
      <c r="E336" s="387" t="s">
        <v>215</v>
      </c>
      <c r="F336" s="460" t="s">
        <v>216</v>
      </c>
    </row>
    <row r="337" spans="1:6" ht="21.75" thickBot="1" x14ac:dyDescent="0.3">
      <c r="A337" s="389" t="s">
        <v>343</v>
      </c>
      <c r="B337" s="1402" t="s">
        <v>344</v>
      </c>
      <c r="C337" s="1402"/>
      <c r="D337" s="1402"/>
      <c r="E337" s="1402"/>
      <c r="F337" s="1403"/>
    </row>
    <row r="338" spans="1:6" ht="15" x14ac:dyDescent="0.25">
      <c r="A338" s="462">
        <v>1</v>
      </c>
      <c r="B338" s="461" t="s">
        <v>345</v>
      </c>
      <c r="C338" s="428" t="s">
        <v>218</v>
      </c>
      <c r="D338" s="536"/>
      <c r="E338" s="537"/>
      <c r="F338" s="538">
        <f t="shared" ref="F338:F343" si="10">D338*E338</f>
        <v>0</v>
      </c>
    </row>
    <row r="339" spans="1:6" ht="15" x14ac:dyDescent="0.25">
      <c r="A339" s="493">
        <v>2</v>
      </c>
      <c r="B339" s="408" t="s">
        <v>346</v>
      </c>
      <c r="C339" s="429" t="s">
        <v>218</v>
      </c>
      <c r="D339" s="539"/>
      <c r="E339" s="430"/>
      <c r="F339" s="425">
        <f t="shared" si="10"/>
        <v>0</v>
      </c>
    </row>
    <row r="340" spans="1:6" ht="15" x14ac:dyDescent="0.25">
      <c r="A340" s="493">
        <v>3</v>
      </c>
      <c r="B340" s="408" t="s">
        <v>347</v>
      </c>
      <c r="C340" s="405" t="s">
        <v>218</v>
      </c>
      <c r="D340" s="539"/>
      <c r="E340" s="430">
        <v>3800</v>
      </c>
      <c r="F340" s="396">
        <f t="shared" si="10"/>
        <v>0</v>
      </c>
    </row>
    <row r="341" spans="1:6" ht="15" x14ac:dyDescent="0.25">
      <c r="A341" s="493">
        <v>4</v>
      </c>
      <c r="B341" s="408" t="s">
        <v>185</v>
      </c>
      <c r="C341" s="405" t="s">
        <v>218</v>
      </c>
      <c r="D341" s="539"/>
      <c r="E341" s="430">
        <v>5000</v>
      </c>
      <c r="F341" s="396">
        <f t="shared" si="10"/>
        <v>0</v>
      </c>
    </row>
    <row r="342" spans="1:6" ht="15" x14ac:dyDescent="0.25">
      <c r="A342" s="493">
        <v>5</v>
      </c>
      <c r="B342" s="408" t="s">
        <v>924</v>
      </c>
      <c r="C342" s="405" t="s">
        <v>218</v>
      </c>
      <c r="D342" s="540">
        <v>1</v>
      </c>
      <c r="E342" s="424">
        <v>8000</v>
      </c>
      <c r="F342" s="425">
        <f t="shared" si="10"/>
        <v>8000</v>
      </c>
    </row>
    <row r="343" spans="1:6" ht="15.75" thickBot="1" x14ac:dyDescent="0.3">
      <c r="A343" s="541"/>
      <c r="B343" s="507"/>
      <c r="C343" s="456"/>
      <c r="D343" s="542"/>
      <c r="E343" s="543"/>
      <c r="F343" s="452">
        <f t="shared" si="10"/>
        <v>0</v>
      </c>
    </row>
    <row r="344" spans="1:6" ht="15.75" thickBot="1" x14ac:dyDescent="0.3">
      <c r="A344" s="410"/>
      <c r="B344" s="544"/>
      <c r="C344" s="545"/>
      <c r="D344" s="545"/>
      <c r="E344" s="546" t="s">
        <v>10</v>
      </c>
      <c r="F344" s="414">
        <f>SUM(F338:F343)</f>
        <v>8000</v>
      </c>
    </row>
    <row r="345" spans="1:6" ht="21.75" thickBot="1" x14ac:dyDescent="0.3">
      <c r="A345" s="389" t="s">
        <v>348</v>
      </c>
      <c r="B345" s="1406" t="s">
        <v>349</v>
      </c>
      <c r="C345" s="1406"/>
      <c r="D345" s="1406"/>
      <c r="E345" s="1406"/>
      <c r="F345" s="1407"/>
    </row>
    <row r="346" spans="1:6" ht="15" x14ac:dyDescent="0.25">
      <c r="A346" s="462">
        <v>1</v>
      </c>
      <c r="B346" s="547" t="s">
        <v>187</v>
      </c>
      <c r="C346" s="548" t="s">
        <v>309</v>
      </c>
      <c r="D346" s="549">
        <v>1.2</v>
      </c>
      <c r="E346" s="550">
        <v>260000</v>
      </c>
      <c r="F346" s="447">
        <f>D346*E346</f>
        <v>312000</v>
      </c>
    </row>
    <row r="347" spans="1:6" ht="15.75" x14ac:dyDescent="0.25">
      <c r="A347" s="493">
        <v>2</v>
      </c>
      <c r="B347" s="551" t="s">
        <v>186</v>
      </c>
      <c r="C347" s="552" t="s">
        <v>309</v>
      </c>
      <c r="D347" s="553"/>
      <c r="E347" s="554"/>
      <c r="F347" s="447">
        <f>D347*E347</f>
        <v>0</v>
      </c>
    </row>
    <row r="348" spans="1:6" ht="15" x14ac:dyDescent="0.25">
      <c r="A348" s="493">
        <v>3</v>
      </c>
      <c r="B348" s="555"/>
      <c r="C348" s="556"/>
      <c r="D348" s="553"/>
      <c r="E348" s="554"/>
      <c r="F348" s="447">
        <f>D348*E348</f>
        <v>0</v>
      </c>
    </row>
    <row r="349" spans="1:6" ht="15" x14ac:dyDescent="0.25">
      <c r="A349" s="493">
        <v>4</v>
      </c>
      <c r="B349" s="557"/>
      <c r="C349" s="558"/>
      <c r="D349" s="553"/>
      <c r="E349" s="559"/>
      <c r="F349" s="447">
        <f>D349*E349</f>
        <v>0</v>
      </c>
    </row>
    <row r="350" spans="1:6" ht="15.75" thickBot="1" x14ac:dyDescent="0.3">
      <c r="A350" s="541"/>
      <c r="B350" s="560"/>
      <c r="C350" s="561"/>
      <c r="D350" s="562"/>
      <c r="E350" s="561"/>
      <c r="F350" s="563">
        <f>D350*E350</f>
        <v>0</v>
      </c>
    </row>
    <row r="351" spans="1:6" ht="15.75" thickBot="1" x14ac:dyDescent="0.3">
      <c r="A351" s="410"/>
      <c r="B351" s="544"/>
      <c r="C351" s="545"/>
      <c r="D351" s="545"/>
      <c r="E351" s="546" t="s">
        <v>10</v>
      </c>
      <c r="F351" s="414">
        <f>SUM(F346:F350)</f>
        <v>312000</v>
      </c>
    </row>
    <row r="352" spans="1:6" ht="21.75" thickBot="1" x14ac:dyDescent="0.3">
      <c r="A352" s="389" t="s">
        <v>350</v>
      </c>
      <c r="B352" s="1406" t="s">
        <v>107</v>
      </c>
      <c r="C352" s="1406"/>
      <c r="D352" s="1406"/>
      <c r="E352" s="1406"/>
      <c r="F352" s="1407"/>
    </row>
    <row r="353" spans="1:6" ht="15" x14ac:dyDescent="0.25">
      <c r="A353" s="399">
        <v>1</v>
      </c>
      <c r="B353" s="557" t="s">
        <v>351</v>
      </c>
      <c r="C353" s="556" t="s">
        <v>305</v>
      </c>
      <c r="D353" s="553">
        <v>0.5</v>
      </c>
      <c r="E353" s="559">
        <v>71400</v>
      </c>
      <c r="F353" s="564">
        <f>D353*E353</f>
        <v>35700</v>
      </c>
    </row>
    <row r="354" spans="1:6" ht="15" x14ac:dyDescent="0.25">
      <c r="A354" s="399">
        <v>2</v>
      </c>
      <c r="B354" s="557" t="s">
        <v>352</v>
      </c>
      <c r="C354" s="556" t="s">
        <v>305</v>
      </c>
      <c r="D354" s="553">
        <v>1.4</v>
      </c>
      <c r="E354" s="559">
        <v>71400</v>
      </c>
      <c r="F354" s="564">
        <f t="shared" ref="F354:F368" si="11">D354*E354</f>
        <v>99960</v>
      </c>
    </row>
    <row r="355" spans="1:6" ht="15" x14ac:dyDescent="0.25">
      <c r="A355" s="399">
        <v>3</v>
      </c>
      <c r="B355" s="557" t="s">
        <v>353</v>
      </c>
      <c r="C355" s="556" t="s">
        <v>305</v>
      </c>
      <c r="D355" s="553">
        <v>0.8</v>
      </c>
      <c r="E355" s="559">
        <v>71000</v>
      </c>
      <c r="F355" s="564">
        <f t="shared" si="11"/>
        <v>56800</v>
      </c>
    </row>
    <row r="356" spans="1:6" ht="15" x14ac:dyDescent="0.25">
      <c r="A356" s="399">
        <v>4</v>
      </c>
      <c r="B356" s="557" t="s">
        <v>354</v>
      </c>
      <c r="C356" s="556" t="s">
        <v>305</v>
      </c>
      <c r="D356" s="553">
        <v>0.8</v>
      </c>
      <c r="E356" s="559">
        <v>71400</v>
      </c>
      <c r="F356" s="564">
        <f t="shared" si="11"/>
        <v>57120</v>
      </c>
    </row>
    <row r="357" spans="1:6" ht="15" x14ac:dyDescent="0.25">
      <c r="A357" s="399">
        <v>5</v>
      </c>
      <c r="B357" s="557"/>
      <c r="C357" s="556"/>
      <c r="D357" s="553"/>
      <c r="E357" s="559"/>
      <c r="F357" s="564">
        <f t="shared" si="11"/>
        <v>0</v>
      </c>
    </row>
    <row r="358" spans="1:6" ht="15" x14ac:dyDescent="0.25">
      <c r="A358" s="399">
        <v>6</v>
      </c>
      <c r="B358" s="557"/>
      <c r="C358" s="556"/>
      <c r="D358" s="553"/>
      <c r="E358" s="559"/>
      <c r="F358" s="564">
        <f t="shared" si="11"/>
        <v>0</v>
      </c>
    </row>
    <row r="359" spans="1:6" ht="15" x14ac:dyDescent="0.25">
      <c r="A359" s="399">
        <v>7</v>
      </c>
      <c r="B359" s="557" t="s">
        <v>189</v>
      </c>
      <c r="C359" s="556" t="s">
        <v>305</v>
      </c>
      <c r="D359" s="553">
        <v>59</v>
      </c>
      <c r="E359" s="559">
        <v>1328.25</v>
      </c>
      <c r="F359" s="564">
        <f t="shared" si="11"/>
        <v>78366.75</v>
      </c>
    </row>
    <row r="360" spans="1:6" ht="15" x14ac:dyDescent="0.25">
      <c r="A360" s="399">
        <v>8</v>
      </c>
      <c r="B360" s="557" t="s">
        <v>866</v>
      </c>
      <c r="C360" s="556" t="s">
        <v>224</v>
      </c>
      <c r="D360" s="553"/>
      <c r="E360" s="559">
        <v>71400</v>
      </c>
      <c r="F360" s="564">
        <f t="shared" si="11"/>
        <v>0</v>
      </c>
    </row>
    <row r="361" spans="1:6" ht="15" x14ac:dyDescent="0.25">
      <c r="A361" s="399">
        <v>9</v>
      </c>
      <c r="B361" s="557"/>
      <c r="C361" s="556"/>
      <c r="D361" s="553"/>
      <c r="E361" s="559"/>
      <c r="F361" s="564">
        <f t="shared" si="11"/>
        <v>0</v>
      </c>
    </row>
    <row r="362" spans="1:6" ht="15" x14ac:dyDescent="0.25">
      <c r="A362" s="399">
        <v>10</v>
      </c>
      <c r="B362" s="557" t="s">
        <v>355</v>
      </c>
      <c r="C362" s="556" t="s">
        <v>356</v>
      </c>
      <c r="D362" s="553">
        <v>0.4</v>
      </c>
      <c r="E362" s="559">
        <v>5000</v>
      </c>
      <c r="F362" s="564">
        <f t="shared" si="11"/>
        <v>2000</v>
      </c>
    </row>
    <row r="363" spans="1:6" ht="15" x14ac:dyDescent="0.25">
      <c r="A363" s="399">
        <v>11</v>
      </c>
      <c r="B363" s="408"/>
      <c r="C363" s="405"/>
      <c r="D363" s="540"/>
      <c r="E363" s="424"/>
      <c r="F363" s="425">
        <f t="shared" si="11"/>
        <v>0</v>
      </c>
    </row>
    <row r="364" spans="1:6" ht="15" x14ac:dyDescent="0.25">
      <c r="A364" s="399">
        <v>12</v>
      </c>
      <c r="B364" s="408"/>
      <c r="C364" s="405"/>
      <c r="D364" s="540"/>
      <c r="E364" s="424"/>
      <c r="F364" s="425">
        <f t="shared" si="11"/>
        <v>0</v>
      </c>
    </row>
    <row r="365" spans="1:6" ht="15" x14ac:dyDescent="0.25">
      <c r="A365" s="399">
        <v>13</v>
      </c>
      <c r="B365" s="408"/>
      <c r="C365" s="405"/>
      <c r="D365" s="540"/>
      <c r="E365" s="424"/>
      <c r="F365" s="425">
        <f t="shared" si="11"/>
        <v>0</v>
      </c>
    </row>
    <row r="366" spans="1:6" ht="15" x14ac:dyDescent="0.25">
      <c r="A366" s="399">
        <v>14</v>
      </c>
      <c r="B366" s="408"/>
      <c r="C366" s="405"/>
      <c r="D366" s="540"/>
      <c r="E366" s="424"/>
      <c r="F366" s="425">
        <f t="shared" si="11"/>
        <v>0</v>
      </c>
    </row>
    <row r="367" spans="1:6" ht="15" x14ac:dyDescent="0.25">
      <c r="A367" s="399">
        <v>15</v>
      </c>
      <c r="B367" s="408"/>
      <c r="C367" s="405"/>
      <c r="D367" s="540"/>
      <c r="E367" s="424"/>
      <c r="F367" s="425">
        <f t="shared" si="11"/>
        <v>0</v>
      </c>
    </row>
    <row r="368" spans="1:6" ht="15.75" thickBot="1" x14ac:dyDescent="0.3">
      <c r="A368" s="541"/>
      <c r="B368" s="467"/>
      <c r="C368" s="449"/>
      <c r="D368" s="565"/>
      <c r="E368" s="566"/>
      <c r="F368" s="425">
        <f t="shared" si="11"/>
        <v>0</v>
      </c>
    </row>
    <row r="369" spans="1:11" ht="15.75" thickBot="1" x14ac:dyDescent="0.3">
      <c r="A369" s="469"/>
      <c r="B369" s="494"/>
      <c r="C369" s="411"/>
      <c r="D369" s="411"/>
      <c r="E369" s="413" t="s">
        <v>10</v>
      </c>
      <c r="F369" s="414">
        <f>SUM(F353:F368)</f>
        <v>329946.75</v>
      </c>
    </row>
    <row r="370" spans="1:11" ht="21.75" thickBot="1" x14ac:dyDescent="0.3">
      <c r="A370" s="389" t="s">
        <v>357</v>
      </c>
      <c r="B370" s="1402" t="s">
        <v>108</v>
      </c>
      <c r="C370" s="1402"/>
      <c r="D370" s="1402"/>
      <c r="E370" s="1402"/>
      <c r="F370" s="1403"/>
    </row>
    <row r="371" spans="1:11" ht="15" x14ac:dyDescent="0.25">
      <c r="A371" s="399">
        <v>1</v>
      </c>
      <c r="B371" s="408" t="s">
        <v>864</v>
      </c>
      <c r="C371" s="405" t="s">
        <v>218</v>
      </c>
      <c r="D371" s="540">
        <v>1.7</v>
      </c>
      <c r="E371" s="424">
        <v>18000</v>
      </c>
      <c r="F371" s="425">
        <f>D371*E371</f>
        <v>30600</v>
      </c>
    </row>
    <row r="372" spans="1:11" ht="15" x14ac:dyDescent="0.25">
      <c r="A372" s="399">
        <v>2</v>
      </c>
      <c r="B372" s="408" t="s">
        <v>865</v>
      </c>
      <c r="C372" s="405" t="s">
        <v>218</v>
      </c>
      <c r="D372" s="540">
        <v>12</v>
      </c>
      <c r="E372" s="424">
        <v>3333</v>
      </c>
      <c r="F372" s="425">
        <f>D372*E372</f>
        <v>39996</v>
      </c>
    </row>
    <row r="373" spans="1:11" ht="15" x14ac:dyDescent="0.25">
      <c r="A373" s="399">
        <v>3</v>
      </c>
      <c r="B373" s="408" t="s">
        <v>188</v>
      </c>
      <c r="C373" s="405" t="s">
        <v>218</v>
      </c>
      <c r="D373" s="540">
        <v>35</v>
      </c>
      <c r="E373" s="424">
        <v>4000</v>
      </c>
      <c r="F373" s="425">
        <f>D373*E373</f>
        <v>140000</v>
      </c>
    </row>
    <row r="374" spans="1:11" ht="15" x14ac:dyDescent="0.25">
      <c r="A374" s="399">
        <v>4</v>
      </c>
      <c r="B374" s="408"/>
      <c r="C374" s="405"/>
      <c r="D374" s="540"/>
      <c r="E374" s="424"/>
      <c r="F374" s="425">
        <f>D374*E374</f>
        <v>0</v>
      </c>
    </row>
    <row r="375" spans="1:11" ht="15.75" thickBot="1" x14ac:dyDescent="0.3">
      <c r="A375" s="399"/>
      <c r="B375" s="467"/>
      <c r="C375" s="449"/>
      <c r="D375" s="565"/>
      <c r="E375" s="566"/>
      <c r="F375" s="425">
        <f>D375*E375</f>
        <v>0</v>
      </c>
    </row>
    <row r="376" spans="1:11" ht="15.75" thickBot="1" x14ac:dyDescent="0.3">
      <c r="A376" s="469"/>
      <c r="B376" s="494"/>
      <c r="C376" s="411"/>
      <c r="D376" s="411"/>
      <c r="E376" s="413" t="s">
        <v>10</v>
      </c>
      <c r="F376" s="414">
        <f>SUM(F371:F375)</f>
        <v>210596</v>
      </c>
    </row>
    <row r="378" spans="1:11" ht="12.75" customHeight="1" x14ac:dyDescent="0.25">
      <c r="B378" s="1408"/>
      <c r="C378" s="1408"/>
      <c r="D378" s="1408"/>
      <c r="E378" s="567"/>
      <c r="F378" s="568" t="s">
        <v>358</v>
      </c>
      <c r="G378" s="567"/>
      <c r="H378" s="567"/>
      <c r="I378" s="567"/>
      <c r="J378" s="567"/>
      <c r="K378" s="567"/>
    </row>
    <row r="379" spans="1:11" x14ac:dyDescent="0.25">
      <c r="B379" s="1408"/>
      <c r="C379" s="1408"/>
      <c r="D379" s="1408"/>
      <c r="E379" s="567"/>
      <c r="F379" s="567"/>
      <c r="G379" s="567"/>
      <c r="H379" s="567"/>
      <c r="I379" s="567"/>
      <c r="J379" s="567"/>
      <c r="K379" s="567"/>
    </row>
    <row r="380" spans="1:11" x14ac:dyDescent="0.25">
      <c r="B380" s="1408"/>
      <c r="C380" s="1408"/>
      <c r="D380" s="1408"/>
      <c r="E380" s="567"/>
      <c r="F380" s="567"/>
      <c r="G380" s="567"/>
      <c r="H380" s="567"/>
      <c r="I380" s="567"/>
      <c r="J380" s="567"/>
      <c r="K380" s="567"/>
    </row>
    <row r="381" spans="1:11" x14ac:dyDescent="0.2">
      <c r="F381" s="64"/>
      <c r="G381" s="63"/>
    </row>
    <row r="382" spans="1:11" x14ac:dyDescent="0.2">
      <c r="F382" s="64" t="s">
        <v>929</v>
      </c>
      <c r="G382" s="63"/>
    </row>
    <row r="383" spans="1:11" x14ac:dyDescent="0.25">
      <c r="B383" s="1240"/>
      <c r="C383" s="1240"/>
      <c r="D383" s="1240"/>
    </row>
    <row r="384" spans="1:11" x14ac:dyDescent="0.25">
      <c r="B384" s="1241"/>
      <c r="C384" s="1241"/>
      <c r="D384" s="1241"/>
    </row>
    <row r="385" spans="2:4" x14ac:dyDescent="0.25">
      <c r="B385" s="1241"/>
      <c r="C385" s="1241"/>
      <c r="D385" s="1241"/>
    </row>
    <row r="386" spans="2:4" x14ac:dyDescent="0.25">
      <c r="B386" s="1241"/>
      <c r="C386" s="1241"/>
      <c r="D386" s="1241"/>
    </row>
    <row r="387" spans="2:4" x14ac:dyDescent="0.25">
      <c r="B387" s="1257"/>
      <c r="C387" s="1257"/>
      <c r="D387" s="1257"/>
    </row>
    <row r="388" spans="2:4" x14ac:dyDescent="0.25">
      <c r="B388" s="1257"/>
      <c r="C388" s="1257"/>
      <c r="D388" s="1257"/>
    </row>
    <row r="389" spans="2:4" x14ac:dyDescent="0.25">
      <c r="B389" s="1257"/>
      <c r="C389" s="1257"/>
      <c r="D389" s="1257"/>
    </row>
    <row r="390" spans="2:4" x14ac:dyDescent="0.25">
      <c r="B390" s="1257"/>
      <c r="C390" s="1257"/>
      <c r="D390" s="1257"/>
    </row>
    <row r="391" spans="2:4" x14ac:dyDescent="0.25">
      <c r="B391" s="1256"/>
      <c r="C391" s="1256"/>
      <c r="D391" s="1256"/>
    </row>
    <row r="392" spans="2:4" x14ac:dyDescent="0.25">
      <c r="B392" s="1256"/>
      <c r="C392" s="1256"/>
      <c r="D392" s="1256"/>
    </row>
    <row r="393" spans="2:4" x14ac:dyDescent="0.25">
      <c r="B393" s="1256"/>
      <c r="C393" s="1256"/>
      <c r="D393" s="1256"/>
    </row>
    <row r="394" spans="2:4" x14ac:dyDescent="0.25">
      <c r="B394" s="1256"/>
      <c r="C394" s="1256"/>
      <c r="D394" s="1256"/>
    </row>
    <row r="395" spans="2:4" x14ac:dyDescent="0.25">
      <c r="B395" s="1257"/>
      <c r="C395" s="1257"/>
      <c r="D395" s="1257"/>
    </row>
    <row r="401" ht="15" customHeight="1" x14ac:dyDescent="0.25"/>
    <row r="409" hidden="1" x14ac:dyDescent="0.25"/>
    <row r="410" hidden="1" x14ac:dyDescent="0.25"/>
    <row r="412" hidden="1" x14ac:dyDescent="0.25"/>
    <row r="414" hidden="1" x14ac:dyDescent="0.25"/>
    <row r="416" hidden="1" x14ac:dyDescent="0.25"/>
    <row r="417" spans="2:2" hidden="1" x14ac:dyDescent="0.25"/>
    <row r="418" spans="2:2" hidden="1" x14ac:dyDescent="0.25"/>
    <row r="419" spans="2:2" hidden="1" x14ac:dyDescent="0.25"/>
    <row r="420" spans="2:2" hidden="1" x14ac:dyDescent="0.25"/>
    <row r="421" spans="2:2" hidden="1" x14ac:dyDescent="0.25"/>
    <row r="422" spans="2:2" x14ac:dyDescent="0.25">
      <c r="B422" s="148" t="s">
        <v>359</v>
      </c>
    </row>
    <row r="426" spans="2:2" hidden="1" x14ac:dyDescent="0.25"/>
    <row r="427" spans="2:2" hidden="1" x14ac:dyDescent="0.25"/>
    <row r="441" hidden="1" x14ac:dyDescent="0.25"/>
    <row r="480" hidden="1" x14ac:dyDescent="0.25"/>
    <row r="512" hidden="1" x14ac:dyDescent="0.25"/>
    <row r="513" hidden="1" x14ac:dyDescent="0.25"/>
    <row r="514" hidden="1" x14ac:dyDescent="0.25"/>
    <row r="515" hidden="1" x14ac:dyDescent="0.25"/>
    <row r="525" hidden="1" x14ac:dyDescent="0.25"/>
    <row r="526" hidden="1" x14ac:dyDescent="0.25"/>
    <row r="527" hidden="1" x14ac:dyDescent="0.25"/>
    <row r="528" hidden="1" x14ac:dyDescent="0.25"/>
    <row r="537" hidden="1" x14ac:dyDescent="0.25"/>
    <row r="538" hidden="1" x14ac:dyDescent="0.25"/>
    <row r="539" hidden="1" x14ac:dyDescent="0.25"/>
    <row r="540" hidden="1" x14ac:dyDescent="0.25"/>
    <row r="541" hidden="1" x14ac:dyDescent="0.25"/>
    <row r="542" hidden="1" x14ac:dyDescent="0.25"/>
    <row r="543" hidden="1" x14ac:dyDescent="0.25"/>
    <row r="544" hidden="1" x14ac:dyDescent="0.25"/>
    <row r="550" hidden="1" x14ac:dyDescent="0.25"/>
    <row r="551" hidden="1" x14ac:dyDescent="0.25"/>
    <row r="552" hidden="1" x14ac:dyDescent="0.25"/>
    <row r="553" hidden="1" x14ac:dyDescent="0.25"/>
    <row r="554" hidden="1" x14ac:dyDescent="0.25"/>
    <row r="555" hidden="1" x14ac:dyDescent="0.25"/>
    <row r="558" hidden="1" x14ac:dyDescent="0.25"/>
    <row r="559" hidden="1" x14ac:dyDescent="0.25"/>
    <row r="560" hidden="1" x14ac:dyDescent="0.25"/>
    <row r="561" hidden="1" x14ac:dyDescent="0.25"/>
    <row r="562" hidden="1" x14ac:dyDescent="0.25"/>
    <row r="563" hidden="1" x14ac:dyDescent="0.25"/>
    <row r="564" hidden="1" x14ac:dyDescent="0.25"/>
    <row r="565" hidden="1" x14ac:dyDescent="0.25"/>
    <row r="566" hidden="1" x14ac:dyDescent="0.25"/>
    <row r="567" hidden="1" x14ac:dyDescent="0.25"/>
    <row r="568" hidden="1" x14ac:dyDescent="0.25"/>
    <row r="569" hidden="1" x14ac:dyDescent="0.25"/>
    <row r="570" hidden="1" x14ac:dyDescent="0.25"/>
  </sheetData>
  <mergeCells count="28">
    <mergeCell ref="B392:D392"/>
    <mergeCell ref="B393:D393"/>
    <mergeCell ref="B394:D394"/>
    <mergeCell ref="B395:D395"/>
    <mergeCell ref="B386:D386"/>
    <mergeCell ref="B387:D387"/>
    <mergeCell ref="B388:D388"/>
    <mergeCell ref="B389:D389"/>
    <mergeCell ref="B390:D390"/>
    <mergeCell ref="B391:D391"/>
    <mergeCell ref="B385:D385"/>
    <mergeCell ref="B75:F75"/>
    <mergeCell ref="B108:F108"/>
    <mergeCell ref="B144:F144"/>
    <mergeCell ref="B149:F149"/>
    <mergeCell ref="B337:F337"/>
    <mergeCell ref="B345:F345"/>
    <mergeCell ref="B352:F352"/>
    <mergeCell ref="B370:F370"/>
    <mergeCell ref="B378:D380"/>
    <mergeCell ref="B383:D383"/>
    <mergeCell ref="B384:D384"/>
    <mergeCell ref="G69:H69"/>
    <mergeCell ref="A3:F3"/>
    <mergeCell ref="B10:F10"/>
    <mergeCell ref="B26:F26"/>
    <mergeCell ref="G54:H54"/>
    <mergeCell ref="B55:F55"/>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F1085-E3A0-4857-B8A4-4994217E5A39}">
  <sheetPr>
    <tabColor rgb="FF00B050"/>
  </sheetPr>
  <dimension ref="A1:Q64"/>
  <sheetViews>
    <sheetView tabSelected="1" topLeftCell="A20" workbookViewId="0">
      <selection activeCell="F20" sqref="F20"/>
    </sheetView>
  </sheetViews>
  <sheetFormatPr defaultRowHeight="12.75" x14ac:dyDescent="0.2"/>
  <cols>
    <col min="1" max="1" width="4.7109375" style="63" customWidth="1"/>
    <col min="2" max="2" width="21.7109375" style="63" customWidth="1"/>
    <col min="3" max="3" width="0.7109375" style="63" customWidth="1"/>
    <col min="4" max="4" width="12.42578125" style="63" customWidth="1"/>
    <col min="5" max="5" width="4.5703125" style="63" customWidth="1"/>
    <col min="6" max="6" width="6.7109375" style="63" customWidth="1"/>
    <col min="7" max="7" width="3.7109375" style="63" customWidth="1"/>
    <col min="8" max="9" width="9.140625" style="63"/>
    <col min="10" max="10" width="3.7109375" style="63" customWidth="1"/>
    <col min="11" max="12" width="9.140625" style="63"/>
    <col min="13" max="13" width="10" style="63" bestFit="1" customWidth="1"/>
    <col min="14" max="14" width="9.140625" style="63"/>
    <col min="15" max="15" width="14.42578125" style="63" customWidth="1"/>
    <col min="16" max="16" width="14.28515625" style="63" customWidth="1"/>
    <col min="17" max="17" width="10.85546875" style="63" bestFit="1" customWidth="1"/>
    <col min="18" max="256" width="9.140625" style="63"/>
    <col min="257" max="257" width="4.7109375" style="63" customWidth="1"/>
    <col min="258" max="258" width="21.7109375" style="63" customWidth="1"/>
    <col min="259" max="259" width="0.7109375" style="63" customWidth="1"/>
    <col min="260" max="260" width="12.42578125" style="63" customWidth="1"/>
    <col min="261" max="261" width="4.5703125" style="63" customWidth="1"/>
    <col min="262" max="262" width="6.7109375" style="63" customWidth="1"/>
    <col min="263" max="263" width="3.7109375" style="63" customWidth="1"/>
    <col min="264" max="265" width="9.140625" style="63"/>
    <col min="266" max="266" width="3.7109375" style="63" customWidth="1"/>
    <col min="267" max="268" width="9.140625" style="63"/>
    <col min="269" max="269" width="10" style="63" bestFit="1" customWidth="1"/>
    <col min="270" max="270" width="9.140625" style="63"/>
    <col min="271" max="271" width="14.42578125" style="63" customWidth="1"/>
    <col min="272" max="272" width="14.28515625" style="63" customWidth="1"/>
    <col min="273" max="273" width="10.85546875" style="63" bestFit="1" customWidth="1"/>
    <col min="274" max="512" width="9.140625" style="63"/>
    <col min="513" max="513" width="4.7109375" style="63" customWidth="1"/>
    <col min="514" max="514" width="21.7109375" style="63" customWidth="1"/>
    <col min="515" max="515" width="0.7109375" style="63" customWidth="1"/>
    <col min="516" max="516" width="12.42578125" style="63" customWidth="1"/>
    <col min="517" max="517" width="4.5703125" style="63" customWidth="1"/>
    <col min="518" max="518" width="6.7109375" style="63" customWidth="1"/>
    <col min="519" max="519" width="3.7109375" style="63" customWidth="1"/>
    <col min="520" max="521" width="9.140625" style="63"/>
    <col min="522" max="522" width="3.7109375" style="63" customWidth="1"/>
    <col min="523" max="524" width="9.140625" style="63"/>
    <col min="525" max="525" width="10" style="63" bestFit="1" customWidth="1"/>
    <col min="526" max="526" width="9.140625" style="63"/>
    <col min="527" max="527" width="14.42578125" style="63" customWidth="1"/>
    <col min="528" max="528" width="14.28515625" style="63" customWidth="1"/>
    <col min="529" max="529" width="10.85546875" style="63" bestFit="1" customWidth="1"/>
    <col min="530" max="768" width="9.140625" style="63"/>
    <col min="769" max="769" width="4.7109375" style="63" customWidth="1"/>
    <col min="770" max="770" width="21.7109375" style="63" customWidth="1"/>
    <col min="771" max="771" width="0.7109375" style="63" customWidth="1"/>
    <col min="772" max="772" width="12.42578125" style="63" customWidth="1"/>
    <col min="773" max="773" width="4.5703125" style="63" customWidth="1"/>
    <col min="774" max="774" width="6.7109375" style="63" customWidth="1"/>
    <col min="775" max="775" width="3.7109375" style="63" customWidth="1"/>
    <col min="776" max="777" width="9.140625" style="63"/>
    <col min="778" max="778" width="3.7109375" style="63" customWidth="1"/>
    <col min="779" max="780" width="9.140625" style="63"/>
    <col min="781" max="781" width="10" style="63" bestFit="1" customWidth="1"/>
    <col min="782" max="782" width="9.140625" style="63"/>
    <col min="783" max="783" width="14.42578125" style="63" customWidth="1"/>
    <col min="784" max="784" width="14.28515625" style="63" customWidth="1"/>
    <col min="785" max="785" width="10.85546875" style="63" bestFit="1" customWidth="1"/>
    <col min="786" max="1024" width="9.140625" style="63"/>
    <col min="1025" max="1025" width="4.7109375" style="63" customWidth="1"/>
    <col min="1026" max="1026" width="21.7109375" style="63" customWidth="1"/>
    <col min="1027" max="1027" width="0.7109375" style="63" customWidth="1"/>
    <col min="1028" max="1028" width="12.42578125" style="63" customWidth="1"/>
    <col min="1029" max="1029" width="4.5703125" style="63" customWidth="1"/>
    <col min="1030" max="1030" width="6.7109375" style="63" customWidth="1"/>
    <col min="1031" max="1031" width="3.7109375" style="63" customWidth="1"/>
    <col min="1032" max="1033" width="9.140625" style="63"/>
    <col min="1034" max="1034" width="3.7109375" style="63" customWidth="1"/>
    <col min="1035" max="1036" width="9.140625" style="63"/>
    <col min="1037" max="1037" width="10" style="63" bestFit="1" customWidth="1"/>
    <col min="1038" max="1038" width="9.140625" style="63"/>
    <col min="1039" max="1039" width="14.42578125" style="63" customWidth="1"/>
    <col min="1040" max="1040" width="14.28515625" style="63" customWidth="1"/>
    <col min="1041" max="1041" width="10.85546875" style="63" bestFit="1" customWidth="1"/>
    <col min="1042" max="1280" width="9.140625" style="63"/>
    <col min="1281" max="1281" width="4.7109375" style="63" customWidth="1"/>
    <col min="1282" max="1282" width="21.7109375" style="63" customWidth="1"/>
    <col min="1283" max="1283" width="0.7109375" style="63" customWidth="1"/>
    <col min="1284" max="1284" width="12.42578125" style="63" customWidth="1"/>
    <col min="1285" max="1285" width="4.5703125" style="63" customWidth="1"/>
    <col min="1286" max="1286" width="6.7109375" style="63" customWidth="1"/>
    <col min="1287" max="1287" width="3.7109375" style="63" customWidth="1"/>
    <col min="1288" max="1289" width="9.140625" style="63"/>
    <col min="1290" max="1290" width="3.7109375" style="63" customWidth="1"/>
    <col min="1291" max="1292" width="9.140625" style="63"/>
    <col min="1293" max="1293" width="10" style="63" bestFit="1" customWidth="1"/>
    <col min="1294" max="1294" width="9.140625" style="63"/>
    <col min="1295" max="1295" width="14.42578125" style="63" customWidth="1"/>
    <col min="1296" max="1296" width="14.28515625" style="63" customWidth="1"/>
    <col min="1297" max="1297" width="10.85546875" style="63" bestFit="1" customWidth="1"/>
    <col min="1298" max="1536" width="9.140625" style="63"/>
    <col min="1537" max="1537" width="4.7109375" style="63" customWidth="1"/>
    <col min="1538" max="1538" width="21.7109375" style="63" customWidth="1"/>
    <col min="1539" max="1539" width="0.7109375" style="63" customWidth="1"/>
    <col min="1540" max="1540" width="12.42578125" style="63" customWidth="1"/>
    <col min="1541" max="1541" width="4.5703125" style="63" customWidth="1"/>
    <col min="1542" max="1542" width="6.7109375" style="63" customWidth="1"/>
    <col min="1543" max="1543" width="3.7109375" style="63" customWidth="1"/>
    <col min="1544" max="1545" width="9.140625" style="63"/>
    <col min="1546" max="1546" width="3.7109375" style="63" customWidth="1"/>
    <col min="1547" max="1548" width="9.140625" style="63"/>
    <col min="1549" max="1549" width="10" style="63" bestFit="1" customWidth="1"/>
    <col min="1550" max="1550" width="9.140625" style="63"/>
    <col min="1551" max="1551" width="14.42578125" style="63" customWidth="1"/>
    <col min="1552" max="1552" width="14.28515625" style="63" customWidth="1"/>
    <col min="1553" max="1553" width="10.85546875" style="63" bestFit="1" customWidth="1"/>
    <col min="1554" max="1792" width="9.140625" style="63"/>
    <col min="1793" max="1793" width="4.7109375" style="63" customWidth="1"/>
    <col min="1794" max="1794" width="21.7109375" style="63" customWidth="1"/>
    <col min="1795" max="1795" width="0.7109375" style="63" customWidth="1"/>
    <col min="1796" max="1796" width="12.42578125" style="63" customWidth="1"/>
    <col min="1797" max="1797" width="4.5703125" style="63" customWidth="1"/>
    <col min="1798" max="1798" width="6.7109375" style="63" customWidth="1"/>
    <col min="1799" max="1799" width="3.7109375" style="63" customWidth="1"/>
    <col min="1800" max="1801" width="9.140625" style="63"/>
    <col min="1802" max="1802" width="3.7109375" style="63" customWidth="1"/>
    <col min="1803" max="1804" width="9.140625" style="63"/>
    <col min="1805" max="1805" width="10" style="63" bestFit="1" customWidth="1"/>
    <col min="1806" max="1806" width="9.140625" style="63"/>
    <col min="1807" max="1807" width="14.42578125" style="63" customWidth="1"/>
    <col min="1808" max="1808" width="14.28515625" style="63" customWidth="1"/>
    <col min="1809" max="1809" width="10.85546875" style="63" bestFit="1" customWidth="1"/>
    <col min="1810" max="2048" width="9.140625" style="63"/>
    <col min="2049" max="2049" width="4.7109375" style="63" customWidth="1"/>
    <col min="2050" max="2050" width="21.7109375" style="63" customWidth="1"/>
    <col min="2051" max="2051" width="0.7109375" style="63" customWidth="1"/>
    <col min="2052" max="2052" width="12.42578125" style="63" customWidth="1"/>
    <col min="2053" max="2053" width="4.5703125" style="63" customWidth="1"/>
    <col min="2054" max="2054" width="6.7109375" style="63" customWidth="1"/>
    <col min="2055" max="2055" width="3.7109375" style="63" customWidth="1"/>
    <col min="2056" max="2057" width="9.140625" style="63"/>
    <col min="2058" max="2058" width="3.7109375" style="63" customWidth="1"/>
    <col min="2059" max="2060" width="9.140625" style="63"/>
    <col min="2061" max="2061" width="10" style="63" bestFit="1" customWidth="1"/>
    <col min="2062" max="2062" width="9.140625" style="63"/>
    <col min="2063" max="2063" width="14.42578125" style="63" customWidth="1"/>
    <col min="2064" max="2064" width="14.28515625" style="63" customWidth="1"/>
    <col min="2065" max="2065" width="10.85546875" style="63" bestFit="1" customWidth="1"/>
    <col min="2066" max="2304" width="9.140625" style="63"/>
    <col min="2305" max="2305" width="4.7109375" style="63" customWidth="1"/>
    <col min="2306" max="2306" width="21.7109375" style="63" customWidth="1"/>
    <col min="2307" max="2307" width="0.7109375" style="63" customWidth="1"/>
    <col min="2308" max="2308" width="12.42578125" style="63" customWidth="1"/>
    <col min="2309" max="2309" width="4.5703125" style="63" customWidth="1"/>
    <col min="2310" max="2310" width="6.7109375" style="63" customWidth="1"/>
    <col min="2311" max="2311" width="3.7109375" style="63" customWidth="1"/>
    <col min="2312" max="2313" width="9.140625" style="63"/>
    <col min="2314" max="2314" width="3.7109375" style="63" customWidth="1"/>
    <col min="2315" max="2316" width="9.140625" style="63"/>
    <col min="2317" max="2317" width="10" style="63" bestFit="1" customWidth="1"/>
    <col min="2318" max="2318" width="9.140625" style="63"/>
    <col min="2319" max="2319" width="14.42578125" style="63" customWidth="1"/>
    <col min="2320" max="2320" width="14.28515625" style="63" customWidth="1"/>
    <col min="2321" max="2321" width="10.85546875" style="63" bestFit="1" customWidth="1"/>
    <col min="2322" max="2560" width="9.140625" style="63"/>
    <col min="2561" max="2561" width="4.7109375" style="63" customWidth="1"/>
    <col min="2562" max="2562" width="21.7109375" style="63" customWidth="1"/>
    <col min="2563" max="2563" width="0.7109375" style="63" customWidth="1"/>
    <col min="2564" max="2564" width="12.42578125" style="63" customWidth="1"/>
    <col min="2565" max="2565" width="4.5703125" style="63" customWidth="1"/>
    <col min="2566" max="2566" width="6.7109375" style="63" customWidth="1"/>
    <col min="2567" max="2567" width="3.7109375" style="63" customWidth="1"/>
    <col min="2568" max="2569" width="9.140625" style="63"/>
    <col min="2570" max="2570" width="3.7109375" style="63" customWidth="1"/>
    <col min="2571" max="2572" width="9.140625" style="63"/>
    <col min="2573" max="2573" width="10" style="63" bestFit="1" customWidth="1"/>
    <col min="2574" max="2574" width="9.140625" style="63"/>
    <col min="2575" max="2575" width="14.42578125" style="63" customWidth="1"/>
    <col min="2576" max="2576" width="14.28515625" style="63" customWidth="1"/>
    <col min="2577" max="2577" width="10.85546875" style="63" bestFit="1" customWidth="1"/>
    <col min="2578" max="2816" width="9.140625" style="63"/>
    <col min="2817" max="2817" width="4.7109375" style="63" customWidth="1"/>
    <col min="2818" max="2818" width="21.7109375" style="63" customWidth="1"/>
    <col min="2819" max="2819" width="0.7109375" style="63" customWidth="1"/>
    <col min="2820" max="2820" width="12.42578125" style="63" customWidth="1"/>
    <col min="2821" max="2821" width="4.5703125" style="63" customWidth="1"/>
    <col min="2822" max="2822" width="6.7109375" style="63" customWidth="1"/>
    <col min="2823" max="2823" width="3.7109375" style="63" customWidth="1"/>
    <col min="2824" max="2825" width="9.140625" style="63"/>
    <col min="2826" max="2826" width="3.7109375" style="63" customWidth="1"/>
    <col min="2827" max="2828" width="9.140625" style="63"/>
    <col min="2829" max="2829" width="10" style="63" bestFit="1" customWidth="1"/>
    <col min="2830" max="2830" width="9.140625" style="63"/>
    <col min="2831" max="2831" width="14.42578125" style="63" customWidth="1"/>
    <col min="2832" max="2832" width="14.28515625" style="63" customWidth="1"/>
    <col min="2833" max="2833" width="10.85546875" style="63" bestFit="1" customWidth="1"/>
    <col min="2834" max="3072" width="9.140625" style="63"/>
    <col min="3073" max="3073" width="4.7109375" style="63" customWidth="1"/>
    <col min="3074" max="3074" width="21.7109375" style="63" customWidth="1"/>
    <col min="3075" max="3075" width="0.7109375" style="63" customWidth="1"/>
    <col min="3076" max="3076" width="12.42578125" style="63" customWidth="1"/>
    <col min="3077" max="3077" width="4.5703125" style="63" customWidth="1"/>
    <col min="3078" max="3078" width="6.7109375" style="63" customWidth="1"/>
    <col min="3079" max="3079" width="3.7109375" style="63" customWidth="1"/>
    <col min="3080" max="3081" width="9.140625" style="63"/>
    <col min="3082" max="3082" width="3.7109375" style="63" customWidth="1"/>
    <col min="3083" max="3084" width="9.140625" style="63"/>
    <col min="3085" max="3085" width="10" style="63" bestFit="1" customWidth="1"/>
    <col min="3086" max="3086" width="9.140625" style="63"/>
    <col min="3087" max="3087" width="14.42578125" style="63" customWidth="1"/>
    <col min="3088" max="3088" width="14.28515625" style="63" customWidth="1"/>
    <col min="3089" max="3089" width="10.85546875" style="63" bestFit="1" customWidth="1"/>
    <col min="3090" max="3328" width="9.140625" style="63"/>
    <col min="3329" max="3329" width="4.7109375" style="63" customWidth="1"/>
    <col min="3330" max="3330" width="21.7109375" style="63" customWidth="1"/>
    <col min="3331" max="3331" width="0.7109375" style="63" customWidth="1"/>
    <col min="3332" max="3332" width="12.42578125" style="63" customWidth="1"/>
    <col min="3333" max="3333" width="4.5703125" style="63" customWidth="1"/>
    <col min="3334" max="3334" width="6.7109375" style="63" customWidth="1"/>
    <col min="3335" max="3335" width="3.7109375" style="63" customWidth="1"/>
    <col min="3336" max="3337" width="9.140625" style="63"/>
    <col min="3338" max="3338" width="3.7109375" style="63" customWidth="1"/>
    <col min="3339" max="3340" width="9.140625" style="63"/>
    <col min="3341" max="3341" width="10" style="63" bestFit="1" customWidth="1"/>
    <col min="3342" max="3342" width="9.140625" style="63"/>
    <col min="3343" max="3343" width="14.42578125" style="63" customWidth="1"/>
    <col min="3344" max="3344" width="14.28515625" style="63" customWidth="1"/>
    <col min="3345" max="3345" width="10.85546875" style="63" bestFit="1" customWidth="1"/>
    <col min="3346" max="3584" width="9.140625" style="63"/>
    <col min="3585" max="3585" width="4.7109375" style="63" customWidth="1"/>
    <col min="3586" max="3586" width="21.7109375" style="63" customWidth="1"/>
    <col min="3587" max="3587" width="0.7109375" style="63" customWidth="1"/>
    <col min="3588" max="3588" width="12.42578125" style="63" customWidth="1"/>
    <col min="3589" max="3589" width="4.5703125" style="63" customWidth="1"/>
    <col min="3590" max="3590" width="6.7109375" style="63" customWidth="1"/>
    <col min="3591" max="3591" width="3.7109375" style="63" customWidth="1"/>
    <col min="3592" max="3593" width="9.140625" style="63"/>
    <col min="3594" max="3594" width="3.7109375" style="63" customWidth="1"/>
    <col min="3595" max="3596" width="9.140625" style="63"/>
    <col min="3597" max="3597" width="10" style="63" bestFit="1" customWidth="1"/>
    <col min="3598" max="3598" width="9.140625" style="63"/>
    <col min="3599" max="3599" width="14.42578125" style="63" customWidth="1"/>
    <col min="3600" max="3600" width="14.28515625" style="63" customWidth="1"/>
    <col min="3601" max="3601" width="10.85546875" style="63" bestFit="1" customWidth="1"/>
    <col min="3602" max="3840" width="9.140625" style="63"/>
    <col min="3841" max="3841" width="4.7109375" style="63" customWidth="1"/>
    <col min="3842" max="3842" width="21.7109375" style="63" customWidth="1"/>
    <col min="3843" max="3843" width="0.7109375" style="63" customWidth="1"/>
    <col min="3844" max="3844" width="12.42578125" style="63" customWidth="1"/>
    <col min="3845" max="3845" width="4.5703125" style="63" customWidth="1"/>
    <col min="3846" max="3846" width="6.7109375" style="63" customWidth="1"/>
    <col min="3847" max="3847" width="3.7109375" style="63" customWidth="1"/>
    <col min="3848" max="3849" width="9.140625" style="63"/>
    <col min="3850" max="3850" width="3.7109375" style="63" customWidth="1"/>
    <col min="3851" max="3852" width="9.140625" style="63"/>
    <col min="3853" max="3853" width="10" style="63" bestFit="1" customWidth="1"/>
    <col min="3854" max="3854" width="9.140625" style="63"/>
    <col min="3855" max="3855" width="14.42578125" style="63" customWidth="1"/>
    <col min="3856" max="3856" width="14.28515625" style="63" customWidth="1"/>
    <col min="3857" max="3857" width="10.85546875" style="63" bestFit="1" customWidth="1"/>
    <col min="3858" max="4096" width="9.140625" style="63"/>
    <col min="4097" max="4097" width="4.7109375" style="63" customWidth="1"/>
    <col min="4098" max="4098" width="21.7109375" style="63" customWidth="1"/>
    <col min="4099" max="4099" width="0.7109375" style="63" customWidth="1"/>
    <col min="4100" max="4100" width="12.42578125" style="63" customWidth="1"/>
    <col min="4101" max="4101" width="4.5703125" style="63" customWidth="1"/>
    <col min="4102" max="4102" width="6.7109375" style="63" customWidth="1"/>
    <col min="4103" max="4103" width="3.7109375" style="63" customWidth="1"/>
    <col min="4104" max="4105" width="9.140625" style="63"/>
    <col min="4106" max="4106" width="3.7109375" style="63" customWidth="1"/>
    <col min="4107" max="4108" width="9.140625" style="63"/>
    <col min="4109" max="4109" width="10" style="63" bestFit="1" customWidth="1"/>
    <col min="4110" max="4110" width="9.140625" style="63"/>
    <col min="4111" max="4111" width="14.42578125" style="63" customWidth="1"/>
    <col min="4112" max="4112" width="14.28515625" style="63" customWidth="1"/>
    <col min="4113" max="4113" width="10.85546875" style="63" bestFit="1" customWidth="1"/>
    <col min="4114" max="4352" width="9.140625" style="63"/>
    <col min="4353" max="4353" width="4.7109375" style="63" customWidth="1"/>
    <col min="4354" max="4354" width="21.7109375" style="63" customWidth="1"/>
    <col min="4355" max="4355" width="0.7109375" style="63" customWidth="1"/>
    <col min="4356" max="4356" width="12.42578125" style="63" customWidth="1"/>
    <col min="4357" max="4357" width="4.5703125" style="63" customWidth="1"/>
    <col min="4358" max="4358" width="6.7109375" style="63" customWidth="1"/>
    <col min="4359" max="4359" width="3.7109375" style="63" customWidth="1"/>
    <col min="4360" max="4361" width="9.140625" style="63"/>
    <col min="4362" max="4362" width="3.7109375" style="63" customWidth="1"/>
    <col min="4363" max="4364" width="9.140625" style="63"/>
    <col min="4365" max="4365" width="10" style="63" bestFit="1" customWidth="1"/>
    <col min="4366" max="4366" width="9.140625" style="63"/>
    <col min="4367" max="4367" width="14.42578125" style="63" customWidth="1"/>
    <col min="4368" max="4368" width="14.28515625" style="63" customWidth="1"/>
    <col min="4369" max="4369" width="10.85546875" style="63" bestFit="1" customWidth="1"/>
    <col min="4370" max="4608" width="9.140625" style="63"/>
    <col min="4609" max="4609" width="4.7109375" style="63" customWidth="1"/>
    <col min="4610" max="4610" width="21.7109375" style="63" customWidth="1"/>
    <col min="4611" max="4611" width="0.7109375" style="63" customWidth="1"/>
    <col min="4612" max="4612" width="12.42578125" style="63" customWidth="1"/>
    <col min="4613" max="4613" width="4.5703125" style="63" customWidth="1"/>
    <col min="4614" max="4614" width="6.7109375" style="63" customWidth="1"/>
    <col min="4615" max="4615" width="3.7109375" style="63" customWidth="1"/>
    <col min="4616" max="4617" width="9.140625" style="63"/>
    <col min="4618" max="4618" width="3.7109375" style="63" customWidth="1"/>
    <col min="4619" max="4620" width="9.140625" style="63"/>
    <col min="4621" max="4621" width="10" style="63" bestFit="1" customWidth="1"/>
    <col min="4622" max="4622" width="9.140625" style="63"/>
    <col min="4623" max="4623" width="14.42578125" style="63" customWidth="1"/>
    <col min="4624" max="4624" width="14.28515625" style="63" customWidth="1"/>
    <col min="4625" max="4625" width="10.85546875" style="63" bestFit="1" customWidth="1"/>
    <col min="4626" max="4864" width="9.140625" style="63"/>
    <col min="4865" max="4865" width="4.7109375" style="63" customWidth="1"/>
    <col min="4866" max="4866" width="21.7109375" style="63" customWidth="1"/>
    <col min="4867" max="4867" width="0.7109375" style="63" customWidth="1"/>
    <col min="4868" max="4868" width="12.42578125" style="63" customWidth="1"/>
    <col min="4869" max="4869" width="4.5703125" style="63" customWidth="1"/>
    <col min="4870" max="4870" width="6.7109375" style="63" customWidth="1"/>
    <col min="4871" max="4871" width="3.7109375" style="63" customWidth="1"/>
    <col min="4872" max="4873" width="9.140625" style="63"/>
    <col min="4874" max="4874" width="3.7109375" style="63" customWidth="1"/>
    <col min="4875" max="4876" width="9.140625" style="63"/>
    <col min="4877" max="4877" width="10" style="63" bestFit="1" customWidth="1"/>
    <col min="4878" max="4878" width="9.140625" style="63"/>
    <col min="4879" max="4879" width="14.42578125" style="63" customWidth="1"/>
    <col min="4880" max="4880" width="14.28515625" style="63" customWidth="1"/>
    <col min="4881" max="4881" width="10.85546875" style="63" bestFit="1" customWidth="1"/>
    <col min="4882" max="5120" width="9.140625" style="63"/>
    <col min="5121" max="5121" width="4.7109375" style="63" customWidth="1"/>
    <col min="5122" max="5122" width="21.7109375" style="63" customWidth="1"/>
    <col min="5123" max="5123" width="0.7109375" style="63" customWidth="1"/>
    <col min="5124" max="5124" width="12.42578125" style="63" customWidth="1"/>
    <col min="5125" max="5125" width="4.5703125" style="63" customWidth="1"/>
    <col min="5126" max="5126" width="6.7109375" style="63" customWidth="1"/>
    <col min="5127" max="5127" width="3.7109375" style="63" customWidth="1"/>
    <col min="5128" max="5129" width="9.140625" style="63"/>
    <col min="5130" max="5130" width="3.7109375" style="63" customWidth="1"/>
    <col min="5131" max="5132" width="9.140625" style="63"/>
    <col min="5133" max="5133" width="10" style="63" bestFit="1" customWidth="1"/>
    <col min="5134" max="5134" width="9.140625" style="63"/>
    <col min="5135" max="5135" width="14.42578125" style="63" customWidth="1"/>
    <col min="5136" max="5136" width="14.28515625" style="63" customWidth="1"/>
    <col min="5137" max="5137" width="10.85546875" style="63" bestFit="1" customWidth="1"/>
    <col min="5138" max="5376" width="9.140625" style="63"/>
    <col min="5377" max="5377" width="4.7109375" style="63" customWidth="1"/>
    <col min="5378" max="5378" width="21.7109375" style="63" customWidth="1"/>
    <col min="5379" max="5379" width="0.7109375" style="63" customWidth="1"/>
    <col min="5380" max="5380" width="12.42578125" style="63" customWidth="1"/>
    <col min="5381" max="5381" width="4.5703125" style="63" customWidth="1"/>
    <col min="5382" max="5382" width="6.7109375" style="63" customWidth="1"/>
    <col min="5383" max="5383" width="3.7109375" style="63" customWidth="1"/>
    <col min="5384" max="5385" width="9.140625" style="63"/>
    <col min="5386" max="5386" width="3.7109375" style="63" customWidth="1"/>
    <col min="5387" max="5388" width="9.140625" style="63"/>
    <col min="5389" max="5389" width="10" style="63" bestFit="1" customWidth="1"/>
    <col min="5390" max="5390" width="9.140625" style="63"/>
    <col min="5391" max="5391" width="14.42578125" style="63" customWidth="1"/>
    <col min="5392" max="5392" width="14.28515625" style="63" customWidth="1"/>
    <col min="5393" max="5393" width="10.85546875" style="63" bestFit="1" customWidth="1"/>
    <col min="5394" max="5632" width="9.140625" style="63"/>
    <col min="5633" max="5633" width="4.7109375" style="63" customWidth="1"/>
    <col min="5634" max="5634" width="21.7109375" style="63" customWidth="1"/>
    <col min="5635" max="5635" width="0.7109375" style="63" customWidth="1"/>
    <col min="5636" max="5636" width="12.42578125" style="63" customWidth="1"/>
    <col min="5637" max="5637" width="4.5703125" style="63" customWidth="1"/>
    <col min="5638" max="5638" width="6.7109375" style="63" customWidth="1"/>
    <col min="5639" max="5639" width="3.7109375" style="63" customWidth="1"/>
    <col min="5640" max="5641" width="9.140625" style="63"/>
    <col min="5642" max="5642" width="3.7109375" style="63" customWidth="1"/>
    <col min="5643" max="5644" width="9.140625" style="63"/>
    <col min="5645" max="5645" width="10" style="63" bestFit="1" customWidth="1"/>
    <col min="5646" max="5646" width="9.140625" style="63"/>
    <col min="5647" max="5647" width="14.42578125" style="63" customWidth="1"/>
    <col min="5648" max="5648" width="14.28515625" style="63" customWidth="1"/>
    <col min="5649" max="5649" width="10.85546875" style="63" bestFit="1" customWidth="1"/>
    <col min="5650" max="5888" width="9.140625" style="63"/>
    <col min="5889" max="5889" width="4.7109375" style="63" customWidth="1"/>
    <col min="5890" max="5890" width="21.7109375" style="63" customWidth="1"/>
    <col min="5891" max="5891" width="0.7109375" style="63" customWidth="1"/>
    <col min="5892" max="5892" width="12.42578125" style="63" customWidth="1"/>
    <col min="5893" max="5893" width="4.5703125" style="63" customWidth="1"/>
    <col min="5894" max="5894" width="6.7109375" style="63" customWidth="1"/>
    <col min="5895" max="5895" width="3.7109375" style="63" customWidth="1"/>
    <col min="5896" max="5897" width="9.140625" style="63"/>
    <col min="5898" max="5898" width="3.7109375" style="63" customWidth="1"/>
    <col min="5899" max="5900" width="9.140625" style="63"/>
    <col min="5901" max="5901" width="10" style="63" bestFit="1" customWidth="1"/>
    <col min="5902" max="5902" width="9.140625" style="63"/>
    <col min="5903" max="5903" width="14.42578125" style="63" customWidth="1"/>
    <col min="5904" max="5904" width="14.28515625" style="63" customWidth="1"/>
    <col min="5905" max="5905" width="10.85546875" style="63" bestFit="1" customWidth="1"/>
    <col min="5906" max="6144" width="9.140625" style="63"/>
    <col min="6145" max="6145" width="4.7109375" style="63" customWidth="1"/>
    <col min="6146" max="6146" width="21.7109375" style="63" customWidth="1"/>
    <col min="6147" max="6147" width="0.7109375" style="63" customWidth="1"/>
    <col min="6148" max="6148" width="12.42578125" style="63" customWidth="1"/>
    <col min="6149" max="6149" width="4.5703125" style="63" customWidth="1"/>
    <col min="6150" max="6150" width="6.7109375" style="63" customWidth="1"/>
    <col min="6151" max="6151" width="3.7109375" style="63" customWidth="1"/>
    <col min="6152" max="6153" width="9.140625" style="63"/>
    <col min="6154" max="6154" width="3.7109375" style="63" customWidth="1"/>
    <col min="6155" max="6156" width="9.140625" style="63"/>
    <col min="6157" max="6157" width="10" style="63" bestFit="1" customWidth="1"/>
    <col min="6158" max="6158" width="9.140625" style="63"/>
    <col min="6159" max="6159" width="14.42578125" style="63" customWidth="1"/>
    <col min="6160" max="6160" width="14.28515625" style="63" customWidth="1"/>
    <col min="6161" max="6161" width="10.85546875" style="63" bestFit="1" customWidth="1"/>
    <col min="6162" max="6400" width="9.140625" style="63"/>
    <col min="6401" max="6401" width="4.7109375" style="63" customWidth="1"/>
    <col min="6402" max="6402" width="21.7109375" style="63" customWidth="1"/>
    <col min="6403" max="6403" width="0.7109375" style="63" customWidth="1"/>
    <col min="6404" max="6404" width="12.42578125" style="63" customWidth="1"/>
    <col min="6405" max="6405" width="4.5703125" style="63" customWidth="1"/>
    <col min="6406" max="6406" width="6.7109375" style="63" customWidth="1"/>
    <col min="6407" max="6407" width="3.7109375" style="63" customWidth="1"/>
    <col min="6408" max="6409" width="9.140625" style="63"/>
    <col min="6410" max="6410" width="3.7109375" style="63" customWidth="1"/>
    <col min="6411" max="6412" width="9.140625" style="63"/>
    <col min="6413" max="6413" width="10" style="63" bestFit="1" customWidth="1"/>
    <col min="6414" max="6414" width="9.140625" style="63"/>
    <col min="6415" max="6415" width="14.42578125" style="63" customWidth="1"/>
    <col min="6416" max="6416" width="14.28515625" style="63" customWidth="1"/>
    <col min="6417" max="6417" width="10.85546875" style="63" bestFit="1" customWidth="1"/>
    <col min="6418" max="6656" width="9.140625" style="63"/>
    <col min="6657" max="6657" width="4.7109375" style="63" customWidth="1"/>
    <col min="6658" max="6658" width="21.7109375" style="63" customWidth="1"/>
    <col min="6659" max="6659" width="0.7109375" style="63" customWidth="1"/>
    <col min="6660" max="6660" width="12.42578125" style="63" customWidth="1"/>
    <col min="6661" max="6661" width="4.5703125" style="63" customWidth="1"/>
    <col min="6662" max="6662" width="6.7109375" style="63" customWidth="1"/>
    <col min="6663" max="6663" width="3.7109375" style="63" customWidth="1"/>
    <col min="6664" max="6665" width="9.140625" style="63"/>
    <col min="6666" max="6666" width="3.7109375" style="63" customWidth="1"/>
    <col min="6667" max="6668" width="9.140625" style="63"/>
    <col min="6669" max="6669" width="10" style="63" bestFit="1" customWidth="1"/>
    <col min="6670" max="6670" width="9.140625" style="63"/>
    <col min="6671" max="6671" width="14.42578125" style="63" customWidth="1"/>
    <col min="6672" max="6672" width="14.28515625" style="63" customWidth="1"/>
    <col min="6673" max="6673" width="10.85546875" style="63" bestFit="1" customWidth="1"/>
    <col min="6674" max="6912" width="9.140625" style="63"/>
    <col min="6913" max="6913" width="4.7109375" style="63" customWidth="1"/>
    <col min="6914" max="6914" width="21.7109375" style="63" customWidth="1"/>
    <col min="6915" max="6915" width="0.7109375" style="63" customWidth="1"/>
    <col min="6916" max="6916" width="12.42578125" style="63" customWidth="1"/>
    <col min="6917" max="6917" width="4.5703125" style="63" customWidth="1"/>
    <col min="6918" max="6918" width="6.7109375" style="63" customWidth="1"/>
    <col min="6919" max="6919" width="3.7109375" style="63" customWidth="1"/>
    <col min="6920" max="6921" width="9.140625" style="63"/>
    <col min="6922" max="6922" width="3.7109375" style="63" customWidth="1"/>
    <col min="6923" max="6924" width="9.140625" style="63"/>
    <col min="6925" max="6925" width="10" style="63" bestFit="1" customWidth="1"/>
    <col min="6926" max="6926" width="9.140625" style="63"/>
    <col min="6927" max="6927" width="14.42578125" style="63" customWidth="1"/>
    <col min="6928" max="6928" width="14.28515625" style="63" customWidth="1"/>
    <col min="6929" max="6929" width="10.85546875" style="63" bestFit="1" customWidth="1"/>
    <col min="6930" max="7168" width="9.140625" style="63"/>
    <col min="7169" max="7169" width="4.7109375" style="63" customWidth="1"/>
    <col min="7170" max="7170" width="21.7109375" style="63" customWidth="1"/>
    <col min="7171" max="7171" width="0.7109375" style="63" customWidth="1"/>
    <col min="7172" max="7172" width="12.42578125" style="63" customWidth="1"/>
    <col min="7173" max="7173" width="4.5703125" style="63" customWidth="1"/>
    <col min="7174" max="7174" width="6.7109375" style="63" customWidth="1"/>
    <col min="7175" max="7175" width="3.7109375" style="63" customWidth="1"/>
    <col min="7176" max="7177" width="9.140625" style="63"/>
    <col min="7178" max="7178" width="3.7109375" style="63" customWidth="1"/>
    <col min="7179" max="7180" width="9.140625" style="63"/>
    <col min="7181" max="7181" width="10" style="63" bestFit="1" customWidth="1"/>
    <col min="7182" max="7182" width="9.140625" style="63"/>
    <col min="7183" max="7183" width="14.42578125" style="63" customWidth="1"/>
    <col min="7184" max="7184" width="14.28515625" style="63" customWidth="1"/>
    <col min="7185" max="7185" width="10.85546875" style="63" bestFit="1" customWidth="1"/>
    <col min="7186" max="7424" width="9.140625" style="63"/>
    <col min="7425" max="7425" width="4.7109375" style="63" customWidth="1"/>
    <col min="7426" max="7426" width="21.7109375" style="63" customWidth="1"/>
    <col min="7427" max="7427" width="0.7109375" style="63" customWidth="1"/>
    <col min="7428" max="7428" width="12.42578125" style="63" customWidth="1"/>
    <col min="7429" max="7429" width="4.5703125" style="63" customWidth="1"/>
    <col min="7430" max="7430" width="6.7109375" style="63" customWidth="1"/>
    <col min="7431" max="7431" width="3.7109375" style="63" customWidth="1"/>
    <col min="7432" max="7433" width="9.140625" style="63"/>
    <col min="7434" max="7434" width="3.7109375" style="63" customWidth="1"/>
    <col min="7435" max="7436" width="9.140625" style="63"/>
    <col min="7437" max="7437" width="10" style="63" bestFit="1" customWidth="1"/>
    <col min="7438" max="7438" width="9.140625" style="63"/>
    <col min="7439" max="7439" width="14.42578125" style="63" customWidth="1"/>
    <col min="7440" max="7440" width="14.28515625" style="63" customWidth="1"/>
    <col min="7441" max="7441" width="10.85546875" style="63" bestFit="1" customWidth="1"/>
    <col min="7442" max="7680" width="9.140625" style="63"/>
    <col min="7681" max="7681" width="4.7109375" style="63" customWidth="1"/>
    <col min="7682" max="7682" width="21.7109375" style="63" customWidth="1"/>
    <col min="7683" max="7683" width="0.7109375" style="63" customWidth="1"/>
    <col min="7684" max="7684" width="12.42578125" style="63" customWidth="1"/>
    <col min="7685" max="7685" width="4.5703125" style="63" customWidth="1"/>
    <col min="7686" max="7686" width="6.7109375" style="63" customWidth="1"/>
    <col min="7687" max="7687" width="3.7109375" style="63" customWidth="1"/>
    <col min="7688" max="7689" width="9.140625" style="63"/>
    <col min="7690" max="7690" width="3.7109375" style="63" customWidth="1"/>
    <col min="7691" max="7692" width="9.140625" style="63"/>
    <col min="7693" max="7693" width="10" style="63" bestFit="1" customWidth="1"/>
    <col min="7694" max="7694" width="9.140625" style="63"/>
    <col min="7695" max="7695" width="14.42578125" style="63" customWidth="1"/>
    <col min="7696" max="7696" width="14.28515625" style="63" customWidth="1"/>
    <col min="7697" max="7697" width="10.85546875" style="63" bestFit="1" customWidth="1"/>
    <col min="7698" max="7936" width="9.140625" style="63"/>
    <col min="7937" max="7937" width="4.7109375" style="63" customWidth="1"/>
    <col min="7938" max="7938" width="21.7109375" style="63" customWidth="1"/>
    <col min="7939" max="7939" width="0.7109375" style="63" customWidth="1"/>
    <col min="7940" max="7940" width="12.42578125" style="63" customWidth="1"/>
    <col min="7941" max="7941" width="4.5703125" style="63" customWidth="1"/>
    <col min="7942" max="7942" width="6.7109375" style="63" customWidth="1"/>
    <col min="7943" max="7943" width="3.7109375" style="63" customWidth="1"/>
    <col min="7944" max="7945" width="9.140625" style="63"/>
    <col min="7946" max="7946" width="3.7109375" style="63" customWidth="1"/>
    <col min="7947" max="7948" width="9.140625" style="63"/>
    <col min="7949" max="7949" width="10" style="63" bestFit="1" customWidth="1"/>
    <col min="7950" max="7950" width="9.140625" style="63"/>
    <col min="7951" max="7951" width="14.42578125" style="63" customWidth="1"/>
    <col min="7952" max="7952" width="14.28515625" style="63" customWidth="1"/>
    <col min="7953" max="7953" width="10.85546875" style="63" bestFit="1" customWidth="1"/>
    <col min="7954" max="8192" width="9.140625" style="63"/>
    <col min="8193" max="8193" width="4.7109375" style="63" customWidth="1"/>
    <col min="8194" max="8194" width="21.7109375" style="63" customWidth="1"/>
    <col min="8195" max="8195" width="0.7109375" style="63" customWidth="1"/>
    <col min="8196" max="8196" width="12.42578125" style="63" customWidth="1"/>
    <col min="8197" max="8197" width="4.5703125" style="63" customWidth="1"/>
    <col min="8198" max="8198" width="6.7109375" style="63" customWidth="1"/>
    <col min="8199" max="8199" width="3.7109375" style="63" customWidth="1"/>
    <col min="8200" max="8201" width="9.140625" style="63"/>
    <col min="8202" max="8202" width="3.7109375" style="63" customWidth="1"/>
    <col min="8203" max="8204" width="9.140625" style="63"/>
    <col min="8205" max="8205" width="10" style="63" bestFit="1" customWidth="1"/>
    <col min="8206" max="8206" width="9.140625" style="63"/>
    <col min="8207" max="8207" width="14.42578125" style="63" customWidth="1"/>
    <col min="8208" max="8208" width="14.28515625" style="63" customWidth="1"/>
    <col min="8209" max="8209" width="10.85546875" style="63" bestFit="1" customWidth="1"/>
    <col min="8210" max="8448" width="9.140625" style="63"/>
    <col min="8449" max="8449" width="4.7109375" style="63" customWidth="1"/>
    <col min="8450" max="8450" width="21.7109375" style="63" customWidth="1"/>
    <col min="8451" max="8451" width="0.7109375" style="63" customWidth="1"/>
    <col min="8452" max="8452" width="12.42578125" style="63" customWidth="1"/>
    <col min="8453" max="8453" width="4.5703125" style="63" customWidth="1"/>
    <col min="8454" max="8454" width="6.7109375" style="63" customWidth="1"/>
    <col min="8455" max="8455" width="3.7109375" style="63" customWidth="1"/>
    <col min="8456" max="8457" width="9.140625" style="63"/>
    <col min="8458" max="8458" width="3.7109375" style="63" customWidth="1"/>
    <col min="8459" max="8460" width="9.140625" style="63"/>
    <col min="8461" max="8461" width="10" style="63" bestFit="1" customWidth="1"/>
    <col min="8462" max="8462" width="9.140625" style="63"/>
    <col min="8463" max="8463" width="14.42578125" style="63" customWidth="1"/>
    <col min="8464" max="8464" width="14.28515625" style="63" customWidth="1"/>
    <col min="8465" max="8465" width="10.85546875" style="63" bestFit="1" customWidth="1"/>
    <col min="8466" max="8704" width="9.140625" style="63"/>
    <col min="8705" max="8705" width="4.7109375" style="63" customWidth="1"/>
    <col min="8706" max="8706" width="21.7109375" style="63" customWidth="1"/>
    <col min="8707" max="8707" width="0.7109375" style="63" customWidth="1"/>
    <col min="8708" max="8708" width="12.42578125" style="63" customWidth="1"/>
    <col min="8709" max="8709" width="4.5703125" style="63" customWidth="1"/>
    <col min="8710" max="8710" width="6.7109375" style="63" customWidth="1"/>
    <col min="8711" max="8711" width="3.7109375" style="63" customWidth="1"/>
    <col min="8712" max="8713" width="9.140625" style="63"/>
    <col min="8714" max="8714" width="3.7109375" style="63" customWidth="1"/>
    <col min="8715" max="8716" width="9.140625" style="63"/>
    <col min="8717" max="8717" width="10" style="63" bestFit="1" customWidth="1"/>
    <col min="8718" max="8718" width="9.140625" style="63"/>
    <col min="8719" max="8719" width="14.42578125" style="63" customWidth="1"/>
    <col min="8720" max="8720" width="14.28515625" style="63" customWidth="1"/>
    <col min="8721" max="8721" width="10.85546875" style="63" bestFit="1" customWidth="1"/>
    <col min="8722" max="8960" width="9.140625" style="63"/>
    <col min="8961" max="8961" width="4.7109375" style="63" customWidth="1"/>
    <col min="8962" max="8962" width="21.7109375" style="63" customWidth="1"/>
    <col min="8963" max="8963" width="0.7109375" style="63" customWidth="1"/>
    <col min="8964" max="8964" width="12.42578125" style="63" customWidth="1"/>
    <col min="8965" max="8965" width="4.5703125" style="63" customWidth="1"/>
    <col min="8966" max="8966" width="6.7109375" style="63" customWidth="1"/>
    <col min="8967" max="8967" width="3.7109375" style="63" customWidth="1"/>
    <col min="8968" max="8969" width="9.140625" style="63"/>
    <col min="8970" max="8970" width="3.7109375" style="63" customWidth="1"/>
    <col min="8971" max="8972" width="9.140625" style="63"/>
    <col min="8973" max="8973" width="10" style="63" bestFit="1" customWidth="1"/>
    <col min="8974" max="8974" width="9.140625" style="63"/>
    <col min="8975" max="8975" width="14.42578125" style="63" customWidth="1"/>
    <col min="8976" max="8976" width="14.28515625" style="63" customWidth="1"/>
    <col min="8977" max="8977" width="10.85546875" style="63" bestFit="1" customWidth="1"/>
    <col min="8978" max="9216" width="9.140625" style="63"/>
    <col min="9217" max="9217" width="4.7109375" style="63" customWidth="1"/>
    <col min="9218" max="9218" width="21.7109375" style="63" customWidth="1"/>
    <col min="9219" max="9219" width="0.7109375" style="63" customWidth="1"/>
    <col min="9220" max="9220" width="12.42578125" style="63" customWidth="1"/>
    <col min="9221" max="9221" width="4.5703125" style="63" customWidth="1"/>
    <col min="9222" max="9222" width="6.7109375" style="63" customWidth="1"/>
    <col min="9223" max="9223" width="3.7109375" style="63" customWidth="1"/>
    <col min="9224" max="9225" width="9.140625" style="63"/>
    <col min="9226" max="9226" width="3.7109375" style="63" customWidth="1"/>
    <col min="9227" max="9228" width="9.140625" style="63"/>
    <col min="9229" max="9229" width="10" style="63" bestFit="1" customWidth="1"/>
    <col min="9230" max="9230" width="9.140625" style="63"/>
    <col min="9231" max="9231" width="14.42578125" style="63" customWidth="1"/>
    <col min="9232" max="9232" width="14.28515625" style="63" customWidth="1"/>
    <col min="9233" max="9233" width="10.85546875" style="63" bestFit="1" customWidth="1"/>
    <col min="9234" max="9472" width="9.140625" style="63"/>
    <col min="9473" max="9473" width="4.7109375" style="63" customWidth="1"/>
    <col min="9474" max="9474" width="21.7109375" style="63" customWidth="1"/>
    <col min="9475" max="9475" width="0.7109375" style="63" customWidth="1"/>
    <col min="9476" max="9476" width="12.42578125" style="63" customWidth="1"/>
    <col min="9477" max="9477" width="4.5703125" style="63" customWidth="1"/>
    <col min="9478" max="9478" width="6.7109375" style="63" customWidth="1"/>
    <col min="9479" max="9479" width="3.7109375" style="63" customWidth="1"/>
    <col min="9480" max="9481" width="9.140625" style="63"/>
    <col min="9482" max="9482" width="3.7109375" style="63" customWidth="1"/>
    <col min="9483" max="9484" width="9.140625" style="63"/>
    <col min="9485" max="9485" width="10" style="63" bestFit="1" customWidth="1"/>
    <col min="9486" max="9486" width="9.140625" style="63"/>
    <col min="9487" max="9487" width="14.42578125" style="63" customWidth="1"/>
    <col min="9488" max="9488" width="14.28515625" style="63" customWidth="1"/>
    <col min="9489" max="9489" width="10.85546875" style="63" bestFit="1" customWidth="1"/>
    <col min="9490" max="9728" width="9.140625" style="63"/>
    <col min="9729" max="9729" width="4.7109375" style="63" customWidth="1"/>
    <col min="9730" max="9730" width="21.7109375" style="63" customWidth="1"/>
    <col min="9731" max="9731" width="0.7109375" style="63" customWidth="1"/>
    <col min="9732" max="9732" width="12.42578125" style="63" customWidth="1"/>
    <col min="9733" max="9733" width="4.5703125" style="63" customWidth="1"/>
    <col min="9734" max="9734" width="6.7109375" style="63" customWidth="1"/>
    <col min="9735" max="9735" width="3.7109375" style="63" customWidth="1"/>
    <col min="9736" max="9737" width="9.140625" style="63"/>
    <col min="9738" max="9738" width="3.7109375" style="63" customWidth="1"/>
    <col min="9739" max="9740" width="9.140625" style="63"/>
    <col min="9741" max="9741" width="10" style="63" bestFit="1" customWidth="1"/>
    <col min="9742" max="9742" width="9.140625" style="63"/>
    <col min="9743" max="9743" width="14.42578125" style="63" customWidth="1"/>
    <col min="9744" max="9744" width="14.28515625" style="63" customWidth="1"/>
    <col min="9745" max="9745" width="10.85546875" style="63" bestFit="1" customWidth="1"/>
    <col min="9746" max="9984" width="9.140625" style="63"/>
    <col min="9985" max="9985" width="4.7109375" style="63" customWidth="1"/>
    <col min="9986" max="9986" width="21.7109375" style="63" customWidth="1"/>
    <col min="9987" max="9987" width="0.7109375" style="63" customWidth="1"/>
    <col min="9988" max="9988" width="12.42578125" style="63" customWidth="1"/>
    <col min="9989" max="9989" width="4.5703125" style="63" customWidth="1"/>
    <col min="9990" max="9990" width="6.7109375" style="63" customWidth="1"/>
    <col min="9991" max="9991" width="3.7109375" style="63" customWidth="1"/>
    <col min="9992" max="9993" width="9.140625" style="63"/>
    <col min="9994" max="9994" width="3.7109375" style="63" customWidth="1"/>
    <col min="9995" max="9996" width="9.140625" style="63"/>
    <col min="9997" max="9997" width="10" style="63" bestFit="1" customWidth="1"/>
    <col min="9998" max="9998" width="9.140625" style="63"/>
    <col min="9999" max="9999" width="14.42578125" style="63" customWidth="1"/>
    <col min="10000" max="10000" width="14.28515625" style="63" customWidth="1"/>
    <col min="10001" max="10001" width="10.85546875" style="63" bestFit="1" customWidth="1"/>
    <col min="10002" max="10240" width="9.140625" style="63"/>
    <col min="10241" max="10241" width="4.7109375" style="63" customWidth="1"/>
    <col min="10242" max="10242" width="21.7109375" style="63" customWidth="1"/>
    <col min="10243" max="10243" width="0.7109375" style="63" customWidth="1"/>
    <col min="10244" max="10244" width="12.42578125" style="63" customWidth="1"/>
    <col min="10245" max="10245" width="4.5703125" style="63" customWidth="1"/>
    <col min="10246" max="10246" width="6.7109375" style="63" customWidth="1"/>
    <col min="10247" max="10247" width="3.7109375" style="63" customWidth="1"/>
    <col min="10248" max="10249" width="9.140625" style="63"/>
    <col min="10250" max="10250" width="3.7109375" style="63" customWidth="1"/>
    <col min="10251" max="10252" width="9.140625" style="63"/>
    <col min="10253" max="10253" width="10" style="63" bestFit="1" customWidth="1"/>
    <col min="10254" max="10254" width="9.140625" style="63"/>
    <col min="10255" max="10255" width="14.42578125" style="63" customWidth="1"/>
    <col min="10256" max="10256" width="14.28515625" style="63" customWidth="1"/>
    <col min="10257" max="10257" width="10.85546875" style="63" bestFit="1" customWidth="1"/>
    <col min="10258" max="10496" width="9.140625" style="63"/>
    <col min="10497" max="10497" width="4.7109375" style="63" customWidth="1"/>
    <col min="10498" max="10498" width="21.7109375" style="63" customWidth="1"/>
    <col min="10499" max="10499" width="0.7109375" style="63" customWidth="1"/>
    <col min="10500" max="10500" width="12.42578125" style="63" customWidth="1"/>
    <col min="10501" max="10501" width="4.5703125" style="63" customWidth="1"/>
    <col min="10502" max="10502" width="6.7109375" style="63" customWidth="1"/>
    <col min="10503" max="10503" width="3.7109375" style="63" customWidth="1"/>
    <col min="10504" max="10505" width="9.140625" style="63"/>
    <col min="10506" max="10506" width="3.7109375" style="63" customWidth="1"/>
    <col min="10507" max="10508" width="9.140625" style="63"/>
    <col min="10509" max="10509" width="10" style="63" bestFit="1" customWidth="1"/>
    <col min="10510" max="10510" width="9.140625" style="63"/>
    <col min="10511" max="10511" width="14.42578125" style="63" customWidth="1"/>
    <col min="10512" max="10512" width="14.28515625" style="63" customWidth="1"/>
    <col min="10513" max="10513" width="10.85546875" style="63" bestFit="1" customWidth="1"/>
    <col min="10514" max="10752" width="9.140625" style="63"/>
    <col min="10753" max="10753" width="4.7109375" style="63" customWidth="1"/>
    <col min="10754" max="10754" width="21.7109375" style="63" customWidth="1"/>
    <col min="10755" max="10755" width="0.7109375" style="63" customWidth="1"/>
    <col min="10756" max="10756" width="12.42578125" style="63" customWidth="1"/>
    <col min="10757" max="10757" width="4.5703125" style="63" customWidth="1"/>
    <col min="10758" max="10758" width="6.7109375" style="63" customWidth="1"/>
    <col min="10759" max="10759" width="3.7109375" style="63" customWidth="1"/>
    <col min="10760" max="10761" width="9.140625" style="63"/>
    <col min="10762" max="10762" width="3.7109375" style="63" customWidth="1"/>
    <col min="10763" max="10764" width="9.140625" style="63"/>
    <col min="10765" max="10765" width="10" style="63" bestFit="1" customWidth="1"/>
    <col min="10766" max="10766" width="9.140625" style="63"/>
    <col min="10767" max="10767" width="14.42578125" style="63" customWidth="1"/>
    <col min="10768" max="10768" width="14.28515625" style="63" customWidth="1"/>
    <col min="10769" max="10769" width="10.85546875" style="63" bestFit="1" customWidth="1"/>
    <col min="10770" max="11008" width="9.140625" style="63"/>
    <col min="11009" max="11009" width="4.7109375" style="63" customWidth="1"/>
    <col min="11010" max="11010" width="21.7109375" style="63" customWidth="1"/>
    <col min="11011" max="11011" width="0.7109375" style="63" customWidth="1"/>
    <col min="11012" max="11012" width="12.42578125" style="63" customWidth="1"/>
    <col min="11013" max="11013" width="4.5703125" style="63" customWidth="1"/>
    <col min="11014" max="11014" width="6.7109375" style="63" customWidth="1"/>
    <col min="11015" max="11015" width="3.7109375" style="63" customWidth="1"/>
    <col min="11016" max="11017" width="9.140625" style="63"/>
    <col min="11018" max="11018" width="3.7109375" style="63" customWidth="1"/>
    <col min="11019" max="11020" width="9.140625" style="63"/>
    <col min="11021" max="11021" width="10" style="63" bestFit="1" customWidth="1"/>
    <col min="11022" max="11022" width="9.140625" style="63"/>
    <col min="11023" max="11023" width="14.42578125" style="63" customWidth="1"/>
    <col min="11024" max="11024" width="14.28515625" style="63" customWidth="1"/>
    <col min="11025" max="11025" width="10.85546875" style="63" bestFit="1" customWidth="1"/>
    <col min="11026" max="11264" width="9.140625" style="63"/>
    <col min="11265" max="11265" width="4.7109375" style="63" customWidth="1"/>
    <col min="11266" max="11266" width="21.7109375" style="63" customWidth="1"/>
    <col min="11267" max="11267" width="0.7109375" style="63" customWidth="1"/>
    <col min="11268" max="11268" width="12.42578125" style="63" customWidth="1"/>
    <col min="11269" max="11269" width="4.5703125" style="63" customWidth="1"/>
    <col min="11270" max="11270" width="6.7109375" style="63" customWidth="1"/>
    <col min="11271" max="11271" width="3.7109375" style="63" customWidth="1"/>
    <col min="11272" max="11273" width="9.140625" style="63"/>
    <col min="11274" max="11274" width="3.7109375" style="63" customWidth="1"/>
    <col min="11275" max="11276" width="9.140625" style="63"/>
    <col min="11277" max="11277" width="10" style="63" bestFit="1" customWidth="1"/>
    <col min="11278" max="11278" width="9.140625" style="63"/>
    <col min="11279" max="11279" width="14.42578125" style="63" customWidth="1"/>
    <col min="11280" max="11280" width="14.28515625" style="63" customWidth="1"/>
    <col min="11281" max="11281" width="10.85546875" style="63" bestFit="1" customWidth="1"/>
    <col min="11282" max="11520" width="9.140625" style="63"/>
    <col min="11521" max="11521" width="4.7109375" style="63" customWidth="1"/>
    <col min="11522" max="11522" width="21.7109375" style="63" customWidth="1"/>
    <col min="11523" max="11523" width="0.7109375" style="63" customWidth="1"/>
    <col min="11524" max="11524" width="12.42578125" style="63" customWidth="1"/>
    <col min="11525" max="11525" width="4.5703125" style="63" customWidth="1"/>
    <col min="11526" max="11526" width="6.7109375" style="63" customWidth="1"/>
    <col min="11527" max="11527" width="3.7109375" style="63" customWidth="1"/>
    <col min="11528" max="11529" width="9.140625" style="63"/>
    <col min="11530" max="11530" width="3.7109375" style="63" customWidth="1"/>
    <col min="11531" max="11532" width="9.140625" style="63"/>
    <col min="11533" max="11533" width="10" style="63" bestFit="1" customWidth="1"/>
    <col min="11534" max="11534" width="9.140625" style="63"/>
    <col min="11535" max="11535" width="14.42578125" style="63" customWidth="1"/>
    <col min="11536" max="11536" width="14.28515625" style="63" customWidth="1"/>
    <col min="11537" max="11537" width="10.85546875" style="63" bestFit="1" customWidth="1"/>
    <col min="11538" max="11776" width="9.140625" style="63"/>
    <col min="11777" max="11777" width="4.7109375" style="63" customWidth="1"/>
    <col min="11778" max="11778" width="21.7109375" style="63" customWidth="1"/>
    <col min="11779" max="11779" width="0.7109375" style="63" customWidth="1"/>
    <col min="11780" max="11780" width="12.42578125" style="63" customWidth="1"/>
    <col min="11781" max="11781" width="4.5703125" style="63" customWidth="1"/>
    <col min="11782" max="11782" width="6.7109375" style="63" customWidth="1"/>
    <col min="11783" max="11783" width="3.7109375" style="63" customWidth="1"/>
    <col min="11784" max="11785" width="9.140625" style="63"/>
    <col min="11786" max="11786" width="3.7109375" style="63" customWidth="1"/>
    <col min="11787" max="11788" width="9.140625" style="63"/>
    <col min="11789" max="11789" width="10" style="63" bestFit="1" customWidth="1"/>
    <col min="11790" max="11790" width="9.140625" style="63"/>
    <col min="11791" max="11791" width="14.42578125" style="63" customWidth="1"/>
    <col min="11792" max="11792" width="14.28515625" style="63" customWidth="1"/>
    <col min="11793" max="11793" width="10.85546875" style="63" bestFit="1" customWidth="1"/>
    <col min="11794" max="12032" width="9.140625" style="63"/>
    <col min="12033" max="12033" width="4.7109375" style="63" customWidth="1"/>
    <col min="12034" max="12034" width="21.7109375" style="63" customWidth="1"/>
    <col min="12035" max="12035" width="0.7109375" style="63" customWidth="1"/>
    <col min="12036" max="12036" width="12.42578125" style="63" customWidth="1"/>
    <col min="12037" max="12037" width="4.5703125" style="63" customWidth="1"/>
    <col min="12038" max="12038" width="6.7109375" style="63" customWidth="1"/>
    <col min="12039" max="12039" width="3.7109375" style="63" customWidth="1"/>
    <col min="12040" max="12041" width="9.140625" style="63"/>
    <col min="12042" max="12042" width="3.7109375" style="63" customWidth="1"/>
    <col min="12043" max="12044" width="9.140625" style="63"/>
    <col min="12045" max="12045" width="10" style="63" bestFit="1" customWidth="1"/>
    <col min="12046" max="12046" width="9.140625" style="63"/>
    <col min="12047" max="12047" width="14.42578125" style="63" customWidth="1"/>
    <col min="12048" max="12048" width="14.28515625" style="63" customWidth="1"/>
    <col min="12049" max="12049" width="10.85546875" style="63" bestFit="1" customWidth="1"/>
    <col min="12050" max="12288" width="9.140625" style="63"/>
    <col min="12289" max="12289" width="4.7109375" style="63" customWidth="1"/>
    <col min="12290" max="12290" width="21.7109375" style="63" customWidth="1"/>
    <col min="12291" max="12291" width="0.7109375" style="63" customWidth="1"/>
    <col min="12292" max="12292" width="12.42578125" style="63" customWidth="1"/>
    <col min="12293" max="12293" width="4.5703125" style="63" customWidth="1"/>
    <col min="12294" max="12294" width="6.7109375" style="63" customWidth="1"/>
    <col min="12295" max="12295" width="3.7109375" style="63" customWidth="1"/>
    <col min="12296" max="12297" width="9.140625" style="63"/>
    <col min="12298" max="12298" width="3.7109375" style="63" customWidth="1"/>
    <col min="12299" max="12300" width="9.140625" style="63"/>
    <col min="12301" max="12301" width="10" style="63" bestFit="1" customWidth="1"/>
    <col min="12302" max="12302" width="9.140625" style="63"/>
    <col min="12303" max="12303" width="14.42578125" style="63" customWidth="1"/>
    <col min="12304" max="12304" width="14.28515625" style="63" customWidth="1"/>
    <col min="12305" max="12305" width="10.85546875" style="63" bestFit="1" customWidth="1"/>
    <col min="12306" max="12544" width="9.140625" style="63"/>
    <col min="12545" max="12545" width="4.7109375" style="63" customWidth="1"/>
    <col min="12546" max="12546" width="21.7109375" style="63" customWidth="1"/>
    <col min="12547" max="12547" width="0.7109375" style="63" customWidth="1"/>
    <col min="12548" max="12548" width="12.42578125" style="63" customWidth="1"/>
    <col min="12549" max="12549" width="4.5703125" style="63" customWidth="1"/>
    <col min="12550" max="12550" width="6.7109375" style="63" customWidth="1"/>
    <col min="12551" max="12551" width="3.7109375" style="63" customWidth="1"/>
    <col min="12552" max="12553" width="9.140625" style="63"/>
    <col min="12554" max="12554" width="3.7109375" style="63" customWidth="1"/>
    <col min="12555" max="12556" width="9.140625" style="63"/>
    <col min="12557" max="12557" width="10" style="63" bestFit="1" customWidth="1"/>
    <col min="12558" max="12558" width="9.140625" style="63"/>
    <col min="12559" max="12559" width="14.42578125" style="63" customWidth="1"/>
    <col min="12560" max="12560" width="14.28515625" style="63" customWidth="1"/>
    <col min="12561" max="12561" width="10.85546875" style="63" bestFit="1" customWidth="1"/>
    <col min="12562" max="12800" width="9.140625" style="63"/>
    <col min="12801" max="12801" width="4.7109375" style="63" customWidth="1"/>
    <col min="12802" max="12802" width="21.7109375" style="63" customWidth="1"/>
    <col min="12803" max="12803" width="0.7109375" style="63" customWidth="1"/>
    <col min="12804" max="12804" width="12.42578125" style="63" customWidth="1"/>
    <col min="12805" max="12805" width="4.5703125" style="63" customWidth="1"/>
    <col min="12806" max="12806" width="6.7109375" style="63" customWidth="1"/>
    <col min="12807" max="12807" width="3.7109375" style="63" customWidth="1"/>
    <col min="12808" max="12809" width="9.140625" style="63"/>
    <col min="12810" max="12810" width="3.7109375" style="63" customWidth="1"/>
    <col min="12811" max="12812" width="9.140625" style="63"/>
    <col min="12813" max="12813" width="10" style="63" bestFit="1" customWidth="1"/>
    <col min="12814" max="12814" width="9.140625" style="63"/>
    <col min="12815" max="12815" width="14.42578125" style="63" customWidth="1"/>
    <col min="12816" max="12816" width="14.28515625" style="63" customWidth="1"/>
    <col min="12817" max="12817" width="10.85546875" style="63" bestFit="1" customWidth="1"/>
    <col min="12818" max="13056" width="9.140625" style="63"/>
    <col min="13057" max="13057" width="4.7109375" style="63" customWidth="1"/>
    <col min="13058" max="13058" width="21.7109375" style="63" customWidth="1"/>
    <col min="13059" max="13059" width="0.7109375" style="63" customWidth="1"/>
    <col min="13060" max="13060" width="12.42578125" style="63" customWidth="1"/>
    <col min="13061" max="13061" width="4.5703125" style="63" customWidth="1"/>
    <col min="13062" max="13062" width="6.7109375" style="63" customWidth="1"/>
    <col min="13063" max="13063" width="3.7109375" style="63" customWidth="1"/>
    <col min="13064" max="13065" width="9.140625" style="63"/>
    <col min="13066" max="13066" width="3.7109375" style="63" customWidth="1"/>
    <col min="13067" max="13068" width="9.140625" style="63"/>
    <col min="13069" max="13069" width="10" style="63" bestFit="1" customWidth="1"/>
    <col min="13070" max="13070" width="9.140625" style="63"/>
    <col min="13071" max="13071" width="14.42578125" style="63" customWidth="1"/>
    <col min="13072" max="13072" width="14.28515625" style="63" customWidth="1"/>
    <col min="13073" max="13073" width="10.85546875" style="63" bestFit="1" customWidth="1"/>
    <col min="13074" max="13312" width="9.140625" style="63"/>
    <col min="13313" max="13313" width="4.7109375" style="63" customWidth="1"/>
    <col min="13314" max="13314" width="21.7109375" style="63" customWidth="1"/>
    <col min="13315" max="13315" width="0.7109375" style="63" customWidth="1"/>
    <col min="13316" max="13316" width="12.42578125" style="63" customWidth="1"/>
    <col min="13317" max="13317" width="4.5703125" style="63" customWidth="1"/>
    <col min="13318" max="13318" width="6.7109375" style="63" customWidth="1"/>
    <col min="13319" max="13319" width="3.7109375" style="63" customWidth="1"/>
    <col min="13320" max="13321" width="9.140625" style="63"/>
    <col min="13322" max="13322" width="3.7109375" style="63" customWidth="1"/>
    <col min="13323" max="13324" width="9.140625" style="63"/>
    <col min="13325" max="13325" width="10" style="63" bestFit="1" customWidth="1"/>
    <col min="13326" max="13326" width="9.140625" style="63"/>
    <col min="13327" max="13327" width="14.42578125" style="63" customWidth="1"/>
    <col min="13328" max="13328" width="14.28515625" style="63" customWidth="1"/>
    <col min="13329" max="13329" width="10.85546875" style="63" bestFit="1" customWidth="1"/>
    <col min="13330" max="13568" width="9.140625" style="63"/>
    <col min="13569" max="13569" width="4.7109375" style="63" customWidth="1"/>
    <col min="13570" max="13570" width="21.7109375" style="63" customWidth="1"/>
    <col min="13571" max="13571" width="0.7109375" style="63" customWidth="1"/>
    <col min="13572" max="13572" width="12.42578125" style="63" customWidth="1"/>
    <col min="13573" max="13573" width="4.5703125" style="63" customWidth="1"/>
    <col min="13574" max="13574" width="6.7109375" style="63" customWidth="1"/>
    <col min="13575" max="13575" width="3.7109375" style="63" customWidth="1"/>
    <col min="13576" max="13577" width="9.140625" style="63"/>
    <col min="13578" max="13578" width="3.7109375" style="63" customWidth="1"/>
    <col min="13579" max="13580" width="9.140625" style="63"/>
    <col min="13581" max="13581" width="10" style="63" bestFit="1" customWidth="1"/>
    <col min="13582" max="13582" width="9.140625" style="63"/>
    <col min="13583" max="13583" width="14.42578125" style="63" customWidth="1"/>
    <col min="13584" max="13584" width="14.28515625" style="63" customWidth="1"/>
    <col min="13585" max="13585" width="10.85546875" style="63" bestFit="1" customWidth="1"/>
    <col min="13586" max="13824" width="9.140625" style="63"/>
    <col min="13825" max="13825" width="4.7109375" style="63" customWidth="1"/>
    <col min="13826" max="13826" width="21.7109375" style="63" customWidth="1"/>
    <col min="13827" max="13827" width="0.7109375" style="63" customWidth="1"/>
    <col min="13828" max="13828" width="12.42578125" style="63" customWidth="1"/>
    <col min="13829" max="13829" width="4.5703125" style="63" customWidth="1"/>
    <col min="13830" max="13830" width="6.7109375" style="63" customWidth="1"/>
    <col min="13831" max="13831" width="3.7109375" style="63" customWidth="1"/>
    <col min="13832" max="13833" width="9.140625" style="63"/>
    <col min="13834" max="13834" width="3.7109375" style="63" customWidth="1"/>
    <col min="13835" max="13836" width="9.140625" style="63"/>
    <col min="13837" max="13837" width="10" style="63" bestFit="1" customWidth="1"/>
    <col min="13838" max="13838" width="9.140625" style="63"/>
    <col min="13839" max="13839" width="14.42578125" style="63" customWidth="1"/>
    <col min="13840" max="13840" width="14.28515625" style="63" customWidth="1"/>
    <col min="13841" max="13841" width="10.85546875" style="63" bestFit="1" customWidth="1"/>
    <col min="13842" max="14080" width="9.140625" style="63"/>
    <col min="14081" max="14081" width="4.7109375" style="63" customWidth="1"/>
    <col min="14082" max="14082" width="21.7109375" style="63" customWidth="1"/>
    <col min="14083" max="14083" width="0.7109375" style="63" customWidth="1"/>
    <col min="14084" max="14084" width="12.42578125" style="63" customWidth="1"/>
    <col min="14085" max="14085" width="4.5703125" style="63" customWidth="1"/>
    <col min="14086" max="14086" width="6.7109375" style="63" customWidth="1"/>
    <col min="14087" max="14087" width="3.7109375" style="63" customWidth="1"/>
    <col min="14088" max="14089" width="9.140625" style="63"/>
    <col min="14090" max="14090" width="3.7109375" style="63" customWidth="1"/>
    <col min="14091" max="14092" width="9.140625" style="63"/>
    <col min="14093" max="14093" width="10" style="63" bestFit="1" customWidth="1"/>
    <col min="14094" max="14094" width="9.140625" style="63"/>
    <col min="14095" max="14095" width="14.42578125" style="63" customWidth="1"/>
    <col min="14096" max="14096" width="14.28515625" style="63" customWidth="1"/>
    <col min="14097" max="14097" width="10.85546875" style="63" bestFit="1" customWidth="1"/>
    <col min="14098" max="14336" width="9.140625" style="63"/>
    <col min="14337" max="14337" width="4.7109375" style="63" customWidth="1"/>
    <col min="14338" max="14338" width="21.7109375" style="63" customWidth="1"/>
    <col min="14339" max="14339" width="0.7109375" style="63" customWidth="1"/>
    <col min="14340" max="14340" width="12.42578125" style="63" customWidth="1"/>
    <col min="14341" max="14341" width="4.5703125" style="63" customWidth="1"/>
    <col min="14342" max="14342" width="6.7109375" style="63" customWidth="1"/>
    <col min="14343" max="14343" width="3.7109375" style="63" customWidth="1"/>
    <col min="14344" max="14345" width="9.140625" style="63"/>
    <col min="14346" max="14346" width="3.7109375" style="63" customWidth="1"/>
    <col min="14347" max="14348" width="9.140625" style="63"/>
    <col min="14349" max="14349" width="10" style="63" bestFit="1" customWidth="1"/>
    <col min="14350" max="14350" width="9.140625" style="63"/>
    <col min="14351" max="14351" width="14.42578125" style="63" customWidth="1"/>
    <col min="14352" max="14352" width="14.28515625" style="63" customWidth="1"/>
    <col min="14353" max="14353" width="10.85546875" style="63" bestFit="1" customWidth="1"/>
    <col min="14354" max="14592" width="9.140625" style="63"/>
    <col min="14593" max="14593" width="4.7109375" style="63" customWidth="1"/>
    <col min="14594" max="14594" width="21.7109375" style="63" customWidth="1"/>
    <col min="14595" max="14595" width="0.7109375" style="63" customWidth="1"/>
    <col min="14596" max="14596" width="12.42578125" style="63" customWidth="1"/>
    <col min="14597" max="14597" width="4.5703125" style="63" customWidth="1"/>
    <col min="14598" max="14598" width="6.7109375" style="63" customWidth="1"/>
    <col min="14599" max="14599" width="3.7109375" style="63" customWidth="1"/>
    <col min="14600" max="14601" width="9.140625" style="63"/>
    <col min="14602" max="14602" width="3.7109375" style="63" customWidth="1"/>
    <col min="14603" max="14604" width="9.140625" style="63"/>
    <col min="14605" max="14605" width="10" style="63" bestFit="1" customWidth="1"/>
    <col min="14606" max="14606" width="9.140625" style="63"/>
    <col min="14607" max="14607" width="14.42578125" style="63" customWidth="1"/>
    <col min="14608" max="14608" width="14.28515625" style="63" customWidth="1"/>
    <col min="14609" max="14609" width="10.85546875" style="63" bestFit="1" customWidth="1"/>
    <col min="14610" max="14848" width="9.140625" style="63"/>
    <col min="14849" max="14849" width="4.7109375" style="63" customWidth="1"/>
    <col min="14850" max="14850" width="21.7109375" style="63" customWidth="1"/>
    <col min="14851" max="14851" width="0.7109375" style="63" customWidth="1"/>
    <col min="14852" max="14852" width="12.42578125" style="63" customWidth="1"/>
    <col min="14853" max="14853" width="4.5703125" style="63" customWidth="1"/>
    <col min="14854" max="14854" width="6.7109375" style="63" customWidth="1"/>
    <col min="14855" max="14855" width="3.7109375" style="63" customWidth="1"/>
    <col min="14856" max="14857" width="9.140625" style="63"/>
    <col min="14858" max="14858" width="3.7109375" style="63" customWidth="1"/>
    <col min="14859" max="14860" width="9.140625" style="63"/>
    <col min="14861" max="14861" width="10" style="63" bestFit="1" customWidth="1"/>
    <col min="14862" max="14862" width="9.140625" style="63"/>
    <col min="14863" max="14863" width="14.42578125" style="63" customWidth="1"/>
    <col min="14864" max="14864" width="14.28515625" style="63" customWidth="1"/>
    <col min="14865" max="14865" width="10.85546875" style="63" bestFit="1" customWidth="1"/>
    <col min="14866" max="15104" width="9.140625" style="63"/>
    <col min="15105" max="15105" width="4.7109375" style="63" customWidth="1"/>
    <col min="15106" max="15106" width="21.7109375" style="63" customWidth="1"/>
    <col min="15107" max="15107" width="0.7109375" style="63" customWidth="1"/>
    <col min="15108" max="15108" width="12.42578125" style="63" customWidth="1"/>
    <col min="15109" max="15109" width="4.5703125" style="63" customWidth="1"/>
    <col min="15110" max="15110" width="6.7109375" style="63" customWidth="1"/>
    <col min="15111" max="15111" width="3.7109375" style="63" customWidth="1"/>
    <col min="15112" max="15113" width="9.140625" style="63"/>
    <col min="15114" max="15114" width="3.7109375" style="63" customWidth="1"/>
    <col min="15115" max="15116" width="9.140625" style="63"/>
    <col min="15117" max="15117" width="10" style="63" bestFit="1" customWidth="1"/>
    <col min="15118" max="15118" width="9.140625" style="63"/>
    <col min="15119" max="15119" width="14.42578125" style="63" customWidth="1"/>
    <col min="15120" max="15120" width="14.28515625" style="63" customWidth="1"/>
    <col min="15121" max="15121" width="10.85546875" style="63" bestFit="1" customWidth="1"/>
    <col min="15122" max="15360" width="9.140625" style="63"/>
    <col min="15361" max="15361" width="4.7109375" style="63" customWidth="1"/>
    <col min="15362" max="15362" width="21.7109375" style="63" customWidth="1"/>
    <col min="15363" max="15363" width="0.7109375" style="63" customWidth="1"/>
    <col min="15364" max="15364" width="12.42578125" style="63" customWidth="1"/>
    <col min="15365" max="15365" width="4.5703125" style="63" customWidth="1"/>
    <col min="15366" max="15366" width="6.7109375" style="63" customWidth="1"/>
    <col min="15367" max="15367" width="3.7109375" style="63" customWidth="1"/>
    <col min="15368" max="15369" width="9.140625" style="63"/>
    <col min="15370" max="15370" width="3.7109375" style="63" customWidth="1"/>
    <col min="15371" max="15372" width="9.140625" style="63"/>
    <col min="15373" max="15373" width="10" style="63" bestFit="1" customWidth="1"/>
    <col min="15374" max="15374" width="9.140625" style="63"/>
    <col min="15375" max="15375" width="14.42578125" style="63" customWidth="1"/>
    <col min="15376" max="15376" width="14.28515625" style="63" customWidth="1"/>
    <col min="15377" max="15377" width="10.85546875" style="63" bestFit="1" customWidth="1"/>
    <col min="15378" max="15616" width="9.140625" style="63"/>
    <col min="15617" max="15617" width="4.7109375" style="63" customWidth="1"/>
    <col min="15618" max="15618" width="21.7109375" style="63" customWidth="1"/>
    <col min="15619" max="15619" width="0.7109375" style="63" customWidth="1"/>
    <col min="15620" max="15620" width="12.42578125" style="63" customWidth="1"/>
    <col min="15621" max="15621" width="4.5703125" style="63" customWidth="1"/>
    <col min="15622" max="15622" width="6.7109375" style="63" customWidth="1"/>
    <col min="15623" max="15623" width="3.7109375" style="63" customWidth="1"/>
    <col min="15624" max="15625" width="9.140625" style="63"/>
    <col min="15626" max="15626" width="3.7109375" style="63" customWidth="1"/>
    <col min="15627" max="15628" width="9.140625" style="63"/>
    <col min="15629" max="15629" width="10" style="63" bestFit="1" customWidth="1"/>
    <col min="15630" max="15630" width="9.140625" style="63"/>
    <col min="15631" max="15631" width="14.42578125" style="63" customWidth="1"/>
    <col min="15632" max="15632" width="14.28515625" style="63" customWidth="1"/>
    <col min="15633" max="15633" width="10.85546875" style="63" bestFit="1" customWidth="1"/>
    <col min="15634" max="15872" width="9.140625" style="63"/>
    <col min="15873" max="15873" width="4.7109375" style="63" customWidth="1"/>
    <col min="15874" max="15874" width="21.7109375" style="63" customWidth="1"/>
    <col min="15875" max="15875" width="0.7109375" style="63" customWidth="1"/>
    <col min="15876" max="15876" width="12.42578125" style="63" customWidth="1"/>
    <col min="15877" max="15877" width="4.5703125" style="63" customWidth="1"/>
    <col min="15878" max="15878" width="6.7109375" style="63" customWidth="1"/>
    <col min="15879" max="15879" width="3.7109375" style="63" customWidth="1"/>
    <col min="15880" max="15881" width="9.140625" style="63"/>
    <col min="15882" max="15882" width="3.7109375" style="63" customWidth="1"/>
    <col min="15883" max="15884" width="9.140625" style="63"/>
    <col min="15885" max="15885" width="10" style="63" bestFit="1" customWidth="1"/>
    <col min="15886" max="15886" width="9.140625" style="63"/>
    <col min="15887" max="15887" width="14.42578125" style="63" customWidth="1"/>
    <col min="15888" max="15888" width="14.28515625" style="63" customWidth="1"/>
    <col min="15889" max="15889" width="10.85546875" style="63" bestFit="1" customWidth="1"/>
    <col min="15890" max="16128" width="9.140625" style="63"/>
    <col min="16129" max="16129" width="4.7109375" style="63" customWidth="1"/>
    <col min="16130" max="16130" width="21.7109375" style="63" customWidth="1"/>
    <col min="16131" max="16131" width="0.7109375" style="63" customWidth="1"/>
    <col min="16132" max="16132" width="12.42578125" style="63" customWidth="1"/>
    <col min="16133" max="16133" width="4.5703125" style="63" customWidth="1"/>
    <col min="16134" max="16134" width="6.7109375" style="63" customWidth="1"/>
    <col min="16135" max="16135" width="3.7109375" style="63" customWidth="1"/>
    <col min="16136" max="16137" width="9.140625" style="63"/>
    <col min="16138" max="16138" width="3.7109375" style="63" customWidth="1"/>
    <col min="16139" max="16140" width="9.140625" style="63"/>
    <col min="16141" max="16141" width="10" style="63" bestFit="1" customWidth="1"/>
    <col min="16142" max="16142" width="9.140625" style="63"/>
    <col min="16143" max="16143" width="14.42578125" style="63" customWidth="1"/>
    <col min="16144" max="16144" width="14.28515625" style="63" customWidth="1"/>
    <col min="16145" max="16145" width="10.85546875" style="63" bestFit="1" customWidth="1"/>
    <col min="16146" max="16384" width="9.140625" style="63"/>
  </cols>
  <sheetData>
    <row r="1" spans="1:12" x14ac:dyDescent="0.2">
      <c r="H1" s="63" t="s">
        <v>112</v>
      </c>
    </row>
    <row r="2" spans="1:12" ht="12" customHeight="1" x14ac:dyDescent="0.2"/>
    <row r="3" spans="1:12" hidden="1" x14ac:dyDescent="0.2"/>
    <row r="4" spans="1:12" ht="37.5" customHeight="1" x14ac:dyDescent="0.35">
      <c r="A4" s="1411" t="s">
        <v>387</v>
      </c>
      <c r="B4" s="1411"/>
      <c r="C4" s="1411"/>
      <c r="D4" s="1411"/>
      <c r="E4" s="1411"/>
      <c r="F4" s="1411"/>
      <c r="G4" s="1411"/>
      <c r="H4" s="1411"/>
      <c r="I4" s="1411"/>
      <c r="J4" s="1411"/>
      <c r="K4" s="1411"/>
      <c r="L4" s="1411"/>
    </row>
    <row r="6" spans="1:12" ht="15" x14ac:dyDescent="0.25">
      <c r="A6" s="77"/>
      <c r="B6" s="608"/>
      <c r="H6" s="64" t="s">
        <v>388</v>
      </c>
      <c r="I6" s="1412" t="str">
        <f>LPKK!Q5</f>
        <v>1-7 JULI 2026</v>
      </c>
      <c r="J6" s="1412"/>
      <c r="K6" s="1412"/>
    </row>
    <row r="7" spans="1:12" x14ac:dyDescent="0.2">
      <c r="H7" s="64" t="s">
        <v>86</v>
      </c>
      <c r="I7" s="1413" t="str">
        <f>LPKK!Q4</f>
        <v>SC MARABAHAN</v>
      </c>
      <c r="J7" s="1413"/>
      <c r="K7" s="1413"/>
    </row>
    <row r="8" spans="1:12" ht="15.75" x14ac:dyDescent="0.25">
      <c r="A8" s="161" t="s">
        <v>389</v>
      </c>
      <c r="B8" s="161"/>
      <c r="D8" s="1413"/>
      <c r="E8" s="1413"/>
      <c r="F8" s="1413"/>
    </row>
    <row r="9" spans="1:12" ht="15" x14ac:dyDescent="0.25">
      <c r="J9" s="570"/>
      <c r="K9" s="570"/>
      <c r="L9" s="570"/>
    </row>
    <row r="10" spans="1:12" x14ac:dyDescent="0.2">
      <c r="A10" s="63" t="s">
        <v>390</v>
      </c>
      <c r="J10" s="609" t="s">
        <v>391</v>
      </c>
      <c r="K10" s="1414">
        <v>1589512</v>
      </c>
      <c r="L10" s="1414"/>
    </row>
    <row r="11" spans="1:12" x14ac:dyDescent="0.2">
      <c r="B11" s="63" t="s">
        <v>392</v>
      </c>
      <c r="D11" s="1409" t="str">
        <f>'LAPORAN KAS PERIODE'!$D$6</f>
        <v>1-Juli-2026</v>
      </c>
      <c r="E11" s="1409"/>
      <c r="F11" s="1067"/>
      <c r="G11" s="1067" t="s">
        <v>393</v>
      </c>
      <c r="H11" s="1410">
        <f>'LAPORAN KAS PERIODE'!$D$15</f>
        <v>4454000</v>
      </c>
      <c r="I11" s="1410"/>
    </row>
    <row r="12" spans="1:12" x14ac:dyDescent="0.2">
      <c r="B12" s="63" t="s">
        <v>392</v>
      </c>
      <c r="D12" s="1409" t="str">
        <f>'LAPORAN KAS PERIODE'!$E$6</f>
        <v>2-Juli-2026</v>
      </c>
      <c r="E12" s="1409"/>
      <c r="F12" s="1067"/>
      <c r="G12" s="1067" t="s">
        <v>393</v>
      </c>
      <c r="H12" s="1410">
        <f>'LAPORAN KAS PERIODE'!$E$15</f>
        <v>3639000</v>
      </c>
      <c r="I12" s="1410"/>
    </row>
    <row r="13" spans="1:12" x14ac:dyDescent="0.2">
      <c r="B13" s="63" t="s">
        <v>392</v>
      </c>
      <c r="D13" s="1409" t="str">
        <f>'LAPORAN KAS PERIODE'!$F$6</f>
        <v>3-Juli-2026</v>
      </c>
      <c r="E13" s="1409"/>
      <c r="F13" s="1067"/>
      <c r="G13" s="1067" t="s">
        <v>393</v>
      </c>
      <c r="H13" s="1410">
        <f>'LAPORAN KAS PERIODE'!$F$15</f>
        <v>3173500</v>
      </c>
      <c r="I13" s="1410"/>
    </row>
    <row r="14" spans="1:12" x14ac:dyDescent="0.2">
      <c r="B14" s="63" t="s">
        <v>392</v>
      </c>
      <c r="D14" s="1409" t="str">
        <f>'LAPORAN KAS PERIODE'!$G$6</f>
        <v>4-Juli-2026</v>
      </c>
      <c r="E14" s="1409"/>
      <c r="F14" s="1067"/>
      <c r="G14" s="1067" t="s">
        <v>393</v>
      </c>
      <c r="H14" s="1410">
        <f>'LAPORAN KAS PERIODE'!$G$15</f>
        <v>3484000</v>
      </c>
      <c r="I14" s="1410"/>
    </row>
    <row r="15" spans="1:12" x14ac:dyDescent="0.2">
      <c r="B15" s="63" t="s">
        <v>392</v>
      </c>
      <c r="D15" s="1409" t="str">
        <f>'LAPORAN KAS PERIODE'!$H$6</f>
        <v>5-Juli-2026</v>
      </c>
      <c r="E15" s="1409"/>
      <c r="F15" s="1067"/>
      <c r="G15" s="1067" t="s">
        <v>393</v>
      </c>
      <c r="H15" s="1410">
        <f>'LAPORAN KAS PERIODE'!$H$15</f>
        <v>4920500</v>
      </c>
      <c r="I15" s="1410"/>
    </row>
    <row r="16" spans="1:12" x14ac:dyDescent="0.2">
      <c r="B16" s="63" t="s">
        <v>392</v>
      </c>
      <c r="D16" s="1409" t="str">
        <f>'LAPORAN KAS PERIODE'!$I$6</f>
        <v>6-Juli-2026</v>
      </c>
      <c r="E16" s="1409"/>
      <c r="F16" s="1067"/>
      <c r="G16" s="1067" t="s">
        <v>393</v>
      </c>
      <c r="H16" s="1410">
        <f>'LAPORAN KAS PERIODE'!$I$15</f>
        <v>4009000</v>
      </c>
      <c r="I16" s="1410"/>
    </row>
    <row r="17" spans="1:12" x14ac:dyDescent="0.2">
      <c r="B17" s="63" t="s">
        <v>392</v>
      </c>
      <c r="D17" s="1409" t="str">
        <f>'LAPORAN KAS PERIODE'!$J$6</f>
        <v>7-Juli-2026</v>
      </c>
      <c r="E17" s="1409"/>
      <c r="F17" s="1067"/>
      <c r="G17" s="1067" t="s">
        <v>393</v>
      </c>
      <c r="H17" s="1410">
        <f>'LAPORAN KAS PERIODE'!$J$15</f>
        <v>3711500</v>
      </c>
      <c r="I17" s="1410"/>
    </row>
    <row r="18" spans="1:12" x14ac:dyDescent="0.2">
      <c r="B18" s="63" t="s">
        <v>392</v>
      </c>
      <c r="D18" s="1409">
        <f>'LAPORAN KAS PERIODE'!$K$6</f>
        <v>0</v>
      </c>
      <c r="E18" s="1409"/>
      <c r="F18" s="1067"/>
      <c r="G18" s="1067" t="s">
        <v>393</v>
      </c>
      <c r="H18" s="1410">
        <f>'LAPORAN KAS PERIODE'!$K$15</f>
        <v>0</v>
      </c>
      <c r="I18" s="1410"/>
    </row>
    <row r="19" spans="1:12" x14ac:dyDescent="0.2">
      <c r="B19" s="63" t="s">
        <v>392</v>
      </c>
      <c r="D19" s="1409">
        <f>'LAPORAN KAS PERIODE'!$L$6</f>
        <v>0</v>
      </c>
      <c r="E19" s="1409"/>
      <c r="F19" s="1067"/>
      <c r="G19" s="1067" t="s">
        <v>393</v>
      </c>
      <c r="H19" s="1410">
        <f>'LAPORAN KAS PERIODE'!$L$15</f>
        <v>0</v>
      </c>
      <c r="I19" s="1410"/>
    </row>
    <row r="20" spans="1:12" x14ac:dyDescent="0.2">
      <c r="B20" s="63" t="s">
        <v>392</v>
      </c>
      <c r="D20" s="1409">
        <f>'LAPORAN KAS PERIODE'!$M$6</f>
        <v>0</v>
      </c>
      <c r="E20" s="1409"/>
      <c r="F20" s="1067"/>
      <c r="G20" s="1067" t="s">
        <v>393</v>
      </c>
      <c r="H20" s="1410">
        <f>'LAPORAN KAS PERIODE'!$M$15</f>
        <v>0</v>
      </c>
      <c r="I20" s="1410"/>
    </row>
    <row r="21" spans="1:12" x14ac:dyDescent="0.2">
      <c r="D21" s="679"/>
      <c r="E21" s="679"/>
      <c r="F21" s="1067"/>
      <c r="G21" s="1067"/>
      <c r="H21" s="679"/>
      <c r="I21" s="679"/>
    </row>
    <row r="22" spans="1:12" ht="15" x14ac:dyDescent="0.25">
      <c r="D22" s="679"/>
      <c r="E22" s="679"/>
      <c r="F22" s="1067"/>
      <c r="G22" s="1067"/>
      <c r="H22" s="679"/>
      <c r="I22" s="679"/>
      <c r="J22" s="570"/>
      <c r="K22" s="570"/>
      <c r="L22" s="570"/>
    </row>
    <row r="23" spans="1:12" ht="15" x14ac:dyDescent="0.25">
      <c r="D23" s="65" t="s">
        <v>394</v>
      </c>
      <c r="E23" s="1067"/>
      <c r="F23" s="1067"/>
      <c r="G23" s="1067"/>
      <c r="H23" s="1416" t="s">
        <v>395</v>
      </c>
      <c r="I23" s="1417"/>
      <c r="J23" s="570" t="s">
        <v>393</v>
      </c>
      <c r="K23" s="1414">
        <f>SUM(H11:I20)</f>
        <v>27391500</v>
      </c>
      <c r="L23" s="1414"/>
    </row>
    <row r="24" spans="1:12" x14ac:dyDescent="0.2">
      <c r="D24" s="1067"/>
      <c r="E24" s="1067"/>
      <c r="F24" s="1067"/>
      <c r="G24" s="1067"/>
      <c r="H24" s="1067"/>
      <c r="I24" s="1067"/>
      <c r="J24" s="64"/>
    </row>
    <row r="25" spans="1:12" x14ac:dyDescent="0.2">
      <c r="A25" s="63" t="s">
        <v>396</v>
      </c>
      <c r="D25" s="1067"/>
      <c r="E25" s="1067"/>
      <c r="F25" s="1067"/>
      <c r="G25" s="1067"/>
      <c r="H25" s="1067"/>
      <c r="I25" s="1067"/>
    </row>
    <row r="26" spans="1:12" x14ac:dyDescent="0.2">
      <c r="B26" s="63" t="s">
        <v>1084</v>
      </c>
      <c r="D26" s="1067"/>
      <c r="E26" s="1067"/>
      <c r="F26" s="1067"/>
      <c r="G26" s="1067" t="s">
        <v>134</v>
      </c>
      <c r="H26" s="1410">
        <v>663000</v>
      </c>
      <c r="I26" s="1410"/>
    </row>
    <row r="27" spans="1:12" x14ac:dyDescent="0.2">
      <c r="B27" s="611"/>
      <c r="C27" s="611"/>
      <c r="D27" s="1068"/>
      <c r="E27" s="1067"/>
      <c r="F27" s="1067"/>
      <c r="G27" s="1067" t="s">
        <v>134</v>
      </c>
      <c r="H27" s="1410"/>
      <c r="I27" s="1410"/>
    </row>
    <row r="28" spans="1:12" x14ac:dyDescent="0.2">
      <c r="B28" s="611"/>
      <c r="C28" s="611"/>
      <c r="D28" s="1068"/>
      <c r="E28" s="1067"/>
      <c r="F28" s="1067"/>
      <c r="G28" s="1067" t="s">
        <v>134</v>
      </c>
      <c r="H28" s="1410"/>
      <c r="I28" s="1410"/>
    </row>
    <row r="29" spans="1:12" x14ac:dyDescent="0.2">
      <c r="B29" s="611"/>
      <c r="C29" s="611"/>
      <c r="D29" s="1068"/>
      <c r="E29" s="1067"/>
      <c r="F29" s="1067"/>
      <c r="G29" s="1067" t="s">
        <v>134</v>
      </c>
      <c r="H29" s="1418"/>
      <c r="I29" s="1418"/>
    </row>
    <row r="30" spans="1:12" x14ac:dyDescent="0.2">
      <c r="D30" s="1067"/>
      <c r="E30" s="1067"/>
      <c r="F30" s="1067"/>
      <c r="G30" s="1067" t="s">
        <v>134</v>
      </c>
      <c r="H30" s="1410"/>
      <c r="I30" s="1410"/>
    </row>
    <row r="31" spans="1:12" ht="15" x14ac:dyDescent="0.25">
      <c r="D31" s="1067"/>
      <c r="E31" s="1067"/>
      <c r="F31" s="1067"/>
      <c r="G31" s="1067"/>
      <c r="H31" s="1067"/>
      <c r="I31" s="1067"/>
      <c r="J31" s="570"/>
      <c r="K31" s="570"/>
      <c r="L31" s="570"/>
    </row>
    <row r="32" spans="1:12" ht="15" x14ac:dyDescent="0.25">
      <c r="D32" s="65" t="s">
        <v>112</v>
      </c>
      <c r="E32" s="1067"/>
      <c r="F32" s="1067"/>
      <c r="G32" s="1067"/>
      <c r="H32" s="1416" t="s">
        <v>397</v>
      </c>
      <c r="I32" s="1417"/>
      <c r="J32" s="570" t="s">
        <v>393</v>
      </c>
      <c r="K32" s="1414">
        <f>SUM(H26:I30)</f>
        <v>663000</v>
      </c>
      <c r="L32" s="1414"/>
    </row>
    <row r="33" spans="1:12" ht="15" x14ac:dyDescent="0.25">
      <c r="D33" s="1067"/>
      <c r="E33" s="1067"/>
      <c r="F33" s="1067"/>
      <c r="G33" s="1067"/>
      <c r="H33" s="1067"/>
      <c r="I33" s="1067"/>
      <c r="J33" s="570"/>
      <c r="K33" s="570"/>
      <c r="L33" s="570"/>
    </row>
    <row r="34" spans="1:12" ht="15" x14ac:dyDescent="0.25">
      <c r="D34" s="65" t="s">
        <v>398</v>
      </c>
      <c r="E34" s="1067"/>
      <c r="F34" s="1067"/>
      <c r="G34" s="1067"/>
      <c r="H34" s="1417" t="s">
        <v>399</v>
      </c>
      <c r="I34" s="1417"/>
      <c r="J34" s="570" t="s">
        <v>393</v>
      </c>
      <c r="K34" s="1414">
        <f>K10+K23+K32</f>
        <v>29644012</v>
      </c>
      <c r="L34" s="1414"/>
    </row>
    <row r="35" spans="1:12" ht="15" x14ac:dyDescent="0.25">
      <c r="A35" s="63" t="s">
        <v>400</v>
      </c>
      <c r="D35" s="1067"/>
      <c r="E35" s="1067"/>
      <c r="F35" s="1067"/>
      <c r="G35" s="1067"/>
      <c r="H35" s="1067"/>
      <c r="I35" s="1067"/>
      <c r="J35" s="570"/>
      <c r="K35" s="570"/>
      <c r="L35" s="570"/>
    </row>
    <row r="36" spans="1:12" ht="15" x14ac:dyDescent="0.25">
      <c r="D36" s="1067"/>
      <c r="E36" s="1067"/>
      <c r="F36" s="1067"/>
      <c r="G36" s="1067"/>
      <c r="H36" s="1067"/>
      <c r="I36" s="1067"/>
      <c r="J36" s="570"/>
      <c r="K36" s="570"/>
      <c r="L36" s="570"/>
    </row>
    <row r="37" spans="1:12" ht="15" x14ac:dyDescent="0.25">
      <c r="B37" s="63" t="s">
        <v>401</v>
      </c>
      <c r="D37" s="1415" t="str">
        <f>D11</f>
        <v>1-Juli-2026</v>
      </c>
      <c r="E37" s="1415"/>
      <c r="F37" s="1067"/>
      <c r="G37" s="1069" t="s">
        <v>393</v>
      </c>
      <c r="H37" s="1410">
        <f>VENDOR!I216</f>
        <v>1994000</v>
      </c>
      <c r="I37" s="1410"/>
      <c r="J37" s="570"/>
      <c r="K37" s="570"/>
      <c r="L37" s="570"/>
    </row>
    <row r="38" spans="1:12" ht="15" x14ac:dyDescent="0.25">
      <c r="B38" s="63" t="s">
        <v>401</v>
      </c>
      <c r="D38" s="1415" t="str">
        <f t="shared" ref="D38:D46" si="0">D12</f>
        <v>2-Juli-2026</v>
      </c>
      <c r="E38" s="1415"/>
      <c r="F38" s="1067"/>
      <c r="G38" s="1069" t="s">
        <v>393</v>
      </c>
      <c r="H38" s="1410">
        <f>VENDOR!K216</f>
        <v>1985500</v>
      </c>
      <c r="I38" s="1410"/>
      <c r="J38" s="570"/>
      <c r="K38" s="570"/>
      <c r="L38" s="570"/>
    </row>
    <row r="39" spans="1:12" ht="15" x14ac:dyDescent="0.25">
      <c r="B39" s="63" t="s">
        <v>401</v>
      </c>
      <c r="D39" s="1415" t="str">
        <f t="shared" si="0"/>
        <v>3-Juli-2026</v>
      </c>
      <c r="E39" s="1415"/>
      <c r="F39" s="1067"/>
      <c r="G39" s="1069" t="s">
        <v>393</v>
      </c>
      <c r="H39" s="1410">
        <f>VENDOR!M216</f>
        <v>4009438</v>
      </c>
      <c r="I39" s="1410"/>
      <c r="J39" s="570"/>
      <c r="K39" s="570"/>
      <c r="L39" s="570"/>
    </row>
    <row r="40" spans="1:12" ht="15" x14ac:dyDescent="0.25">
      <c r="B40" s="63" t="s">
        <v>401</v>
      </c>
      <c r="D40" s="1415" t="str">
        <f t="shared" si="0"/>
        <v>4-Juli-2026</v>
      </c>
      <c r="E40" s="1415"/>
      <c r="F40" s="1067"/>
      <c r="G40" s="1069" t="s">
        <v>393</v>
      </c>
      <c r="H40" s="1410">
        <f>VENDOR!O216</f>
        <v>2489000</v>
      </c>
      <c r="I40" s="1410"/>
      <c r="J40" s="570"/>
      <c r="K40" s="570"/>
      <c r="L40" s="570"/>
    </row>
    <row r="41" spans="1:12" ht="15" x14ac:dyDescent="0.25">
      <c r="B41" s="63" t="s">
        <v>401</v>
      </c>
      <c r="D41" s="1415" t="str">
        <f t="shared" si="0"/>
        <v>5-Juli-2026</v>
      </c>
      <c r="E41" s="1415"/>
      <c r="F41" s="1067"/>
      <c r="G41" s="1069" t="s">
        <v>393</v>
      </c>
      <c r="H41" s="1410">
        <f>VENDOR!Q216</f>
        <v>6584925</v>
      </c>
      <c r="I41" s="1410"/>
      <c r="J41" s="570"/>
      <c r="K41" s="570"/>
      <c r="L41" s="570"/>
    </row>
    <row r="42" spans="1:12" ht="15" x14ac:dyDescent="0.25">
      <c r="B42" s="63" t="s">
        <v>401</v>
      </c>
      <c r="D42" s="1415" t="str">
        <f t="shared" si="0"/>
        <v>6-Juli-2026</v>
      </c>
      <c r="E42" s="1415"/>
      <c r="F42" s="1067"/>
      <c r="G42" s="1069" t="s">
        <v>393</v>
      </c>
      <c r="H42" s="1410">
        <f>VENDOR!S216</f>
        <v>3270500</v>
      </c>
      <c r="I42" s="1410"/>
      <c r="J42" s="570"/>
      <c r="K42" s="570"/>
      <c r="L42" s="570"/>
    </row>
    <row r="43" spans="1:12" ht="15" x14ac:dyDescent="0.25">
      <c r="B43" s="63" t="s">
        <v>401</v>
      </c>
      <c r="D43" s="1415" t="str">
        <f t="shared" si="0"/>
        <v>7-Juli-2026</v>
      </c>
      <c r="E43" s="1415"/>
      <c r="F43" s="1067"/>
      <c r="G43" s="1069" t="s">
        <v>393</v>
      </c>
      <c r="H43" s="1410">
        <f>VENDOR!U216</f>
        <v>3709202</v>
      </c>
      <c r="I43" s="1410"/>
      <c r="J43" s="570"/>
      <c r="K43" s="570"/>
      <c r="L43" s="570"/>
    </row>
    <row r="44" spans="1:12" ht="15" x14ac:dyDescent="0.25">
      <c r="B44" s="63" t="s">
        <v>401</v>
      </c>
      <c r="D44" s="1415">
        <f t="shared" si="0"/>
        <v>0</v>
      </c>
      <c r="E44" s="1415"/>
      <c r="F44" s="1067"/>
      <c r="G44" s="1069" t="s">
        <v>393</v>
      </c>
      <c r="H44" s="1410">
        <f>VENDOR!W216</f>
        <v>0</v>
      </c>
      <c r="I44" s="1410"/>
      <c r="J44" s="570"/>
      <c r="K44" s="570"/>
      <c r="L44" s="570"/>
    </row>
    <row r="45" spans="1:12" ht="15" x14ac:dyDescent="0.25">
      <c r="B45" s="63" t="s">
        <v>401</v>
      </c>
      <c r="D45" s="1415">
        <f t="shared" si="0"/>
        <v>0</v>
      </c>
      <c r="E45" s="1415"/>
      <c r="F45" s="1067"/>
      <c r="G45" s="1069" t="s">
        <v>393</v>
      </c>
      <c r="H45" s="1410">
        <f>VENDOR!Y216</f>
        <v>0</v>
      </c>
      <c r="I45" s="1410"/>
      <c r="J45" s="570"/>
      <c r="K45" s="570"/>
      <c r="L45" s="570"/>
    </row>
    <row r="46" spans="1:12" ht="15" x14ac:dyDescent="0.25">
      <c r="B46" s="63" t="s">
        <v>401</v>
      </c>
      <c r="D46" s="1415">
        <f t="shared" si="0"/>
        <v>0</v>
      </c>
      <c r="E46" s="1415"/>
      <c r="F46" s="1067"/>
      <c r="G46" s="1069" t="s">
        <v>393</v>
      </c>
      <c r="H46" s="1410">
        <f>VENDOR!AA216</f>
        <v>0</v>
      </c>
      <c r="I46" s="1410"/>
      <c r="J46" s="570"/>
      <c r="K46" s="570"/>
      <c r="L46" s="570"/>
    </row>
    <row r="47" spans="1:12" ht="15" x14ac:dyDescent="0.25">
      <c r="D47" s="1420"/>
      <c r="E47" s="1420"/>
      <c r="F47" s="1067"/>
      <c r="G47" s="1069"/>
      <c r="H47" s="1421"/>
      <c r="I47" s="1421"/>
      <c r="J47" s="570"/>
      <c r="K47" s="570"/>
      <c r="L47" s="570"/>
    </row>
    <row r="48" spans="1:12" ht="15" x14ac:dyDescent="0.25">
      <c r="D48" s="1070"/>
      <c r="E48" s="1067"/>
      <c r="F48" s="1067"/>
      <c r="G48" s="1069"/>
      <c r="H48" s="679"/>
      <c r="I48" s="679"/>
      <c r="J48" s="570"/>
      <c r="K48" s="570"/>
      <c r="L48" s="570"/>
    </row>
    <row r="49" spans="1:17" ht="15" x14ac:dyDescent="0.25">
      <c r="D49" s="1422"/>
      <c r="E49" s="1418"/>
      <c r="F49" s="1067"/>
      <c r="G49" s="1069"/>
      <c r="H49" s="1410"/>
      <c r="I49" s="1410"/>
      <c r="J49" s="570"/>
      <c r="K49" s="570"/>
      <c r="L49" s="570"/>
    </row>
    <row r="50" spans="1:17" ht="15" x14ac:dyDescent="0.25">
      <c r="D50" s="65" t="s">
        <v>402</v>
      </c>
      <c r="E50" s="1067"/>
      <c r="F50" s="1067"/>
      <c r="G50" s="1067"/>
      <c r="H50" s="1417" t="s">
        <v>399</v>
      </c>
      <c r="I50" s="1417"/>
      <c r="J50" s="570" t="s">
        <v>393</v>
      </c>
      <c r="K50" s="1414">
        <f>SUM(H37:I47)</f>
        <v>24042565</v>
      </c>
      <c r="L50" s="1414"/>
    </row>
    <row r="51" spans="1:17" ht="15" x14ac:dyDescent="0.25">
      <c r="D51" s="1067"/>
      <c r="E51" s="1067"/>
      <c r="F51" s="1067"/>
      <c r="G51" s="1067"/>
      <c r="H51" s="1067"/>
      <c r="I51" s="1067"/>
      <c r="J51" s="570"/>
      <c r="K51" s="570"/>
      <c r="L51" s="570"/>
    </row>
    <row r="52" spans="1:17" ht="15" x14ac:dyDescent="0.25">
      <c r="A52" s="64" t="s">
        <v>403</v>
      </c>
      <c r="D52" s="65"/>
      <c r="E52" s="1067"/>
      <c r="F52" s="1067"/>
      <c r="G52" s="1067"/>
      <c r="H52" s="1417" t="s">
        <v>399</v>
      </c>
      <c r="I52" s="1417"/>
      <c r="J52" s="570" t="s">
        <v>393</v>
      </c>
      <c r="K52" s="1414">
        <f>K34-K50</f>
        <v>5601447</v>
      </c>
      <c r="L52" s="1414"/>
      <c r="M52" s="612"/>
      <c r="N52" s="64"/>
      <c r="O52" s="613"/>
      <c r="P52" s="613"/>
      <c r="Q52" s="613"/>
    </row>
    <row r="53" spans="1:17" ht="15" x14ac:dyDescent="0.25">
      <c r="J53" s="570"/>
      <c r="K53" s="570"/>
      <c r="L53" s="570"/>
    </row>
    <row r="54" spans="1:17" ht="15" customHeight="1" x14ac:dyDescent="0.25">
      <c r="J54" s="570"/>
      <c r="K54" s="570"/>
      <c r="L54" s="570"/>
      <c r="O54" s="612"/>
      <c r="P54" s="616"/>
    </row>
    <row r="55" spans="1:17" x14ac:dyDescent="0.2">
      <c r="A55" s="148"/>
      <c r="B55" s="1419" t="s">
        <v>20</v>
      </c>
      <c r="C55" s="1419"/>
      <c r="D55" s="1419"/>
    </row>
    <row r="56" spans="1:17" x14ac:dyDescent="0.2">
      <c r="B56" s="64"/>
      <c r="C56" s="64"/>
      <c r="D56" s="64"/>
      <c r="P56" s="614"/>
    </row>
    <row r="57" spans="1:17" x14ac:dyDescent="0.2">
      <c r="B57" s="615"/>
      <c r="C57" s="64"/>
      <c r="D57" s="64"/>
      <c r="P57" s="616"/>
    </row>
    <row r="58" spans="1:17" x14ac:dyDescent="0.2">
      <c r="A58" s="131"/>
      <c r="B58" s="1413"/>
      <c r="C58" s="1413"/>
      <c r="D58" s="1413"/>
      <c r="P58" s="616"/>
    </row>
    <row r="60" spans="1:17" x14ac:dyDescent="0.2">
      <c r="O60" s="612"/>
      <c r="Q60" s="616"/>
    </row>
    <row r="63" spans="1:17" x14ac:dyDescent="0.2">
      <c r="N63" s="616"/>
    </row>
    <row r="64" spans="1:17" x14ac:dyDescent="0.2">
      <c r="N64" s="616"/>
    </row>
  </sheetData>
  <mergeCells count="66">
    <mergeCell ref="H52:I52"/>
    <mergeCell ref="K52:L52"/>
    <mergeCell ref="B55:D55"/>
    <mergeCell ref="B58:D58"/>
    <mergeCell ref="D47:E47"/>
    <mergeCell ref="H47:I47"/>
    <mergeCell ref="D49:E49"/>
    <mergeCell ref="H49:I49"/>
    <mergeCell ref="H50:I50"/>
    <mergeCell ref="K50:L50"/>
    <mergeCell ref="D44:E44"/>
    <mergeCell ref="H44:I44"/>
    <mergeCell ref="D45:E45"/>
    <mergeCell ref="H45:I45"/>
    <mergeCell ref="D46:E46"/>
    <mergeCell ref="H46:I46"/>
    <mergeCell ref="D41:E41"/>
    <mergeCell ref="H41:I41"/>
    <mergeCell ref="D42:E42"/>
    <mergeCell ref="H42:I42"/>
    <mergeCell ref="D43:E43"/>
    <mergeCell ref="H43:I43"/>
    <mergeCell ref="D38:E38"/>
    <mergeCell ref="H38:I38"/>
    <mergeCell ref="D39:E39"/>
    <mergeCell ref="H39:I39"/>
    <mergeCell ref="D40:E40"/>
    <mergeCell ref="H40:I40"/>
    <mergeCell ref="D37:E37"/>
    <mergeCell ref="H37:I37"/>
    <mergeCell ref="H23:I23"/>
    <mergeCell ref="K23:L23"/>
    <mergeCell ref="H26:I26"/>
    <mergeCell ref="H27:I27"/>
    <mergeCell ref="H28:I28"/>
    <mergeCell ref="H29:I29"/>
    <mergeCell ref="H30:I30"/>
    <mergeCell ref="H32:I32"/>
    <mergeCell ref="K32:L32"/>
    <mergeCell ref="H34:I34"/>
    <mergeCell ref="K34:L34"/>
    <mergeCell ref="D18:E18"/>
    <mergeCell ref="H18:I18"/>
    <mergeCell ref="D19:E19"/>
    <mergeCell ref="H19:I19"/>
    <mergeCell ref="D20:E20"/>
    <mergeCell ref="H20:I20"/>
    <mergeCell ref="D15:E15"/>
    <mergeCell ref="H15:I15"/>
    <mergeCell ref="D16:E16"/>
    <mergeCell ref="H16:I16"/>
    <mergeCell ref="D17:E17"/>
    <mergeCell ref="H17:I17"/>
    <mergeCell ref="D12:E12"/>
    <mergeCell ref="H12:I12"/>
    <mergeCell ref="D13:E13"/>
    <mergeCell ref="H13:I13"/>
    <mergeCell ref="D14:E14"/>
    <mergeCell ref="H14:I14"/>
    <mergeCell ref="D11:E11"/>
    <mergeCell ref="H11:I11"/>
    <mergeCell ref="A4:L4"/>
    <mergeCell ref="I6:K6"/>
    <mergeCell ref="I7:K7"/>
    <mergeCell ref="D8:F8"/>
    <mergeCell ref="K10:L1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8E5C8-023E-450D-9357-1A807DC3D31E}">
  <sheetPr>
    <tabColor rgb="FF0070C0"/>
  </sheetPr>
  <dimension ref="A2:K56"/>
  <sheetViews>
    <sheetView topLeftCell="A41" workbookViewId="0">
      <selection activeCell="C59" sqref="C59"/>
    </sheetView>
  </sheetViews>
  <sheetFormatPr defaultRowHeight="15" x14ac:dyDescent="0.25"/>
  <cols>
    <col min="1" max="1" width="35.5703125" style="570" customWidth="1"/>
    <col min="2" max="2" width="20.7109375" style="570" customWidth="1"/>
    <col min="3" max="3" width="10.7109375" style="570" customWidth="1"/>
    <col min="4" max="4" width="20.7109375" style="570" customWidth="1"/>
    <col min="5" max="5" width="4" style="570" customWidth="1"/>
    <col min="6" max="6" width="12.140625" style="570" bestFit="1" customWidth="1"/>
    <col min="7" max="7" width="14.5703125" style="570" bestFit="1" customWidth="1"/>
    <col min="8" max="256" width="9.140625" style="570"/>
    <col min="257" max="257" width="35.5703125" style="570" customWidth="1"/>
    <col min="258" max="258" width="20.7109375" style="570" customWidth="1"/>
    <col min="259" max="259" width="10.7109375" style="570" customWidth="1"/>
    <col min="260" max="260" width="20.7109375" style="570" customWidth="1"/>
    <col min="261" max="261" width="4" style="570" customWidth="1"/>
    <col min="262" max="262" width="12.140625" style="570" bestFit="1" customWidth="1"/>
    <col min="263" max="263" width="14.5703125" style="570" bestFit="1" customWidth="1"/>
    <col min="264" max="512" width="9.140625" style="570"/>
    <col min="513" max="513" width="35.5703125" style="570" customWidth="1"/>
    <col min="514" max="514" width="20.7109375" style="570" customWidth="1"/>
    <col min="515" max="515" width="10.7109375" style="570" customWidth="1"/>
    <col min="516" max="516" width="20.7109375" style="570" customWidth="1"/>
    <col min="517" max="517" width="4" style="570" customWidth="1"/>
    <col min="518" max="518" width="12.140625" style="570" bestFit="1" customWidth="1"/>
    <col min="519" max="519" width="14.5703125" style="570" bestFit="1" customWidth="1"/>
    <col min="520" max="768" width="9.140625" style="570"/>
    <col min="769" max="769" width="35.5703125" style="570" customWidth="1"/>
    <col min="770" max="770" width="20.7109375" style="570" customWidth="1"/>
    <col min="771" max="771" width="10.7109375" style="570" customWidth="1"/>
    <col min="772" max="772" width="20.7109375" style="570" customWidth="1"/>
    <col min="773" max="773" width="4" style="570" customWidth="1"/>
    <col min="774" max="774" width="12.140625" style="570" bestFit="1" customWidth="1"/>
    <col min="775" max="775" width="14.5703125" style="570" bestFit="1" customWidth="1"/>
    <col min="776" max="1024" width="9.140625" style="570"/>
    <col min="1025" max="1025" width="35.5703125" style="570" customWidth="1"/>
    <col min="1026" max="1026" width="20.7109375" style="570" customWidth="1"/>
    <col min="1027" max="1027" width="10.7109375" style="570" customWidth="1"/>
    <col min="1028" max="1028" width="20.7109375" style="570" customWidth="1"/>
    <col min="1029" max="1029" width="4" style="570" customWidth="1"/>
    <col min="1030" max="1030" width="12.140625" style="570" bestFit="1" customWidth="1"/>
    <col min="1031" max="1031" width="14.5703125" style="570" bestFit="1" customWidth="1"/>
    <col min="1032" max="1280" width="9.140625" style="570"/>
    <col min="1281" max="1281" width="35.5703125" style="570" customWidth="1"/>
    <col min="1282" max="1282" width="20.7109375" style="570" customWidth="1"/>
    <col min="1283" max="1283" width="10.7109375" style="570" customWidth="1"/>
    <col min="1284" max="1284" width="20.7109375" style="570" customWidth="1"/>
    <col min="1285" max="1285" width="4" style="570" customWidth="1"/>
    <col min="1286" max="1286" width="12.140625" style="570" bestFit="1" customWidth="1"/>
    <col min="1287" max="1287" width="14.5703125" style="570" bestFit="1" customWidth="1"/>
    <col min="1288" max="1536" width="9.140625" style="570"/>
    <col min="1537" max="1537" width="35.5703125" style="570" customWidth="1"/>
    <col min="1538" max="1538" width="20.7109375" style="570" customWidth="1"/>
    <col min="1539" max="1539" width="10.7109375" style="570" customWidth="1"/>
    <col min="1540" max="1540" width="20.7109375" style="570" customWidth="1"/>
    <col min="1541" max="1541" width="4" style="570" customWidth="1"/>
    <col min="1542" max="1542" width="12.140625" style="570" bestFit="1" customWidth="1"/>
    <col min="1543" max="1543" width="14.5703125" style="570" bestFit="1" customWidth="1"/>
    <col min="1544" max="1792" width="9.140625" style="570"/>
    <col min="1793" max="1793" width="35.5703125" style="570" customWidth="1"/>
    <col min="1794" max="1794" width="20.7109375" style="570" customWidth="1"/>
    <col min="1795" max="1795" width="10.7109375" style="570" customWidth="1"/>
    <col min="1796" max="1796" width="20.7109375" style="570" customWidth="1"/>
    <col min="1797" max="1797" width="4" style="570" customWidth="1"/>
    <col min="1798" max="1798" width="12.140625" style="570" bestFit="1" customWidth="1"/>
    <col min="1799" max="1799" width="14.5703125" style="570" bestFit="1" customWidth="1"/>
    <col min="1800" max="2048" width="9.140625" style="570"/>
    <col min="2049" max="2049" width="35.5703125" style="570" customWidth="1"/>
    <col min="2050" max="2050" width="20.7109375" style="570" customWidth="1"/>
    <col min="2051" max="2051" width="10.7109375" style="570" customWidth="1"/>
    <col min="2052" max="2052" width="20.7109375" style="570" customWidth="1"/>
    <col min="2053" max="2053" width="4" style="570" customWidth="1"/>
    <col min="2054" max="2054" width="12.140625" style="570" bestFit="1" customWidth="1"/>
    <col min="2055" max="2055" width="14.5703125" style="570" bestFit="1" customWidth="1"/>
    <col min="2056" max="2304" width="9.140625" style="570"/>
    <col min="2305" max="2305" width="35.5703125" style="570" customWidth="1"/>
    <col min="2306" max="2306" width="20.7109375" style="570" customWidth="1"/>
    <col min="2307" max="2307" width="10.7109375" style="570" customWidth="1"/>
    <col min="2308" max="2308" width="20.7109375" style="570" customWidth="1"/>
    <col min="2309" max="2309" width="4" style="570" customWidth="1"/>
    <col min="2310" max="2310" width="12.140625" style="570" bestFit="1" customWidth="1"/>
    <col min="2311" max="2311" width="14.5703125" style="570" bestFit="1" customWidth="1"/>
    <col min="2312" max="2560" width="9.140625" style="570"/>
    <col min="2561" max="2561" width="35.5703125" style="570" customWidth="1"/>
    <col min="2562" max="2562" width="20.7109375" style="570" customWidth="1"/>
    <col min="2563" max="2563" width="10.7109375" style="570" customWidth="1"/>
    <col min="2564" max="2564" width="20.7109375" style="570" customWidth="1"/>
    <col min="2565" max="2565" width="4" style="570" customWidth="1"/>
    <col min="2566" max="2566" width="12.140625" style="570" bestFit="1" customWidth="1"/>
    <col min="2567" max="2567" width="14.5703125" style="570" bestFit="1" customWidth="1"/>
    <col min="2568" max="2816" width="9.140625" style="570"/>
    <col min="2817" max="2817" width="35.5703125" style="570" customWidth="1"/>
    <col min="2818" max="2818" width="20.7109375" style="570" customWidth="1"/>
    <col min="2819" max="2819" width="10.7109375" style="570" customWidth="1"/>
    <col min="2820" max="2820" width="20.7109375" style="570" customWidth="1"/>
    <col min="2821" max="2821" width="4" style="570" customWidth="1"/>
    <col min="2822" max="2822" width="12.140625" style="570" bestFit="1" customWidth="1"/>
    <col min="2823" max="2823" width="14.5703125" style="570" bestFit="1" customWidth="1"/>
    <col min="2824" max="3072" width="9.140625" style="570"/>
    <col min="3073" max="3073" width="35.5703125" style="570" customWidth="1"/>
    <col min="3074" max="3074" width="20.7109375" style="570" customWidth="1"/>
    <col min="3075" max="3075" width="10.7109375" style="570" customWidth="1"/>
    <col min="3076" max="3076" width="20.7109375" style="570" customWidth="1"/>
    <col min="3077" max="3077" width="4" style="570" customWidth="1"/>
    <col min="3078" max="3078" width="12.140625" style="570" bestFit="1" customWidth="1"/>
    <col min="3079" max="3079" width="14.5703125" style="570" bestFit="1" customWidth="1"/>
    <col min="3080" max="3328" width="9.140625" style="570"/>
    <col min="3329" max="3329" width="35.5703125" style="570" customWidth="1"/>
    <col min="3330" max="3330" width="20.7109375" style="570" customWidth="1"/>
    <col min="3331" max="3331" width="10.7109375" style="570" customWidth="1"/>
    <col min="3332" max="3332" width="20.7109375" style="570" customWidth="1"/>
    <col min="3333" max="3333" width="4" style="570" customWidth="1"/>
    <col min="3334" max="3334" width="12.140625" style="570" bestFit="1" customWidth="1"/>
    <col min="3335" max="3335" width="14.5703125" style="570" bestFit="1" customWidth="1"/>
    <col min="3336" max="3584" width="9.140625" style="570"/>
    <col min="3585" max="3585" width="35.5703125" style="570" customWidth="1"/>
    <col min="3586" max="3586" width="20.7109375" style="570" customWidth="1"/>
    <col min="3587" max="3587" width="10.7109375" style="570" customWidth="1"/>
    <col min="3588" max="3588" width="20.7109375" style="570" customWidth="1"/>
    <col min="3589" max="3589" width="4" style="570" customWidth="1"/>
    <col min="3590" max="3590" width="12.140625" style="570" bestFit="1" customWidth="1"/>
    <col min="3591" max="3591" width="14.5703125" style="570" bestFit="1" customWidth="1"/>
    <col min="3592" max="3840" width="9.140625" style="570"/>
    <col min="3841" max="3841" width="35.5703125" style="570" customWidth="1"/>
    <col min="3842" max="3842" width="20.7109375" style="570" customWidth="1"/>
    <col min="3843" max="3843" width="10.7109375" style="570" customWidth="1"/>
    <col min="3844" max="3844" width="20.7109375" style="570" customWidth="1"/>
    <col min="3845" max="3845" width="4" style="570" customWidth="1"/>
    <col min="3846" max="3846" width="12.140625" style="570" bestFit="1" customWidth="1"/>
    <col min="3847" max="3847" width="14.5703125" style="570" bestFit="1" customWidth="1"/>
    <col min="3848" max="4096" width="9.140625" style="570"/>
    <col min="4097" max="4097" width="35.5703125" style="570" customWidth="1"/>
    <col min="4098" max="4098" width="20.7109375" style="570" customWidth="1"/>
    <col min="4099" max="4099" width="10.7109375" style="570" customWidth="1"/>
    <col min="4100" max="4100" width="20.7109375" style="570" customWidth="1"/>
    <col min="4101" max="4101" width="4" style="570" customWidth="1"/>
    <col min="4102" max="4102" width="12.140625" style="570" bestFit="1" customWidth="1"/>
    <col min="4103" max="4103" width="14.5703125" style="570" bestFit="1" customWidth="1"/>
    <col min="4104" max="4352" width="9.140625" style="570"/>
    <col min="4353" max="4353" width="35.5703125" style="570" customWidth="1"/>
    <col min="4354" max="4354" width="20.7109375" style="570" customWidth="1"/>
    <col min="4355" max="4355" width="10.7109375" style="570" customWidth="1"/>
    <col min="4356" max="4356" width="20.7109375" style="570" customWidth="1"/>
    <col min="4357" max="4357" width="4" style="570" customWidth="1"/>
    <col min="4358" max="4358" width="12.140625" style="570" bestFit="1" customWidth="1"/>
    <col min="4359" max="4359" width="14.5703125" style="570" bestFit="1" customWidth="1"/>
    <col min="4360" max="4608" width="9.140625" style="570"/>
    <col min="4609" max="4609" width="35.5703125" style="570" customWidth="1"/>
    <col min="4610" max="4610" width="20.7109375" style="570" customWidth="1"/>
    <col min="4611" max="4611" width="10.7109375" style="570" customWidth="1"/>
    <col min="4612" max="4612" width="20.7109375" style="570" customWidth="1"/>
    <col min="4613" max="4613" width="4" style="570" customWidth="1"/>
    <col min="4614" max="4614" width="12.140625" style="570" bestFit="1" customWidth="1"/>
    <col min="4615" max="4615" width="14.5703125" style="570" bestFit="1" customWidth="1"/>
    <col min="4616" max="4864" width="9.140625" style="570"/>
    <col min="4865" max="4865" width="35.5703125" style="570" customWidth="1"/>
    <col min="4866" max="4866" width="20.7109375" style="570" customWidth="1"/>
    <col min="4867" max="4867" width="10.7109375" style="570" customWidth="1"/>
    <col min="4868" max="4868" width="20.7109375" style="570" customWidth="1"/>
    <col min="4869" max="4869" width="4" style="570" customWidth="1"/>
    <col min="4870" max="4870" width="12.140625" style="570" bestFit="1" customWidth="1"/>
    <col min="4871" max="4871" width="14.5703125" style="570" bestFit="1" customWidth="1"/>
    <col min="4872" max="5120" width="9.140625" style="570"/>
    <col min="5121" max="5121" width="35.5703125" style="570" customWidth="1"/>
    <col min="5122" max="5122" width="20.7109375" style="570" customWidth="1"/>
    <col min="5123" max="5123" width="10.7109375" style="570" customWidth="1"/>
    <col min="5124" max="5124" width="20.7109375" style="570" customWidth="1"/>
    <col min="5125" max="5125" width="4" style="570" customWidth="1"/>
    <col min="5126" max="5126" width="12.140625" style="570" bestFit="1" customWidth="1"/>
    <col min="5127" max="5127" width="14.5703125" style="570" bestFit="1" customWidth="1"/>
    <col min="5128" max="5376" width="9.140625" style="570"/>
    <col min="5377" max="5377" width="35.5703125" style="570" customWidth="1"/>
    <col min="5378" max="5378" width="20.7109375" style="570" customWidth="1"/>
    <col min="5379" max="5379" width="10.7109375" style="570" customWidth="1"/>
    <col min="5380" max="5380" width="20.7109375" style="570" customWidth="1"/>
    <col min="5381" max="5381" width="4" style="570" customWidth="1"/>
    <col min="5382" max="5382" width="12.140625" style="570" bestFit="1" customWidth="1"/>
    <col min="5383" max="5383" width="14.5703125" style="570" bestFit="1" customWidth="1"/>
    <col min="5384" max="5632" width="9.140625" style="570"/>
    <col min="5633" max="5633" width="35.5703125" style="570" customWidth="1"/>
    <col min="5634" max="5634" width="20.7109375" style="570" customWidth="1"/>
    <col min="5635" max="5635" width="10.7109375" style="570" customWidth="1"/>
    <col min="5636" max="5636" width="20.7109375" style="570" customWidth="1"/>
    <col min="5637" max="5637" width="4" style="570" customWidth="1"/>
    <col min="5638" max="5638" width="12.140625" style="570" bestFit="1" customWidth="1"/>
    <col min="5639" max="5639" width="14.5703125" style="570" bestFit="1" customWidth="1"/>
    <col min="5640" max="5888" width="9.140625" style="570"/>
    <col min="5889" max="5889" width="35.5703125" style="570" customWidth="1"/>
    <col min="5890" max="5890" width="20.7109375" style="570" customWidth="1"/>
    <col min="5891" max="5891" width="10.7109375" style="570" customWidth="1"/>
    <col min="5892" max="5892" width="20.7109375" style="570" customWidth="1"/>
    <col min="5893" max="5893" width="4" style="570" customWidth="1"/>
    <col min="5894" max="5894" width="12.140625" style="570" bestFit="1" customWidth="1"/>
    <col min="5895" max="5895" width="14.5703125" style="570" bestFit="1" customWidth="1"/>
    <col min="5896" max="6144" width="9.140625" style="570"/>
    <col min="6145" max="6145" width="35.5703125" style="570" customWidth="1"/>
    <col min="6146" max="6146" width="20.7109375" style="570" customWidth="1"/>
    <col min="6147" max="6147" width="10.7109375" style="570" customWidth="1"/>
    <col min="6148" max="6148" width="20.7109375" style="570" customWidth="1"/>
    <col min="6149" max="6149" width="4" style="570" customWidth="1"/>
    <col min="6150" max="6150" width="12.140625" style="570" bestFit="1" customWidth="1"/>
    <col min="6151" max="6151" width="14.5703125" style="570" bestFit="1" customWidth="1"/>
    <col min="6152" max="6400" width="9.140625" style="570"/>
    <col min="6401" max="6401" width="35.5703125" style="570" customWidth="1"/>
    <col min="6402" max="6402" width="20.7109375" style="570" customWidth="1"/>
    <col min="6403" max="6403" width="10.7109375" style="570" customWidth="1"/>
    <col min="6404" max="6404" width="20.7109375" style="570" customWidth="1"/>
    <col min="6405" max="6405" width="4" style="570" customWidth="1"/>
    <col min="6406" max="6406" width="12.140625" style="570" bestFit="1" customWidth="1"/>
    <col min="6407" max="6407" width="14.5703125" style="570" bestFit="1" customWidth="1"/>
    <col min="6408" max="6656" width="9.140625" style="570"/>
    <col min="6657" max="6657" width="35.5703125" style="570" customWidth="1"/>
    <col min="6658" max="6658" width="20.7109375" style="570" customWidth="1"/>
    <col min="6659" max="6659" width="10.7109375" style="570" customWidth="1"/>
    <col min="6660" max="6660" width="20.7109375" style="570" customWidth="1"/>
    <col min="6661" max="6661" width="4" style="570" customWidth="1"/>
    <col min="6662" max="6662" width="12.140625" style="570" bestFit="1" customWidth="1"/>
    <col min="6663" max="6663" width="14.5703125" style="570" bestFit="1" customWidth="1"/>
    <col min="6664" max="6912" width="9.140625" style="570"/>
    <col min="6913" max="6913" width="35.5703125" style="570" customWidth="1"/>
    <col min="6914" max="6914" width="20.7109375" style="570" customWidth="1"/>
    <col min="6915" max="6915" width="10.7109375" style="570" customWidth="1"/>
    <col min="6916" max="6916" width="20.7109375" style="570" customWidth="1"/>
    <col min="6917" max="6917" width="4" style="570" customWidth="1"/>
    <col min="6918" max="6918" width="12.140625" style="570" bestFit="1" customWidth="1"/>
    <col min="6919" max="6919" width="14.5703125" style="570" bestFit="1" customWidth="1"/>
    <col min="6920" max="7168" width="9.140625" style="570"/>
    <col min="7169" max="7169" width="35.5703125" style="570" customWidth="1"/>
    <col min="7170" max="7170" width="20.7109375" style="570" customWidth="1"/>
    <col min="7171" max="7171" width="10.7109375" style="570" customWidth="1"/>
    <col min="7172" max="7172" width="20.7109375" style="570" customWidth="1"/>
    <col min="7173" max="7173" width="4" style="570" customWidth="1"/>
    <col min="7174" max="7174" width="12.140625" style="570" bestFit="1" customWidth="1"/>
    <col min="7175" max="7175" width="14.5703125" style="570" bestFit="1" customWidth="1"/>
    <col min="7176" max="7424" width="9.140625" style="570"/>
    <col min="7425" max="7425" width="35.5703125" style="570" customWidth="1"/>
    <col min="7426" max="7426" width="20.7109375" style="570" customWidth="1"/>
    <col min="7427" max="7427" width="10.7109375" style="570" customWidth="1"/>
    <col min="7428" max="7428" width="20.7109375" style="570" customWidth="1"/>
    <col min="7429" max="7429" width="4" style="570" customWidth="1"/>
    <col min="7430" max="7430" width="12.140625" style="570" bestFit="1" customWidth="1"/>
    <col min="7431" max="7431" width="14.5703125" style="570" bestFit="1" customWidth="1"/>
    <col min="7432" max="7680" width="9.140625" style="570"/>
    <col min="7681" max="7681" width="35.5703125" style="570" customWidth="1"/>
    <col min="7682" max="7682" width="20.7109375" style="570" customWidth="1"/>
    <col min="7683" max="7683" width="10.7109375" style="570" customWidth="1"/>
    <col min="7684" max="7684" width="20.7109375" style="570" customWidth="1"/>
    <col min="7685" max="7685" width="4" style="570" customWidth="1"/>
    <col min="7686" max="7686" width="12.140625" style="570" bestFit="1" customWidth="1"/>
    <col min="7687" max="7687" width="14.5703125" style="570" bestFit="1" customWidth="1"/>
    <col min="7688" max="7936" width="9.140625" style="570"/>
    <col min="7937" max="7937" width="35.5703125" style="570" customWidth="1"/>
    <col min="7938" max="7938" width="20.7109375" style="570" customWidth="1"/>
    <col min="7939" max="7939" width="10.7109375" style="570" customWidth="1"/>
    <col min="7940" max="7940" width="20.7109375" style="570" customWidth="1"/>
    <col min="7941" max="7941" width="4" style="570" customWidth="1"/>
    <col min="7942" max="7942" width="12.140625" style="570" bestFit="1" customWidth="1"/>
    <col min="7943" max="7943" width="14.5703125" style="570" bestFit="1" customWidth="1"/>
    <col min="7944" max="8192" width="9.140625" style="570"/>
    <col min="8193" max="8193" width="35.5703125" style="570" customWidth="1"/>
    <col min="8194" max="8194" width="20.7109375" style="570" customWidth="1"/>
    <col min="8195" max="8195" width="10.7109375" style="570" customWidth="1"/>
    <col min="8196" max="8196" width="20.7109375" style="570" customWidth="1"/>
    <col min="8197" max="8197" width="4" style="570" customWidth="1"/>
    <col min="8198" max="8198" width="12.140625" style="570" bestFit="1" customWidth="1"/>
    <col min="8199" max="8199" width="14.5703125" style="570" bestFit="1" customWidth="1"/>
    <col min="8200" max="8448" width="9.140625" style="570"/>
    <col min="8449" max="8449" width="35.5703125" style="570" customWidth="1"/>
    <col min="8450" max="8450" width="20.7109375" style="570" customWidth="1"/>
    <col min="8451" max="8451" width="10.7109375" style="570" customWidth="1"/>
    <col min="8452" max="8452" width="20.7109375" style="570" customWidth="1"/>
    <col min="8453" max="8453" width="4" style="570" customWidth="1"/>
    <col min="8454" max="8454" width="12.140625" style="570" bestFit="1" customWidth="1"/>
    <col min="8455" max="8455" width="14.5703125" style="570" bestFit="1" customWidth="1"/>
    <col min="8456" max="8704" width="9.140625" style="570"/>
    <col min="8705" max="8705" width="35.5703125" style="570" customWidth="1"/>
    <col min="8706" max="8706" width="20.7109375" style="570" customWidth="1"/>
    <col min="8707" max="8707" width="10.7109375" style="570" customWidth="1"/>
    <col min="8708" max="8708" width="20.7109375" style="570" customWidth="1"/>
    <col min="8709" max="8709" width="4" style="570" customWidth="1"/>
    <col min="8710" max="8710" width="12.140625" style="570" bestFit="1" customWidth="1"/>
    <col min="8711" max="8711" width="14.5703125" style="570" bestFit="1" customWidth="1"/>
    <col min="8712" max="8960" width="9.140625" style="570"/>
    <col min="8961" max="8961" width="35.5703125" style="570" customWidth="1"/>
    <col min="8962" max="8962" width="20.7109375" style="570" customWidth="1"/>
    <col min="8963" max="8963" width="10.7109375" style="570" customWidth="1"/>
    <col min="8964" max="8964" width="20.7109375" style="570" customWidth="1"/>
    <col min="8965" max="8965" width="4" style="570" customWidth="1"/>
    <col min="8966" max="8966" width="12.140625" style="570" bestFit="1" customWidth="1"/>
    <col min="8967" max="8967" width="14.5703125" style="570" bestFit="1" customWidth="1"/>
    <col min="8968" max="9216" width="9.140625" style="570"/>
    <col min="9217" max="9217" width="35.5703125" style="570" customWidth="1"/>
    <col min="9218" max="9218" width="20.7109375" style="570" customWidth="1"/>
    <col min="9219" max="9219" width="10.7109375" style="570" customWidth="1"/>
    <col min="9220" max="9220" width="20.7109375" style="570" customWidth="1"/>
    <col min="9221" max="9221" width="4" style="570" customWidth="1"/>
    <col min="9222" max="9222" width="12.140625" style="570" bestFit="1" customWidth="1"/>
    <col min="9223" max="9223" width="14.5703125" style="570" bestFit="1" customWidth="1"/>
    <col min="9224" max="9472" width="9.140625" style="570"/>
    <col min="9473" max="9473" width="35.5703125" style="570" customWidth="1"/>
    <col min="9474" max="9474" width="20.7109375" style="570" customWidth="1"/>
    <col min="9475" max="9475" width="10.7109375" style="570" customWidth="1"/>
    <col min="9476" max="9476" width="20.7109375" style="570" customWidth="1"/>
    <col min="9477" max="9477" width="4" style="570" customWidth="1"/>
    <col min="9478" max="9478" width="12.140625" style="570" bestFit="1" customWidth="1"/>
    <col min="9479" max="9479" width="14.5703125" style="570" bestFit="1" customWidth="1"/>
    <col min="9480" max="9728" width="9.140625" style="570"/>
    <col min="9729" max="9729" width="35.5703125" style="570" customWidth="1"/>
    <col min="9730" max="9730" width="20.7109375" style="570" customWidth="1"/>
    <col min="9731" max="9731" width="10.7109375" style="570" customWidth="1"/>
    <col min="9732" max="9732" width="20.7109375" style="570" customWidth="1"/>
    <col min="9733" max="9733" width="4" style="570" customWidth="1"/>
    <col min="9734" max="9734" width="12.140625" style="570" bestFit="1" customWidth="1"/>
    <col min="9735" max="9735" width="14.5703125" style="570" bestFit="1" customWidth="1"/>
    <col min="9736" max="9984" width="9.140625" style="570"/>
    <col min="9985" max="9985" width="35.5703125" style="570" customWidth="1"/>
    <col min="9986" max="9986" width="20.7109375" style="570" customWidth="1"/>
    <col min="9987" max="9987" width="10.7109375" style="570" customWidth="1"/>
    <col min="9988" max="9988" width="20.7109375" style="570" customWidth="1"/>
    <col min="9989" max="9989" width="4" style="570" customWidth="1"/>
    <col min="9990" max="9990" width="12.140625" style="570" bestFit="1" customWidth="1"/>
    <col min="9991" max="9991" width="14.5703125" style="570" bestFit="1" customWidth="1"/>
    <col min="9992" max="10240" width="9.140625" style="570"/>
    <col min="10241" max="10241" width="35.5703125" style="570" customWidth="1"/>
    <col min="10242" max="10242" width="20.7109375" style="570" customWidth="1"/>
    <col min="10243" max="10243" width="10.7109375" style="570" customWidth="1"/>
    <col min="10244" max="10244" width="20.7109375" style="570" customWidth="1"/>
    <col min="10245" max="10245" width="4" style="570" customWidth="1"/>
    <col min="10246" max="10246" width="12.140625" style="570" bestFit="1" customWidth="1"/>
    <col min="10247" max="10247" width="14.5703125" style="570" bestFit="1" customWidth="1"/>
    <col min="10248" max="10496" width="9.140625" style="570"/>
    <col min="10497" max="10497" width="35.5703125" style="570" customWidth="1"/>
    <col min="10498" max="10498" width="20.7109375" style="570" customWidth="1"/>
    <col min="10499" max="10499" width="10.7109375" style="570" customWidth="1"/>
    <col min="10500" max="10500" width="20.7109375" style="570" customWidth="1"/>
    <col min="10501" max="10501" width="4" style="570" customWidth="1"/>
    <col min="10502" max="10502" width="12.140625" style="570" bestFit="1" customWidth="1"/>
    <col min="10503" max="10503" width="14.5703125" style="570" bestFit="1" customWidth="1"/>
    <col min="10504" max="10752" width="9.140625" style="570"/>
    <col min="10753" max="10753" width="35.5703125" style="570" customWidth="1"/>
    <col min="10754" max="10754" width="20.7109375" style="570" customWidth="1"/>
    <col min="10755" max="10755" width="10.7109375" style="570" customWidth="1"/>
    <col min="10756" max="10756" width="20.7109375" style="570" customWidth="1"/>
    <col min="10757" max="10757" width="4" style="570" customWidth="1"/>
    <col min="10758" max="10758" width="12.140625" style="570" bestFit="1" customWidth="1"/>
    <col min="10759" max="10759" width="14.5703125" style="570" bestFit="1" customWidth="1"/>
    <col min="10760" max="11008" width="9.140625" style="570"/>
    <col min="11009" max="11009" width="35.5703125" style="570" customWidth="1"/>
    <col min="11010" max="11010" width="20.7109375" style="570" customWidth="1"/>
    <col min="11011" max="11011" width="10.7109375" style="570" customWidth="1"/>
    <col min="11012" max="11012" width="20.7109375" style="570" customWidth="1"/>
    <col min="11013" max="11013" width="4" style="570" customWidth="1"/>
    <col min="11014" max="11014" width="12.140625" style="570" bestFit="1" customWidth="1"/>
    <col min="11015" max="11015" width="14.5703125" style="570" bestFit="1" customWidth="1"/>
    <col min="11016" max="11264" width="9.140625" style="570"/>
    <col min="11265" max="11265" width="35.5703125" style="570" customWidth="1"/>
    <col min="11266" max="11266" width="20.7109375" style="570" customWidth="1"/>
    <col min="11267" max="11267" width="10.7109375" style="570" customWidth="1"/>
    <col min="11268" max="11268" width="20.7109375" style="570" customWidth="1"/>
    <col min="11269" max="11269" width="4" style="570" customWidth="1"/>
    <col min="11270" max="11270" width="12.140625" style="570" bestFit="1" customWidth="1"/>
    <col min="11271" max="11271" width="14.5703125" style="570" bestFit="1" customWidth="1"/>
    <col min="11272" max="11520" width="9.140625" style="570"/>
    <col min="11521" max="11521" width="35.5703125" style="570" customWidth="1"/>
    <col min="11522" max="11522" width="20.7109375" style="570" customWidth="1"/>
    <col min="11523" max="11523" width="10.7109375" style="570" customWidth="1"/>
    <col min="11524" max="11524" width="20.7109375" style="570" customWidth="1"/>
    <col min="11525" max="11525" width="4" style="570" customWidth="1"/>
    <col min="11526" max="11526" width="12.140625" style="570" bestFit="1" customWidth="1"/>
    <col min="11527" max="11527" width="14.5703125" style="570" bestFit="1" customWidth="1"/>
    <col min="11528" max="11776" width="9.140625" style="570"/>
    <col min="11777" max="11777" width="35.5703125" style="570" customWidth="1"/>
    <col min="11778" max="11778" width="20.7109375" style="570" customWidth="1"/>
    <col min="11779" max="11779" width="10.7109375" style="570" customWidth="1"/>
    <col min="11780" max="11780" width="20.7109375" style="570" customWidth="1"/>
    <col min="11781" max="11781" width="4" style="570" customWidth="1"/>
    <col min="11782" max="11782" width="12.140625" style="570" bestFit="1" customWidth="1"/>
    <col min="11783" max="11783" width="14.5703125" style="570" bestFit="1" customWidth="1"/>
    <col min="11784" max="12032" width="9.140625" style="570"/>
    <col min="12033" max="12033" width="35.5703125" style="570" customWidth="1"/>
    <col min="12034" max="12034" width="20.7109375" style="570" customWidth="1"/>
    <col min="12035" max="12035" width="10.7109375" style="570" customWidth="1"/>
    <col min="12036" max="12036" width="20.7109375" style="570" customWidth="1"/>
    <col min="12037" max="12037" width="4" style="570" customWidth="1"/>
    <col min="12038" max="12038" width="12.140625" style="570" bestFit="1" customWidth="1"/>
    <col min="12039" max="12039" width="14.5703125" style="570" bestFit="1" customWidth="1"/>
    <col min="12040" max="12288" width="9.140625" style="570"/>
    <col min="12289" max="12289" width="35.5703125" style="570" customWidth="1"/>
    <col min="12290" max="12290" width="20.7109375" style="570" customWidth="1"/>
    <col min="12291" max="12291" width="10.7109375" style="570" customWidth="1"/>
    <col min="12292" max="12292" width="20.7109375" style="570" customWidth="1"/>
    <col min="12293" max="12293" width="4" style="570" customWidth="1"/>
    <col min="12294" max="12294" width="12.140625" style="570" bestFit="1" customWidth="1"/>
    <col min="12295" max="12295" width="14.5703125" style="570" bestFit="1" customWidth="1"/>
    <col min="12296" max="12544" width="9.140625" style="570"/>
    <col min="12545" max="12545" width="35.5703125" style="570" customWidth="1"/>
    <col min="12546" max="12546" width="20.7109375" style="570" customWidth="1"/>
    <col min="12547" max="12547" width="10.7109375" style="570" customWidth="1"/>
    <col min="12548" max="12548" width="20.7109375" style="570" customWidth="1"/>
    <col min="12549" max="12549" width="4" style="570" customWidth="1"/>
    <col min="12550" max="12550" width="12.140625" style="570" bestFit="1" customWidth="1"/>
    <col min="12551" max="12551" width="14.5703125" style="570" bestFit="1" customWidth="1"/>
    <col min="12552" max="12800" width="9.140625" style="570"/>
    <col min="12801" max="12801" width="35.5703125" style="570" customWidth="1"/>
    <col min="12802" max="12802" width="20.7109375" style="570" customWidth="1"/>
    <col min="12803" max="12803" width="10.7109375" style="570" customWidth="1"/>
    <col min="12804" max="12804" width="20.7109375" style="570" customWidth="1"/>
    <col min="12805" max="12805" width="4" style="570" customWidth="1"/>
    <col min="12806" max="12806" width="12.140625" style="570" bestFit="1" customWidth="1"/>
    <col min="12807" max="12807" width="14.5703125" style="570" bestFit="1" customWidth="1"/>
    <col min="12808" max="13056" width="9.140625" style="570"/>
    <col min="13057" max="13057" width="35.5703125" style="570" customWidth="1"/>
    <col min="13058" max="13058" width="20.7109375" style="570" customWidth="1"/>
    <col min="13059" max="13059" width="10.7109375" style="570" customWidth="1"/>
    <col min="13060" max="13060" width="20.7109375" style="570" customWidth="1"/>
    <col min="13061" max="13061" width="4" style="570" customWidth="1"/>
    <col min="13062" max="13062" width="12.140625" style="570" bestFit="1" customWidth="1"/>
    <col min="13063" max="13063" width="14.5703125" style="570" bestFit="1" customWidth="1"/>
    <col min="13064" max="13312" width="9.140625" style="570"/>
    <col min="13313" max="13313" width="35.5703125" style="570" customWidth="1"/>
    <col min="13314" max="13314" width="20.7109375" style="570" customWidth="1"/>
    <col min="13315" max="13315" width="10.7109375" style="570" customWidth="1"/>
    <col min="13316" max="13316" width="20.7109375" style="570" customWidth="1"/>
    <col min="13317" max="13317" width="4" style="570" customWidth="1"/>
    <col min="13318" max="13318" width="12.140625" style="570" bestFit="1" customWidth="1"/>
    <col min="13319" max="13319" width="14.5703125" style="570" bestFit="1" customWidth="1"/>
    <col min="13320" max="13568" width="9.140625" style="570"/>
    <col min="13569" max="13569" width="35.5703125" style="570" customWidth="1"/>
    <col min="13570" max="13570" width="20.7109375" style="570" customWidth="1"/>
    <col min="13571" max="13571" width="10.7109375" style="570" customWidth="1"/>
    <col min="13572" max="13572" width="20.7109375" style="570" customWidth="1"/>
    <col min="13573" max="13573" width="4" style="570" customWidth="1"/>
    <col min="13574" max="13574" width="12.140625" style="570" bestFit="1" customWidth="1"/>
    <col min="13575" max="13575" width="14.5703125" style="570" bestFit="1" customWidth="1"/>
    <col min="13576" max="13824" width="9.140625" style="570"/>
    <col min="13825" max="13825" width="35.5703125" style="570" customWidth="1"/>
    <col min="13826" max="13826" width="20.7109375" style="570" customWidth="1"/>
    <col min="13827" max="13827" width="10.7109375" style="570" customWidth="1"/>
    <col min="13828" max="13828" width="20.7109375" style="570" customWidth="1"/>
    <col min="13829" max="13829" width="4" style="570" customWidth="1"/>
    <col min="13830" max="13830" width="12.140625" style="570" bestFit="1" customWidth="1"/>
    <col min="13831" max="13831" width="14.5703125" style="570" bestFit="1" customWidth="1"/>
    <col min="13832" max="14080" width="9.140625" style="570"/>
    <col min="14081" max="14081" width="35.5703125" style="570" customWidth="1"/>
    <col min="14082" max="14082" width="20.7109375" style="570" customWidth="1"/>
    <col min="14083" max="14083" width="10.7109375" style="570" customWidth="1"/>
    <col min="14084" max="14084" width="20.7109375" style="570" customWidth="1"/>
    <col min="14085" max="14085" width="4" style="570" customWidth="1"/>
    <col min="14086" max="14086" width="12.140625" style="570" bestFit="1" customWidth="1"/>
    <col min="14087" max="14087" width="14.5703125" style="570" bestFit="1" customWidth="1"/>
    <col min="14088" max="14336" width="9.140625" style="570"/>
    <col min="14337" max="14337" width="35.5703125" style="570" customWidth="1"/>
    <col min="14338" max="14338" width="20.7109375" style="570" customWidth="1"/>
    <col min="14339" max="14339" width="10.7109375" style="570" customWidth="1"/>
    <col min="14340" max="14340" width="20.7109375" style="570" customWidth="1"/>
    <col min="14341" max="14341" width="4" style="570" customWidth="1"/>
    <col min="14342" max="14342" width="12.140625" style="570" bestFit="1" customWidth="1"/>
    <col min="14343" max="14343" width="14.5703125" style="570" bestFit="1" customWidth="1"/>
    <col min="14344" max="14592" width="9.140625" style="570"/>
    <col min="14593" max="14593" width="35.5703125" style="570" customWidth="1"/>
    <col min="14594" max="14594" width="20.7109375" style="570" customWidth="1"/>
    <col min="14595" max="14595" width="10.7109375" style="570" customWidth="1"/>
    <col min="14596" max="14596" width="20.7109375" style="570" customWidth="1"/>
    <col min="14597" max="14597" width="4" style="570" customWidth="1"/>
    <col min="14598" max="14598" width="12.140625" style="570" bestFit="1" customWidth="1"/>
    <col min="14599" max="14599" width="14.5703125" style="570" bestFit="1" customWidth="1"/>
    <col min="14600" max="14848" width="9.140625" style="570"/>
    <col min="14849" max="14849" width="35.5703125" style="570" customWidth="1"/>
    <col min="14850" max="14850" width="20.7109375" style="570" customWidth="1"/>
    <col min="14851" max="14851" width="10.7109375" style="570" customWidth="1"/>
    <col min="14852" max="14852" width="20.7109375" style="570" customWidth="1"/>
    <col min="14853" max="14853" width="4" style="570" customWidth="1"/>
    <col min="14854" max="14854" width="12.140625" style="570" bestFit="1" customWidth="1"/>
    <col min="14855" max="14855" width="14.5703125" style="570" bestFit="1" customWidth="1"/>
    <col min="14856" max="15104" width="9.140625" style="570"/>
    <col min="15105" max="15105" width="35.5703125" style="570" customWidth="1"/>
    <col min="15106" max="15106" width="20.7109375" style="570" customWidth="1"/>
    <col min="15107" max="15107" width="10.7109375" style="570" customWidth="1"/>
    <col min="15108" max="15108" width="20.7109375" style="570" customWidth="1"/>
    <col min="15109" max="15109" width="4" style="570" customWidth="1"/>
    <col min="15110" max="15110" width="12.140625" style="570" bestFit="1" customWidth="1"/>
    <col min="15111" max="15111" width="14.5703125" style="570" bestFit="1" customWidth="1"/>
    <col min="15112" max="15360" width="9.140625" style="570"/>
    <col min="15361" max="15361" width="35.5703125" style="570" customWidth="1"/>
    <col min="15362" max="15362" width="20.7109375" style="570" customWidth="1"/>
    <col min="15363" max="15363" width="10.7109375" style="570" customWidth="1"/>
    <col min="15364" max="15364" width="20.7109375" style="570" customWidth="1"/>
    <col min="15365" max="15365" width="4" style="570" customWidth="1"/>
    <col min="15366" max="15366" width="12.140625" style="570" bestFit="1" customWidth="1"/>
    <col min="15367" max="15367" width="14.5703125" style="570" bestFit="1" customWidth="1"/>
    <col min="15368" max="15616" width="9.140625" style="570"/>
    <col min="15617" max="15617" width="35.5703125" style="570" customWidth="1"/>
    <col min="15618" max="15618" width="20.7109375" style="570" customWidth="1"/>
    <col min="15619" max="15619" width="10.7109375" style="570" customWidth="1"/>
    <col min="15620" max="15620" width="20.7109375" style="570" customWidth="1"/>
    <col min="15621" max="15621" width="4" style="570" customWidth="1"/>
    <col min="15622" max="15622" width="12.140625" style="570" bestFit="1" customWidth="1"/>
    <col min="15623" max="15623" width="14.5703125" style="570" bestFit="1" customWidth="1"/>
    <col min="15624" max="15872" width="9.140625" style="570"/>
    <col min="15873" max="15873" width="35.5703125" style="570" customWidth="1"/>
    <col min="15874" max="15874" width="20.7109375" style="570" customWidth="1"/>
    <col min="15875" max="15875" width="10.7109375" style="570" customWidth="1"/>
    <col min="15876" max="15876" width="20.7109375" style="570" customWidth="1"/>
    <col min="15877" max="15877" width="4" style="570" customWidth="1"/>
    <col min="15878" max="15878" width="12.140625" style="570" bestFit="1" customWidth="1"/>
    <col min="15879" max="15879" width="14.5703125" style="570" bestFit="1" customWidth="1"/>
    <col min="15880" max="16128" width="9.140625" style="570"/>
    <col min="16129" max="16129" width="35.5703125" style="570" customWidth="1"/>
    <col min="16130" max="16130" width="20.7109375" style="570" customWidth="1"/>
    <col min="16131" max="16131" width="10.7109375" style="570" customWidth="1"/>
    <col min="16132" max="16132" width="20.7109375" style="570" customWidth="1"/>
    <col min="16133" max="16133" width="4" style="570" customWidth="1"/>
    <col min="16134" max="16134" width="12.140625" style="570" bestFit="1" customWidth="1"/>
    <col min="16135" max="16135" width="14.5703125" style="570" bestFit="1" customWidth="1"/>
    <col min="16136" max="16384" width="9.140625" style="570"/>
  </cols>
  <sheetData>
    <row r="2" spans="1:5" ht="34.5" customHeight="1" x14ac:dyDescent="0.25">
      <c r="A2" s="1423" t="s">
        <v>360</v>
      </c>
      <c r="B2" s="1423"/>
      <c r="C2" s="1423"/>
      <c r="D2" s="1423"/>
      <c r="E2" s="1423"/>
    </row>
    <row r="3" spans="1:5" ht="21" x14ac:dyDescent="0.35">
      <c r="A3" s="571"/>
      <c r="B3" s="571"/>
      <c r="C3" s="571"/>
      <c r="D3" s="571"/>
      <c r="E3" s="571"/>
    </row>
    <row r="4" spans="1:5" ht="21" x14ac:dyDescent="0.35">
      <c r="A4" s="571"/>
      <c r="B4" s="571"/>
      <c r="C4" s="571"/>
      <c r="D4" s="571"/>
      <c r="E4" s="571"/>
    </row>
    <row r="5" spans="1:5" x14ac:dyDescent="0.25">
      <c r="A5" s="572"/>
      <c r="B5" s="573"/>
      <c r="C5" s="574" t="s">
        <v>361</v>
      </c>
      <c r="D5" s="575" t="str">
        <f>LPKK!Q4</f>
        <v>SC MARABAHAN</v>
      </c>
      <c r="E5" s="572"/>
    </row>
    <row r="6" spans="1:5" x14ac:dyDescent="0.25">
      <c r="A6" s="572"/>
      <c r="B6" s="576"/>
      <c r="C6" s="577" t="s">
        <v>362</v>
      </c>
      <c r="D6" s="575" t="str">
        <f>LPKK!Q5</f>
        <v>1-7 JULI 2026</v>
      </c>
      <c r="E6" s="572"/>
    </row>
    <row r="7" spans="1:5" x14ac:dyDescent="0.25">
      <c r="A7" s="572"/>
      <c r="B7" s="576"/>
      <c r="C7" s="572"/>
      <c r="D7" s="572"/>
      <c r="E7" s="572"/>
    </row>
    <row r="8" spans="1:5" x14ac:dyDescent="0.25">
      <c r="A8" s="572"/>
      <c r="B8" s="578" t="s">
        <v>363</v>
      </c>
      <c r="C8" s="578"/>
      <c r="D8" s="578" t="s">
        <v>364</v>
      </c>
      <c r="E8" s="572"/>
    </row>
    <row r="9" spans="1:5" x14ac:dyDescent="0.25">
      <c r="A9" s="572"/>
      <c r="B9" s="572"/>
      <c r="C9" s="572"/>
      <c r="D9" s="572"/>
      <c r="E9" s="572"/>
    </row>
    <row r="10" spans="1:5" x14ac:dyDescent="0.25">
      <c r="A10" s="572" t="s">
        <v>365</v>
      </c>
      <c r="B10" s="579">
        <v>12327191.723700052</v>
      </c>
      <c r="C10" s="580"/>
      <c r="D10" s="581">
        <v>2273313.6</v>
      </c>
      <c r="E10" s="572"/>
    </row>
    <row r="11" spans="1:5" x14ac:dyDescent="0.25">
      <c r="A11" s="572"/>
      <c r="B11" s="582"/>
      <c r="C11" s="572"/>
      <c r="D11" s="582"/>
      <c r="E11" s="572"/>
    </row>
    <row r="12" spans="1:5" x14ac:dyDescent="0.25">
      <c r="A12" s="572" t="s">
        <v>366</v>
      </c>
      <c r="B12" s="583"/>
      <c r="C12" s="572"/>
      <c r="D12" s="583"/>
      <c r="E12" s="572"/>
    </row>
    <row r="13" spans="1:5" x14ac:dyDescent="0.25">
      <c r="A13" s="572" t="s">
        <v>367</v>
      </c>
      <c r="B13" s="584">
        <f>'TO-TI'!S19</f>
        <v>85485.875</v>
      </c>
      <c r="C13" s="572"/>
      <c r="D13" s="583"/>
      <c r="E13" s="572"/>
    </row>
    <row r="14" spans="1:5" x14ac:dyDescent="0.25">
      <c r="A14" s="572" t="s">
        <v>229</v>
      </c>
      <c r="B14" s="584">
        <f>'TO-TI'!D18</f>
        <v>139420.5</v>
      </c>
      <c r="C14" s="572"/>
      <c r="D14" s="583"/>
      <c r="E14" s="572"/>
    </row>
    <row r="15" spans="1:5" x14ac:dyDescent="0.25">
      <c r="A15" s="572"/>
      <c r="B15" s="582"/>
      <c r="C15" s="572"/>
      <c r="D15" s="582"/>
      <c r="E15" s="572"/>
    </row>
    <row r="16" spans="1:5" x14ac:dyDescent="0.25">
      <c r="A16" s="572" t="s">
        <v>368</v>
      </c>
      <c r="B16" s="584">
        <f>SUM(B12:B14)</f>
        <v>224906.375</v>
      </c>
      <c r="C16" s="572"/>
      <c r="D16" s="584">
        <f>SUM(D12:D14)</f>
        <v>0</v>
      </c>
      <c r="E16" s="572"/>
    </row>
    <row r="17" spans="1:8" x14ac:dyDescent="0.25">
      <c r="A17" s="572"/>
      <c r="B17" s="582"/>
      <c r="C17" s="572"/>
      <c r="D17" s="582"/>
      <c r="E17" s="572"/>
    </row>
    <row r="18" spans="1:8" x14ac:dyDescent="0.25">
      <c r="A18" s="572" t="s">
        <v>125</v>
      </c>
      <c r="B18" s="582"/>
      <c r="C18" s="572"/>
      <c r="D18" s="582"/>
      <c r="E18" s="572"/>
    </row>
    <row r="19" spans="1:8" x14ac:dyDescent="0.25">
      <c r="A19" s="572" t="s">
        <v>369</v>
      </c>
      <c r="B19" s="584">
        <f>VENDOR!AI153</f>
        <v>12120878</v>
      </c>
      <c r="C19" s="572"/>
      <c r="D19" s="584">
        <f>VENDOR!AI154</f>
        <v>6579650</v>
      </c>
      <c r="E19" s="572"/>
    </row>
    <row r="20" spans="1:8" x14ac:dyDescent="0.25">
      <c r="A20" s="572" t="s">
        <v>370</v>
      </c>
      <c r="B20" s="584">
        <f>VENDOR!AI155</f>
        <v>2809438</v>
      </c>
      <c r="C20" s="585"/>
      <c r="D20" s="584">
        <f>VENDOR!AI156</f>
        <v>421900</v>
      </c>
      <c r="E20" s="586"/>
    </row>
    <row r="21" spans="1:8" x14ac:dyDescent="0.25">
      <c r="A21" s="572" t="s">
        <v>371</v>
      </c>
      <c r="B21" s="584">
        <f>B19+B20</f>
        <v>14930316</v>
      </c>
      <c r="C21" s="572"/>
      <c r="D21" s="584">
        <f>D19+D20</f>
        <v>7001550</v>
      </c>
      <c r="E21" s="572"/>
    </row>
    <row r="22" spans="1:8" x14ac:dyDescent="0.25">
      <c r="A22" s="572"/>
      <c r="B22" s="582"/>
      <c r="C22" s="572"/>
      <c r="D22" s="587"/>
      <c r="E22" s="572"/>
      <c r="H22" s="570" t="s">
        <v>112</v>
      </c>
    </row>
    <row r="23" spans="1:8" x14ac:dyDescent="0.25">
      <c r="A23" s="572" t="s">
        <v>372</v>
      </c>
      <c r="B23" s="584">
        <f>B10+B16+B21</f>
        <v>27482414.098700054</v>
      </c>
      <c r="C23" s="572"/>
      <c r="D23" s="584">
        <f>D10+D16+D21</f>
        <v>9274863.5999999996</v>
      </c>
      <c r="E23" s="572"/>
    </row>
    <row r="24" spans="1:8" x14ac:dyDescent="0.25">
      <c r="A24" s="572"/>
      <c r="B24" s="582"/>
      <c r="C24" s="572"/>
      <c r="D24" s="582"/>
      <c r="E24" s="572"/>
    </row>
    <row r="25" spans="1:8" x14ac:dyDescent="0.25">
      <c r="A25" s="572" t="s">
        <v>373</v>
      </c>
      <c r="B25" s="582"/>
      <c r="C25" s="572"/>
      <c r="D25" s="582"/>
      <c r="E25" s="572"/>
    </row>
    <row r="26" spans="1:8" x14ac:dyDescent="0.25">
      <c r="A26" s="572" t="s">
        <v>374</v>
      </c>
      <c r="B26" s="584">
        <f>'TO-TI'!I20+'TO-TI'!N21</f>
        <v>160667.95954824478</v>
      </c>
      <c r="C26" s="572"/>
      <c r="D26" s="583"/>
      <c r="E26" s="572"/>
    </row>
    <row r="27" spans="1:8" x14ac:dyDescent="0.25">
      <c r="A27" s="572" t="s">
        <v>367</v>
      </c>
      <c r="B27" s="584">
        <f>'TO-TI'!S19</f>
        <v>85485.875</v>
      </c>
      <c r="C27" s="572"/>
      <c r="D27" s="583"/>
      <c r="E27" s="572"/>
    </row>
    <row r="28" spans="1:8" x14ac:dyDescent="0.25">
      <c r="A28" s="572" t="s">
        <v>229</v>
      </c>
      <c r="B28" s="584">
        <f>'TO-TI'!D18</f>
        <v>139420.5</v>
      </c>
      <c r="C28" s="572"/>
      <c r="D28" s="583"/>
      <c r="E28" s="572"/>
    </row>
    <row r="29" spans="1:8" x14ac:dyDescent="0.25">
      <c r="A29" s="572"/>
      <c r="B29" s="583"/>
      <c r="C29" s="588"/>
      <c r="D29" s="583"/>
      <c r="E29" s="572"/>
    </row>
    <row r="30" spans="1:8" x14ac:dyDescent="0.25">
      <c r="A30" s="572"/>
      <c r="B30" s="587"/>
      <c r="C30" s="572"/>
      <c r="D30" s="587"/>
      <c r="E30" s="572"/>
    </row>
    <row r="31" spans="1:8" x14ac:dyDescent="0.25">
      <c r="A31" s="589" t="s">
        <v>375</v>
      </c>
      <c r="B31" s="590">
        <f>SUM(B26:B29)</f>
        <v>385574.33454824478</v>
      </c>
      <c r="C31" s="572"/>
      <c r="D31" s="584">
        <f>SUM(D26:D29)</f>
        <v>0</v>
      </c>
      <c r="E31" s="404"/>
    </row>
    <row r="32" spans="1:8" x14ac:dyDescent="0.25">
      <c r="A32" s="572"/>
      <c r="B32" s="587"/>
      <c r="C32" s="572"/>
      <c r="D32" s="582"/>
      <c r="E32" s="572"/>
    </row>
    <row r="33" spans="1:9" x14ac:dyDescent="0.25">
      <c r="A33" s="589" t="s">
        <v>376</v>
      </c>
      <c r="B33" s="591">
        <f>WEEKLY!F333</f>
        <v>14070977.981056808</v>
      </c>
      <c r="C33" s="572"/>
      <c r="D33" s="584">
        <f>WEEKLY!F334</f>
        <v>6867740.4000000004</v>
      </c>
      <c r="E33" s="572"/>
    </row>
    <row r="34" spans="1:9" x14ac:dyDescent="0.25">
      <c r="A34" s="572"/>
      <c r="B34" s="582"/>
      <c r="C34" s="572"/>
      <c r="D34" s="582"/>
      <c r="E34" s="572"/>
      <c r="G34" s="592"/>
    </row>
    <row r="35" spans="1:9" x14ac:dyDescent="0.25">
      <c r="A35" s="572" t="s">
        <v>377</v>
      </c>
      <c r="B35" s="584">
        <f>B23-B31-B33</f>
        <v>13025861.783095</v>
      </c>
      <c r="C35" s="572"/>
      <c r="D35" s="584">
        <f>D23-D31-D33</f>
        <v>2407123.1999999993</v>
      </c>
      <c r="E35" s="572"/>
      <c r="F35" s="593"/>
      <c r="G35" s="594"/>
      <c r="H35" s="595"/>
    </row>
    <row r="36" spans="1:9" x14ac:dyDescent="0.25">
      <c r="A36" s="572" t="s">
        <v>378</v>
      </c>
      <c r="B36" s="596">
        <f>(B35/B44)</f>
        <v>0.47554393819597324</v>
      </c>
      <c r="C36" s="572"/>
      <c r="D36" s="596">
        <f>D35/B44</f>
        <v>8.7878473249000569E-2</v>
      </c>
      <c r="E36" s="572"/>
      <c r="F36" s="593"/>
    </row>
    <row r="37" spans="1:9" x14ac:dyDescent="0.25">
      <c r="A37" s="572"/>
      <c r="B37" s="583"/>
      <c r="C37" s="572"/>
      <c r="D37" s="583"/>
      <c r="E37" s="572"/>
      <c r="G37" s="597"/>
    </row>
    <row r="38" spans="1:9" x14ac:dyDescent="0.25">
      <c r="A38" s="572"/>
      <c r="B38" s="582"/>
      <c r="C38" s="572"/>
      <c r="D38" s="582"/>
      <c r="E38" s="572"/>
    </row>
    <row r="39" spans="1:9" x14ac:dyDescent="0.25">
      <c r="A39" s="572" t="s">
        <v>379</v>
      </c>
      <c r="B39" s="584">
        <f>'LAPORAN KAS PERIODE'!N8</f>
        <v>27391500</v>
      </c>
      <c r="C39" s="572"/>
      <c r="D39" s="583"/>
      <c r="E39" s="572"/>
      <c r="G39" s="593"/>
    </row>
    <row r="40" spans="1:9" x14ac:dyDescent="0.25">
      <c r="A40" s="572" t="s">
        <v>380</v>
      </c>
      <c r="B40" s="584">
        <f>'LAPORAN KAS PERIODE'!N12</f>
        <v>0</v>
      </c>
      <c r="C40" s="572"/>
      <c r="D40" s="583"/>
      <c r="E40" s="572"/>
    </row>
    <row r="41" spans="1:9" x14ac:dyDescent="0.25">
      <c r="A41" s="572" t="s">
        <v>381</v>
      </c>
      <c r="B41" s="584">
        <f>'LAPORAN KAS PERIODE'!N13</f>
        <v>0</v>
      </c>
      <c r="C41" s="572"/>
      <c r="D41" s="583"/>
      <c r="E41" s="572"/>
    </row>
    <row r="42" spans="1:9" x14ac:dyDescent="0.25">
      <c r="A42" s="572" t="s">
        <v>382</v>
      </c>
      <c r="B42" s="584">
        <f>SUM('LAPORAN KAS PERIODE'!N9:N11)</f>
        <v>0</v>
      </c>
      <c r="C42" s="572"/>
      <c r="D42" s="583"/>
      <c r="E42" s="572"/>
    </row>
    <row r="43" spans="1:9" x14ac:dyDescent="0.25">
      <c r="A43" s="572" t="s">
        <v>383</v>
      </c>
      <c r="B43" s="583"/>
      <c r="C43" s="572"/>
      <c r="D43" s="583"/>
      <c r="E43" s="572"/>
    </row>
    <row r="44" spans="1:9" x14ac:dyDescent="0.25">
      <c r="A44" s="572" t="s">
        <v>384</v>
      </c>
      <c r="B44" s="584">
        <f>B39-B40-B41-B42-B43</f>
        <v>27391500</v>
      </c>
      <c r="C44" s="572"/>
      <c r="D44" s="583"/>
      <c r="E44" s="572"/>
    </row>
    <row r="45" spans="1:9" x14ac:dyDescent="0.25">
      <c r="A45" s="572"/>
      <c r="B45" s="572"/>
      <c r="C45" s="572"/>
      <c r="D45" s="572"/>
      <c r="E45" s="572"/>
    </row>
    <row r="46" spans="1:9" x14ac:dyDescent="0.25">
      <c r="A46" s="572"/>
      <c r="B46" s="572"/>
      <c r="C46" s="572"/>
      <c r="D46" s="572"/>
      <c r="E46" s="572"/>
    </row>
    <row r="47" spans="1:9" x14ac:dyDescent="0.25">
      <c r="A47" s="598" t="s">
        <v>385</v>
      </c>
      <c r="B47" s="599">
        <f>B35+D35</f>
        <v>15432984.983095</v>
      </c>
      <c r="C47" s="600"/>
      <c r="D47" s="601">
        <f>B47/B48</f>
        <v>0.56342241144497374</v>
      </c>
      <c r="E47" s="572"/>
      <c r="F47" s="602"/>
      <c r="G47" s="1104"/>
      <c r="H47" s="602"/>
      <c r="I47" s="602"/>
    </row>
    <row r="48" spans="1:9" x14ac:dyDescent="0.25">
      <c r="A48" s="572" t="s">
        <v>386</v>
      </c>
      <c r="B48" s="603">
        <f>B44</f>
        <v>27391500</v>
      </c>
      <c r="C48" s="600"/>
      <c r="D48" s="604"/>
      <c r="E48" s="572"/>
    </row>
    <row r="49" spans="1:11" ht="15.75" x14ac:dyDescent="0.25">
      <c r="A49" s="572"/>
      <c r="B49" s="572"/>
      <c r="C49" s="572"/>
      <c r="D49" s="572"/>
      <c r="E49" s="572"/>
      <c r="K49" s="605"/>
    </row>
    <row r="50" spans="1:11" x14ac:dyDescent="0.25">
      <c r="A50" s="404"/>
      <c r="B50" s="404"/>
      <c r="C50" s="404"/>
      <c r="D50" s="404"/>
      <c r="E50" s="404"/>
      <c r="F50" s="606"/>
      <c r="I50" s="602"/>
    </row>
    <row r="51" spans="1:11" ht="15.75" x14ac:dyDescent="0.25">
      <c r="A51" s="64"/>
      <c r="B51" s="64"/>
      <c r="C51" s="63"/>
      <c r="D51" s="64"/>
      <c r="E51" s="607"/>
      <c r="F51" s="607"/>
    </row>
    <row r="52" spans="1:11" ht="15.75" x14ac:dyDescent="0.25">
      <c r="A52" s="64"/>
      <c r="B52" s="64"/>
      <c r="C52" s="64"/>
      <c r="E52" s="161"/>
      <c r="F52" s="161"/>
    </row>
    <row r="53" spans="1:11" ht="15.75" x14ac:dyDescent="0.25">
      <c r="A53" s="63"/>
      <c r="B53" s="63"/>
      <c r="C53" s="63"/>
      <c r="D53" s="63"/>
      <c r="E53" s="607"/>
      <c r="F53" s="607"/>
    </row>
    <row r="54" spans="1:11" ht="15.75" x14ac:dyDescent="0.25">
      <c r="A54" s="64"/>
      <c r="B54" s="64"/>
      <c r="C54" s="63"/>
      <c r="D54" s="63"/>
      <c r="E54" s="607"/>
      <c r="F54" s="607"/>
    </row>
    <row r="55" spans="1:11" ht="15.75" x14ac:dyDescent="0.25">
      <c r="A55" s="64"/>
      <c r="B55" s="64"/>
      <c r="C55" s="63"/>
      <c r="D55" s="63"/>
      <c r="E55" s="607"/>
      <c r="F55" s="607"/>
    </row>
    <row r="56" spans="1:11" ht="15.75" x14ac:dyDescent="0.25">
      <c r="A56" s="513"/>
      <c r="B56" s="513"/>
      <c r="C56" s="63"/>
      <c r="D56" s="63"/>
      <c r="E56" s="607"/>
      <c r="F56" s="607"/>
    </row>
  </sheetData>
  <mergeCells count="1">
    <mergeCell ref="A2:E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AF5E3-67FD-4DE2-B642-B6B20B38BBB5}">
  <sheetPr>
    <tabColor rgb="FF00B050"/>
  </sheetPr>
  <dimension ref="B2:O48"/>
  <sheetViews>
    <sheetView topLeftCell="B23" workbookViewId="0">
      <selection activeCell="G38" sqref="G38"/>
    </sheetView>
  </sheetViews>
  <sheetFormatPr defaultColWidth="9" defaultRowHeight="15" x14ac:dyDescent="0.25"/>
  <cols>
    <col min="1" max="1" width="3.85546875" style="617" customWidth="1"/>
    <col min="2" max="2" width="5" style="617" customWidth="1"/>
    <col min="3" max="3" width="19.42578125" style="617" customWidth="1"/>
    <col min="4" max="14" width="18.7109375" style="617" customWidth="1"/>
    <col min="15" max="256" width="9" style="617"/>
    <col min="257" max="257" width="3.85546875" style="617" customWidth="1"/>
    <col min="258" max="258" width="5" style="617" customWidth="1"/>
    <col min="259" max="259" width="19.42578125" style="617" customWidth="1"/>
    <col min="260" max="270" width="18.7109375" style="617" customWidth="1"/>
    <col min="271" max="512" width="9" style="617"/>
    <col min="513" max="513" width="3.85546875" style="617" customWidth="1"/>
    <col min="514" max="514" width="5" style="617" customWidth="1"/>
    <col min="515" max="515" width="19.42578125" style="617" customWidth="1"/>
    <col min="516" max="526" width="18.7109375" style="617" customWidth="1"/>
    <col min="527" max="768" width="9" style="617"/>
    <col min="769" max="769" width="3.85546875" style="617" customWidth="1"/>
    <col min="770" max="770" width="5" style="617" customWidth="1"/>
    <col min="771" max="771" width="19.42578125" style="617" customWidth="1"/>
    <col min="772" max="782" width="18.7109375" style="617" customWidth="1"/>
    <col min="783" max="1024" width="9" style="617"/>
    <col min="1025" max="1025" width="3.85546875" style="617" customWidth="1"/>
    <col min="1026" max="1026" width="5" style="617" customWidth="1"/>
    <col min="1027" max="1027" width="19.42578125" style="617" customWidth="1"/>
    <col min="1028" max="1038" width="18.7109375" style="617" customWidth="1"/>
    <col min="1039" max="1280" width="9" style="617"/>
    <col min="1281" max="1281" width="3.85546875" style="617" customWidth="1"/>
    <col min="1282" max="1282" width="5" style="617" customWidth="1"/>
    <col min="1283" max="1283" width="19.42578125" style="617" customWidth="1"/>
    <col min="1284" max="1294" width="18.7109375" style="617" customWidth="1"/>
    <col min="1295" max="1536" width="9" style="617"/>
    <col min="1537" max="1537" width="3.85546875" style="617" customWidth="1"/>
    <col min="1538" max="1538" width="5" style="617" customWidth="1"/>
    <col min="1539" max="1539" width="19.42578125" style="617" customWidth="1"/>
    <col min="1540" max="1550" width="18.7109375" style="617" customWidth="1"/>
    <col min="1551" max="1792" width="9" style="617"/>
    <col min="1793" max="1793" width="3.85546875" style="617" customWidth="1"/>
    <col min="1794" max="1794" width="5" style="617" customWidth="1"/>
    <col min="1795" max="1795" width="19.42578125" style="617" customWidth="1"/>
    <col min="1796" max="1806" width="18.7109375" style="617" customWidth="1"/>
    <col min="1807" max="2048" width="9" style="617"/>
    <col min="2049" max="2049" width="3.85546875" style="617" customWidth="1"/>
    <col min="2050" max="2050" width="5" style="617" customWidth="1"/>
    <col min="2051" max="2051" width="19.42578125" style="617" customWidth="1"/>
    <col min="2052" max="2062" width="18.7109375" style="617" customWidth="1"/>
    <col min="2063" max="2304" width="9" style="617"/>
    <col min="2305" max="2305" width="3.85546875" style="617" customWidth="1"/>
    <col min="2306" max="2306" width="5" style="617" customWidth="1"/>
    <col min="2307" max="2307" width="19.42578125" style="617" customWidth="1"/>
    <col min="2308" max="2318" width="18.7109375" style="617" customWidth="1"/>
    <col min="2319" max="2560" width="9" style="617"/>
    <col min="2561" max="2561" width="3.85546875" style="617" customWidth="1"/>
    <col min="2562" max="2562" width="5" style="617" customWidth="1"/>
    <col min="2563" max="2563" width="19.42578125" style="617" customWidth="1"/>
    <col min="2564" max="2574" width="18.7109375" style="617" customWidth="1"/>
    <col min="2575" max="2816" width="9" style="617"/>
    <col min="2817" max="2817" width="3.85546875" style="617" customWidth="1"/>
    <col min="2818" max="2818" width="5" style="617" customWidth="1"/>
    <col min="2819" max="2819" width="19.42578125" style="617" customWidth="1"/>
    <col min="2820" max="2830" width="18.7109375" style="617" customWidth="1"/>
    <col min="2831" max="3072" width="9" style="617"/>
    <col min="3073" max="3073" width="3.85546875" style="617" customWidth="1"/>
    <col min="3074" max="3074" width="5" style="617" customWidth="1"/>
    <col min="3075" max="3075" width="19.42578125" style="617" customWidth="1"/>
    <col min="3076" max="3086" width="18.7109375" style="617" customWidth="1"/>
    <col min="3087" max="3328" width="9" style="617"/>
    <col min="3329" max="3329" width="3.85546875" style="617" customWidth="1"/>
    <col min="3330" max="3330" width="5" style="617" customWidth="1"/>
    <col min="3331" max="3331" width="19.42578125" style="617" customWidth="1"/>
    <col min="3332" max="3342" width="18.7109375" style="617" customWidth="1"/>
    <col min="3343" max="3584" width="9" style="617"/>
    <col min="3585" max="3585" width="3.85546875" style="617" customWidth="1"/>
    <col min="3586" max="3586" width="5" style="617" customWidth="1"/>
    <col min="3587" max="3587" width="19.42578125" style="617" customWidth="1"/>
    <col min="3588" max="3598" width="18.7109375" style="617" customWidth="1"/>
    <col min="3599" max="3840" width="9" style="617"/>
    <col min="3841" max="3841" width="3.85546875" style="617" customWidth="1"/>
    <col min="3842" max="3842" width="5" style="617" customWidth="1"/>
    <col min="3843" max="3843" width="19.42578125" style="617" customWidth="1"/>
    <col min="3844" max="3854" width="18.7109375" style="617" customWidth="1"/>
    <col min="3855" max="4096" width="9" style="617"/>
    <col min="4097" max="4097" width="3.85546875" style="617" customWidth="1"/>
    <col min="4098" max="4098" width="5" style="617" customWidth="1"/>
    <col min="4099" max="4099" width="19.42578125" style="617" customWidth="1"/>
    <col min="4100" max="4110" width="18.7109375" style="617" customWidth="1"/>
    <col min="4111" max="4352" width="9" style="617"/>
    <col min="4353" max="4353" width="3.85546875" style="617" customWidth="1"/>
    <col min="4354" max="4354" width="5" style="617" customWidth="1"/>
    <col min="4355" max="4355" width="19.42578125" style="617" customWidth="1"/>
    <col min="4356" max="4366" width="18.7109375" style="617" customWidth="1"/>
    <col min="4367" max="4608" width="9" style="617"/>
    <col min="4609" max="4609" width="3.85546875" style="617" customWidth="1"/>
    <col min="4610" max="4610" width="5" style="617" customWidth="1"/>
    <col min="4611" max="4611" width="19.42578125" style="617" customWidth="1"/>
    <col min="4612" max="4622" width="18.7109375" style="617" customWidth="1"/>
    <col min="4623" max="4864" width="9" style="617"/>
    <col min="4865" max="4865" width="3.85546875" style="617" customWidth="1"/>
    <col min="4866" max="4866" width="5" style="617" customWidth="1"/>
    <col min="4867" max="4867" width="19.42578125" style="617" customWidth="1"/>
    <col min="4868" max="4878" width="18.7109375" style="617" customWidth="1"/>
    <col min="4879" max="5120" width="9" style="617"/>
    <col min="5121" max="5121" width="3.85546875" style="617" customWidth="1"/>
    <col min="5122" max="5122" width="5" style="617" customWidth="1"/>
    <col min="5123" max="5123" width="19.42578125" style="617" customWidth="1"/>
    <col min="5124" max="5134" width="18.7109375" style="617" customWidth="1"/>
    <col min="5135" max="5376" width="9" style="617"/>
    <col min="5377" max="5377" width="3.85546875" style="617" customWidth="1"/>
    <col min="5378" max="5378" width="5" style="617" customWidth="1"/>
    <col min="5379" max="5379" width="19.42578125" style="617" customWidth="1"/>
    <col min="5380" max="5390" width="18.7109375" style="617" customWidth="1"/>
    <col min="5391" max="5632" width="9" style="617"/>
    <col min="5633" max="5633" width="3.85546875" style="617" customWidth="1"/>
    <col min="5634" max="5634" width="5" style="617" customWidth="1"/>
    <col min="5635" max="5635" width="19.42578125" style="617" customWidth="1"/>
    <col min="5636" max="5646" width="18.7109375" style="617" customWidth="1"/>
    <col min="5647" max="5888" width="9" style="617"/>
    <col min="5889" max="5889" width="3.85546875" style="617" customWidth="1"/>
    <col min="5890" max="5890" width="5" style="617" customWidth="1"/>
    <col min="5891" max="5891" width="19.42578125" style="617" customWidth="1"/>
    <col min="5892" max="5902" width="18.7109375" style="617" customWidth="1"/>
    <col min="5903" max="6144" width="9" style="617"/>
    <col min="6145" max="6145" width="3.85546875" style="617" customWidth="1"/>
    <col min="6146" max="6146" width="5" style="617" customWidth="1"/>
    <col min="6147" max="6147" width="19.42578125" style="617" customWidth="1"/>
    <col min="6148" max="6158" width="18.7109375" style="617" customWidth="1"/>
    <col min="6159" max="6400" width="9" style="617"/>
    <col min="6401" max="6401" width="3.85546875" style="617" customWidth="1"/>
    <col min="6402" max="6402" width="5" style="617" customWidth="1"/>
    <col min="6403" max="6403" width="19.42578125" style="617" customWidth="1"/>
    <col min="6404" max="6414" width="18.7109375" style="617" customWidth="1"/>
    <col min="6415" max="6656" width="9" style="617"/>
    <col min="6657" max="6657" width="3.85546875" style="617" customWidth="1"/>
    <col min="6658" max="6658" width="5" style="617" customWidth="1"/>
    <col min="6659" max="6659" width="19.42578125" style="617" customWidth="1"/>
    <col min="6660" max="6670" width="18.7109375" style="617" customWidth="1"/>
    <col min="6671" max="6912" width="9" style="617"/>
    <col min="6913" max="6913" width="3.85546875" style="617" customWidth="1"/>
    <col min="6914" max="6914" width="5" style="617" customWidth="1"/>
    <col min="6915" max="6915" width="19.42578125" style="617" customWidth="1"/>
    <col min="6916" max="6926" width="18.7109375" style="617" customWidth="1"/>
    <col min="6927" max="7168" width="9" style="617"/>
    <col min="7169" max="7169" width="3.85546875" style="617" customWidth="1"/>
    <col min="7170" max="7170" width="5" style="617" customWidth="1"/>
    <col min="7171" max="7171" width="19.42578125" style="617" customWidth="1"/>
    <col min="7172" max="7182" width="18.7109375" style="617" customWidth="1"/>
    <col min="7183" max="7424" width="9" style="617"/>
    <col min="7425" max="7425" width="3.85546875" style="617" customWidth="1"/>
    <col min="7426" max="7426" width="5" style="617" customWidth="1"/>
    <col min="7427" max="7427" width="19.42578125" style="617" customWidth="1"/>
    <col min="7428" max="7438" width="18.7109375" style="617" customWidth="1"/>
    <col min="7439" max="7680" width="9" style="617"/>
    <col min="7681" max="7681" width="3.85546875" style="617" customWidth="1"/>
    <col min="7682" max="7682" width="5" style="617" customWidth="1"/>
    <col min="7683" max="7683" width="19.42578125" style="617" customWidth="1"/>
    <col min="7684" max="7694" width="18.7109375" style="617" customWidth="1"/>
    <col min="7695" max="7936" width="9" style="617"/>
    <col min="7937" max="7937" width="3.85546875" style="617" customWidth="1"/>
    <col min="7938" max="7938" width="5" style="617" customWidth="1"/>
    <col min="7939" max="7939" width="19.42578125" style="617" customWidth="1"/>
    <col min="7940" max="7950" width="18.7109375" style="617" customWidth="1"/>
    <col min="7951" max="8192" width="9" style="617"/>
    <col min="8193" max="8193" width="3.85546875" style="617" customWidth="1"/>
    <col min="8194" max="8194" width="5" style="617" customWidth="1"/>
    <col min="8195" max="8195" width="19.42578125" style="617" customWidth="1"/>
    <col min="8196" max="8206" width="18.7109375" style="617" customWidth="1"/>
    <col min="8207" max="8448" width="9" style="617"/>
    <col min="8449" max="8449" width="3.85546875" style="617" customWidth="1"/>
    <col min="8450" max="8450" width="5" style="617" customWidth="1"/>
    <col min="8451" max="8451" width="19.42578125" style="617" customWidth="1"/>
    <col min="8452" max="8462" width="18.7109375" style="617" customWidth="1"/>
    <col min="8463" max="8704" width="9" style="617"/>
    <col min="8705" max="8705" width="3.85546875" style="617" customWidth="1"/>
    <col min="8706" max="8706" width="5" style="617" customWidth="1"/>
    <col min="8707" max="8707" width="19.42578125" style="617" customWidth="1"/>
    <col min="8708" max="8718" width="18.7109375" style="617" customWidth="1"/>
    <col min="8719" max="8960" width="9" style="617"/>
    <col min="8961" max="8961" width="3.85546875" style="617" customWidth="1"/>
    <col min="8962" max="8962" width="5" style="617" customWidth="1"/>
    <col min="8963" max="8963" width="19.42578125" style="617" customWidth="1"/>
    <col min="8964" max="8974" width="18.7109375" style="617" customWidth="1"/>
    <col min="8975" max="9216" width="9" style="617"/>
    <col min="9217" max="9217" width="3.85546875" style="617" customWidth="1"/>
    <col min="9218" max="9218" width="5" style="617" customWidth="1"/>
    <col min="9219" max="9219" width="19.42578125" style="617" customWidth="1"/>
    <col min="9220" max="9230" width="18.7109375" style="617" customWidth="1"/>
    <col min="9231" max="9472" width="9" style="617"/>
    <col min="9473" max="9473" width="3.85546875" style="617" customWidth="1"/>
    <col min="9474" max="9474" width="5" style="617" customWidth="1"/>
    <col min="9475" max="9475" width="19.42578125" style="617" customWidth="1"/>
    <col min="9476" max="9486" width="18.7109375" style="617" customWidth="1"/>
    <col min="9487" max="9728" width="9" style="617"/>
    <col min="9729" max="9729" width="3.85546875" style="617" customWidth="1"/>
    <col min="9730" max="9730" width="5" style="617" customWidth="1"/>
    <col min="9731" max="9731" width="19.42578125" style="617" customWidth="1"/>
    <col min="9732" max="9742" width="18.7109375" style="617" customWidth="1"/>
    <col min="9743" max="9984" width="9" style="617"/>
    <col min="9985" max="9985" width="3.85546875" style="617" customWidth="1"/>
    <col min="9986" max="9986" width="5" style="617" customWidth="1"/>
    <col min="9987" max="9987" width="19.42578125" style="617" customWidth="1"/>
    <col min="9988" max="9998" width="18.7109375" style="617" customWidth="1"/>
    <col min="9999" max="10240" width="9" style="617"/>
    <col min="10241" max="10241" width="3.85546875" style="617" customWidth="1"/>
    <col min="10242" max="10242" width="5" style="617" customWidth="1"/>
    <col min="10243" max="10243" width="19.42578125" style="617" customWidth="1"/>
    <col min="10244" max="10254" width="18.7109375" style="617" customWidth="1"/>
    <col min="10255" max="10496" width="9" style="617"/>
    <col min="10497" max="10497" width="3.85546875" style="617" customWidth="1"/>
    <col min="10498" max="10498" width="5" style="617" customWidth="1"/>
    <col min="10499" max="10499" width="19.42578125" style="617" customWidth="1"/>
    <col min="10500" max="10510" width="18.7109375" style="617" customWidth="1"/>
    <col min="10511" max="10752" width="9" style="617"/>
    <col min="10753" max="10753" width="3.85546875" style="617" customWidth="1"/>
    <col min="10754" max="10754" width="5" style="617" customWidth="1"/>
    <col min="10755" max="10755" width="19.42578125" style="617" customWidth="1"/>
    <col min="10756" max="10766" width="18.7109375" style="617" customWidth="1"/>
    <col min="10767" max="11008" width="9" style="617"/>
    <col min="11009" max="11009" width="3.85546875" style="617" customWidth="1"/>
    <col min="11010" max="11010" width="5" style="617" customWidth="1"/>
    <col min="11011" max="11011" width="19.42578125" style="617" customWidth="1"/>
    <col min="11012" max="11022" width="18.7109375" style="617" customWidth="1"/>
    <col min="11023" max="11264" width="9" style="617"/>
    <col min="11265" max="11265" width="3.85546875" style="617" customWidth="1"/>
    <col min="11266" max="11266" width="5" style="617" customWidth="1"/>
    <col min="11267" max="11267" width="19.42578125" style="617" customWidth="1"/>
    <col min="11268" max="11278" width="18.7109375" style="617" customWidth="1"/>
    <col min="11279" max="11520" width="9" style="617"/>
    <col min="11521" max="11521" width="3.85546875" style="617" customWidth="1"/>
    <col min="11522" max="11522" width="5" style="617" customWidth="1"/>
    <col min="11523" max="11523" width="19.42578125" style="617" customWidth="1"/>
    <col min="11524" max="11534" width="18.7109375" style="617" customWidth="1"/>
    <col min="11535" max="11776" width="9" style="617"/>
    <col min="11777" max="11777" width="3.85546875" style="617" customWidth="1"/>
    <col min="11778" max="11778" width="5" style="617" customWidth="1"/>
    <col min="11779" max="11779" width="19.42578125" style="617" customWidth="1"/>
    <col min="11780" max="11790" width="18.7109375" style="617" customWidth="1"/>
    <col min="11791" max="12032" width="9" style="617"/>
    <col min="12033" max="12033" width="3.85546875" style="617" customWidth="1"/>
    <col min="12034" max="12034" width="5" style="617" customWidth="1"/>
    <col min="12035" max="12035" width="19.42578125" style="617" customWidth="1"/>
    <col min="12036" max="12046" width="18.7109375" style="617" customWidth="1"/>
    <col min="12047" max="12288" width="9" style="617"/>
    <col min="12289" max="12289" width="3.85546875" style="617" customWidth="1"/>
    <col min="12290" max="12290" width="5" style="617" customWidth="1"/>
    <col min="12291" max="12291" width="19.42578125" style="617" customWidth="1"/>
    <col min="12292" max="12302" width="18.7109375" style="617" customWidth="1"/>
    <col min="12303" max="12544" width="9" style="617"/>
    <col min="12545" max="12545" width="3.85546875" style="617" customWidth="1"/>
    <col min="12546" max="12546" width="5" style="617" customWidth="1"/>
    <col min="12547" max="12547" width="19.42578125" style="617" customWidth="1"/>
    <col min="12548" max="12558" width="18.7109375" style="617" customWidth="1"/>
    <col min="12559" max="12800" width="9" style="617"/>
    <col min="12801" max="12801" width="3.85546875" style="617" customWidth="1"/>
    <col min="12802" max="12802" width="5" style="617" customWidth="1"/>
    <col min="12803" max="12803" width="19.42578125" style="617" customWidth="1"/>
    <col min="12804" max="12814" width="18.7109375" style="617" customWidth="1"/>
    <col min="12815" max="13056" width="9" style="617"/>
    <col min="13057" max="13057" width="3.85546875" style="617" customWidth="1"/>
    <col min="13058" max="13058" width="5" style="617" customWidth="1"/>
    <col min="13059" max="13059" width="19.42578125" style="617" customWidth="1"/>
    <col min="13060" max="13070" width="18.7109375" style="617" customWidth="1"/>
    <col min="13071" max="13312" width="9" style="617"/>
    <col min="13313" max="13313" width="3.85546875" style="617" customWidth="1"/>
    <col min="13314" max="13314" width="5" style="617" customWidth="1"/>
    <col min="13315" max="13315" width="19.42578125" style="617" customWidth="1"/>
    <col min="13316" max="13326" width="18.7109375" style="617" customWidth="1"/>
    <col min="13327" max="13568" width="9" style="617"/>
    <col min="13569" max="13569" width="3.85546875" style="617" customWidth="1"/>
    <col min="13570" max="13570" width="5" style="617" customWidth="1"/>
    <col min="13571" max="13571" width="19.42578125" style="617" customWidth="1"/>
    <col min="13572" max="13582" width="18.7109375" style="617" customWidth="1"/>
    <col min="13583" max="13824" width="9" style="617"/>
    <col min="13825" max="13825" width="3.85546875" style="617" customWidth="1"/>
    <col min="13826" max="13826" width="5" style="617" customWidth="1"/>
    <col min="13827" max="13827" width="19.42578125" style="617" customWidth="1"/>
    <col min="13828" max="13838" width="18.7109375" style="617" customWidth="1"/>
    <col min="13839" max="14080" width="9" style="617"/>
    <col min="14081" max="14081" width="3.85546875" style="617" customWidth="1"/>
    <col min="14082" max="14082" width="5" style="617" customWidth="1"/>
    <col min="14083" max="14083" width="19.42578125" style="617" customWidth="1"/>
    <col min="14084" max="14094" width="18.7109375" style="617" customWidth="1"/>
    <col min="14095" max="14336" width="9" style="617"/>
    <col min="14337" max="14337" width="3.85546875" style="617" customWidth="1"/>
    <col min="14338" max="14338" width="5" style="617" customWidth="1"/>
    <col min="14339" max="14339" width="19.42578125" style="617" customWidth="1"/>
    <col min="14340" max="14350" width="18.7109375" style="617" customWidth="1"/>
    <col min="14351" max="14592" width="9" style="617"/>
    <col min="14593" max="14593" width="3.85546875" style="617" customWidth="1"/>
    <col min="14594" max="14594" width="5" style="617" customWidth="1"/>
    <col min="14595" max="14595" width="19.42578125" style="617" customWidth="1"/>
    <col min="14596" max="14606" width="18.7109375" style="617" customWidth="1"/>
    <col min="14607" max="14848" width="9" style="617"/>
    <col min="14849" max="14849" width="3.85546875" style="617" customWidth="1"/>
    <col min="14850" max="14850" width="5" style="617" customWidth="1"/>
    <col min="14851" max="14851" width="19.42578125" style="617" customWidth="1"/>
    <col min="14852" max="14862" width="18.7109375" style="617" customWidth="1"/>
    <col min="14863" max="15104" width="9" style="617"/>
    <col min="15105" max="15105" width="3.85546875" style="617" customWidth="1"/>
    <col min="15106" max="15106" width="5" style="617" customWidth="1"/>
    <col min="15107" max="15107" width="19.42578125" style="617" customWidth="1"/>
    <col min="15108" max="15118" width="18.7109375" style="617" customWidth="1"/>
    <col min="15119" max="15360" width="9" style="617"/>
    <col min="15361" max="15361" width="3.85546875" style="617" customWidth="1"/>
    <col min="15362" max="15362" width="5" style="617" customWidth="1"/>
    <col min="15363" max="15363" width="19.42578125" style="617" customWidth="1"/>
    <col min="15364" max="15374" width="18.7109375" style="617" customWidth="1"/>
    <col min="15375" max="15616" width="9" style="617"/>
    <col min="15617" max="15617" width="3.85546875" style="617" customWidth="1"/>
    <col min="15618" max="15618" width="5" style="617" customWidth="1"/>
    <col min="15619" max="15619" width="19.42578125" style="617" customWidth="1"/>
    <col min="15620" max="15630" width="18.7109375" style="617" customWidth="1"/>
    <col min="15631" max="15872" width="9" style="617"/>
    <col min="15873" max="15873" width="3.85546875" style="617" customWidth="1"/>
    <col min="15874" max="15874" width="5" style="617" customWidth="1"/>
    <col min="15875" max="15875" width="19.42578125" style="617" customWidth="1"/>
    <col min="15876" max="15886" width="18.7109375" style="617" customWidth="1"/>
    <col min="15887" max="16128" width="9" style="617"/>
    <col min="16129" max="16129" width="3.85546875" style="617" customWidth="1"/>
    <col min="16130" max="16130" width="5" style="617" customWidth="1"/>
    <col min="16131" max="16131" width="19.42578125" style="617" customWidth="1"/>
    <col min="16132" max="16142" width="18.7109375" style="617" customWidth="1"/>
    <col min="16143" max="16384" width="9" style="617"/>
  </cols>
  <sheetData>
    <row r="2" spans="2:15" ht="30.75" customHeight="1" x14ac:dyDescent="0.4">
      <c r="B2" s="1424" t="s">
        <v>404</v>
      </c>
      <c r="C2" s="1424"/>
      <c r="D2" s="1424"/>
      <c r="E2" s="1424"/>
      <c r="F2" s="1424"/>
      <c r="G2" s="1424"/>
      <c r="H2" s="1424"/>
      <c r="I2" s="1424"/>
      <c r="J2" s="1424"/>
      <c r="K2" s="1424"/>
      <c r="L2" s="1424"/>
      <c r="M2" s="1424"/>
      <c r="N2" s="1424"/>
    </row>
    <row r="3" spans="2:15" ht="20.100000000000001" customHeight="1" x14ac:dyDescent="0.25">
      <c r="B3" s="618"/>
      <c r="C3" s="570"/>
      <c r="D3" s="570"/>
      <c r="E3" s="570"/>
      <c r="F3" s="570"/>
      <c r="G3" s="570"/>
      <c r="H3" s="570"/>
      <c r="I3" s="570"/>
      <c r="J3" s="570"/>
      <c r="K3" s="619"/>
      <c r="L3" s="620" t="s">
        <v>86</v>
      </c>
      <c r="M3" s="1425" t="str">
        <f>LPKK!Q4</f>
        <v>SC MARABAHAN</v>
      </c>
      <c r="N3" s="1425"/>
    </row>
    <row r="4" spans="2:15" ht="20.100000000000001" customHeight="1" x14ac:dyDescent="0.25">
      <c r="B4" s="618"/>
      <c r="C4" s="570"/>
      <c r="D4" s="570"/>
      <c r="E4" s="593"/>
      <c r="F4" s="570"/>
      <c r="G4" s="570"/>
      <c r="H4" s="570"/>
      <c r="I4" s="570"/>
      <c r="J4" s="570"/>
      <c r="K4" s="570"/>
      <c r="L4" s="620" t="s">
        <v>87</v>
      </c>
      <c r="M4" s="1426" t="str">
        <f>LPKK!Q5</f>
        <v>1-7 JULI 2026</v>
      </c>
      <c r="N4" s="1426"/>
    </row>
    <row r="5" spans="2:15" ht="11.25" customHeight="1" thickBot="1" x14ac:dyDescent="0.3">
      <c r="B5" s="570"/>
      <c r="C5" s="570"/>
      <c r="D5" s="570"/>
      <c r="E5" s="570"/>
      <c r="F5" s="570"/>
      <c r="G5" s="570"/>
      <c r="H5" s="570"/>
      <c r="I5" s="570"/>
      <c r="J5" s="570"/>
      <c r="K5" s="570"/>
      <c r="L5" s="570"/>
      <c r="M5" s="570"/>
      <c r="N5" s="570"/>
    </row>
    <row r="6" spans="2:15" ht="20.100000000000001" customHeight="1" x14ac:dyDescent="0.25">
      <c r="B6" s="1427" t="s">
        <v>4</v>
      </c>
      <c r="C6" s="1428"/>
      <c r="D6" s="621" t="s">
        <v>1049</v>
      </c>
      <c r="E6" s="621" t="s">
        <v>1043</v>
      </c>
      <c r="F6" s="621" t="s">
        <v>1044</v>
      </c>
      <c r="G6" s="621" t="s">
        <v>1045</v>
      </c>
      <c r="H6" s="621" t="s">
        <v>1046</v>
      </c>
      <c r="I6" s="621" t="s">
        <v>1047</v>
      </c>
      <c r="J6" s="621" t="s">
        <v>1048</v>
      </c>
      <c r="K6" s="621"/>
      <c r="L6" s="621"/>
      <c r="M6" s="621"/>
      <c r="N6" s="1429" t="s">
        <v>10</v>
      </c>
    </row>
    <row r="7" spans="2:15" ht="20.100000000000001" customHeight="1" thickBot="1" x14ac:dyDescent="0.3">
      <c r="B7" s="1431" t="s">
        <v>128</v>
      </c>
      <c r="C7" s="1432"/>
      <c r="D7" s="622" t="s">
        <v>1032</v>
      </c>
      <c r="E7" s="622" t="s">
        <v>1033</v>
      </c>
      <c r="F7" s="622" t="s">
        <v>1034</v>
      </c>
      <c r="G7" s="622" t="s">
        <v>1035</v>
      </c>
      <c r="H7" s="622" t="s">
        <v>1036</v>
      </c>
      <c r="I7" s="622" t="s">
        <v>1037</v>
      </c>
      <c r="J7" s="622" t="s">
        <v>1042</v>
      </c>
      <c r="K7" s="622"/>
      <c r="L7" s="622"/>
      <c r="M7" s="622"/>
      <c r="N7" s="1430"/>
      <c r="O7" s="623"/>
    </row>
    <row r="8" spans="2:15" ht="20.100000000000001" customHeight="1" x14ac:dyDescent="0.25">
      <c r="B8" s="624" t="s">
        <v>405</v>
      </c>
      <c r="C8" s="625"/>
      <c r="D8" s="626">
        <f>SUM('LAP. PENJUALAN REGULER'!D112,'LAP. PENJUALAN GOFOOD'!D112,'LAP. PENJUALAN GRABFOOD'!D112,'LAP. PENJUALAN SHOPEFOOD'!D112)</f>
        <v>4454000</v>
      </c>
      <c r="E8" s="626">
        <f>SUM('LAP. PENJUALAN REGULER'!E112,'LAP. PENJUALAN GOFOOD'!E112,'LAP. PENJUALAN GRABFOOD'!E112,'LAP. PENJUALAN SHOPEFOOD'!E112)</f>
        <v>3639000</v>
      </c>
      <c r="F8" s="626">
        <f>SUM('LAP. PENJUALAN REGULER'!F112,'LAP. PENJUALAN GOFOOD'!F112,'LAP. PENJUALAN GRABFOOD'!F112,'LAP. PENJUALAN SHOPEFOOD'!F112)</f>
        <v>3173500</v>
      </c>
      <c r="G8" s="626">
        <f>SUM('LAP. PENJUALAN REGULER'!G112,'LAP. PENJUALAN GOFOOD'!G112,'LAP. PENJUALAN GRABFOOD'!G112,'LAP. PENJUALAN SHOPEFOOD'!G112)</f>
        <v>3484000</v>
      </c>
      <c r="H8" s="626">
        <f>SUM('LAP. PENJUALAN REGULER'!H112,'LAP. PENJUALAN GOFOOD'!H112,'LAP. PENJUALAN GRABFOOD'!H112,'LAP. PENJUALAN SHOPEFOOD'!H112)</f>
        <v>4920500</v>
      </c>
      <c r="I8" s="626">
        <f>SUM('LAP. PENJUALAN REGULER'!I112,'LAP. PENJUALAN GOFOOD'!I112,'LAP. PENJUALAN GRABFOOD'!I112,'LAP. PENJUALAN SHOPEFOOD'!I112)</f>
        <v>4009000</v>
      </c>
      <c r="J8" s="626">
        <f>SUM('LAP. PENJUALAN REGULER'!J112,'LAP. PENJUALAN GOFOOD'!J112,'LAP. PENJUALAN GRABFOOD'!J112,'LAP. PENJUALAN SHOPEFOOD'!J112)</f>
        <v>3711500</v>
      </c>
      <c r="K8" s="626">
        <f>SUM('LAP. PENJUALAN REGULER'!K112,'LAP. PENJUALAN GOFOOD'!K112,'LAP. PENJUALAN GRABFOOD'!K112,'LAP. PENJUALAN SHOPEFOOD'!K112)</f>
        <v>0</v>
      </c>
      <c r="L8" s="626">
        <f>SUM('LAP. PENJUALAN REGULER'!L112,'LAP. PENJUALAN GOFOOD'!L112,'LAP. PENJUALAN GRABFOOD'!L112,'LAP. PENJUALAN SHOPEFOOD'!L112)</f>
        <v>0</v>
      </c>
      <c r="M8" s="626">
        <f>SUM('LAP. PENJUALAN REGULER'!M112,'LAP. PENJUALAN GOFOOD'!M112,'LAP. PENJUALAN GRABFOOD'!M112,'LAP. PENJUALAN SHOPEFOOD'!M112)</f>
        <v>0</v>
      </c>
      <c r="N8" s="627">
        <f>SUM(D8:M8)</f>
        <v>27391500</v>
      </c>
      <c r="O8" s="623"/>
    </row>
    <row r="9" spans="2:15" ht="20.100000000000001" customHeight="1" x14ac:dyDescent="0.25">
      <c r="B9" s="628" t="s">
        <v>406</v>
      </c>
      <c r="C9" s="629"/>
      <c r="D9" s="630"/>
      <c r="E9" s="631"/>
      <c r="F9" s="631"/>
      <c r="G9" s="631"/>
      <c r="H9" s="631"/>
      <c r="I9" s="631"/>
      <c r="J9" s="631"/>
      <c r="K9" s="631"/>
      <c r="L9" s="631"/>
      <c r="M9" s="630"/>
      <c r="N9" s="632">
        <f t="shared" ref="N9:N31" si="0">SUM(D9:M9)</f>
        <v>0</v>
      </c>
      <c r="O9" s="623"/>
    </row>
    <row r="10" spans="2:15" ht="20.100000000000001" customHeight="1" x14ac:dyDescent="0.25">
      <c r="B10" s="1434" t="s">
        <v>976</v>
      </c>
      <c r="C10" s="1435"/>
      <c r="D10" s="630"/>
      <c r="E10" s="631"/>
      <c r="F10" s="631"/>
      <c r="G10" s="631"/>
      <c r="H10" s="631"/>
      <c r="I10" s="633"/>
      <c r="J10" s="631"/>
      <c r="K10" s="631"/>
      <c r="L10" s="631"/>
      <c r="M10" s="630"/>
      <c r="N10" s="632">
        <f t="shared" si="0"/>
        <v>0</v>
      </c>
      <c r="O10" s="623"/>
    </row>
    <row r="11" spans="2:15" ht="20.100000000000001" customHeight="1" x14ac:dyDescent="0.25">
      <c r="B11" s="1434" t="s">
        <v>407</v>
      </c>
      <c r="C11" s="1435"/>
      <c r="D11" s="630"/>
      <c r="E11" s="631"/>
      <c r="F11" s="631"/>
      <c r="G11" s="631"/>
      <c r="H11" s="631"/>
      <c r="I11" s="631"/>
      <c r="J11" s="631"/>
      <c r="K11" s="631"/>
      <c r="L11" s="631"/>
      <c r="M11" s="630"/>
      <c r="N11" s="632">
        <f t="shared" si="0"/>
        <v>0</v>
      </c>
      <c r="O11" s="623"/>
    </row>
    <row r="12" spans="2:15" ht="20.100000000000001" customHeight="1" x14ac:dyDescent="0.25">
      <c r="B12" s="634" t="s">
        <v>408</v>
      </c>
      <c r="C12" s="635"/>
      <c r="D12" s="633"/>
      <c r="E12" s="633"/>
      <c r="F12" s="633"/>
      <c r="G12" s="636"/>
      <c r="H12" s="633"/>
      <c r="I12" s="633"/>
      <c r="J12" s="633"/>
      <c r="K12" s="633"/>
      <c r="L12" s="633"/>
      <c r="M12" s="633"/>
      <c r="N12" s="632">
        <f t="shared" si="0"/>
        <v>0</v>
      </c>
      <c r="O12" s="623"/>
    </row>
    <row r="13" spans="2:15" ht="20.100000000000001" customHeight="1" x14ac:dyDescent="0.25">
      <c r="B13" s="634" t="s">
        <v>409</v>
      </c>
      <c r="C13" s="635"/>
      <c r="D13" s="633"/>
      <c r="E13" s="633"/>
      <c r="F13" s="633"/>
      <c r="G13" s="633"/>
      <c r="H13" s="633"/>
      <c r="I13" s="633"/>
      <c r="J13" s="633"/>
      <c r="K13" s="633"/>
      <c r="L13" s="633"/>
      <c r="M13" s="633"/>
      <c r="N13" s="632">
        <f t="shared" si="0"/>
        <v>0</v>
      </c>
      <c r="O13" s="623"/>
    </row>
    <row r="14" spans="2:15" ht="16.5" customHeight="1" x14ac:dyDescent="0.25">
      <c r="B14" s="1436" t="s">
        <v>410</v>
      </c>
      <c r="C14" s="1437"/>
      <c r="D14" s="637"/>
      <c r="E14" s="637"/>
      <c r="F14" s="637"/>
      <c r="G14" s="637"/>
      <c r="H14" s="637"/>
      <c r="I14" s="637"/>
      <c r="J14" s="637"/>
      <c r="K14" s="637"/>
      <c r="L14" s="637"/>
      <c r="M14" s="637"/>
      <c r="N14" s="632">
        <f t="shared" si="0"/>
        <v>0</v>
      </c>
      <c r="O14" s="623"/>
    </row>
    <row r="15" spans="2:15" ht="20.100000000000001" customHeight="1" x14ac:dyDescent="0.25">
      <c r="B15" s="638" t="s">
        <v>411</v>
      </c>
      <c r="C15" s="639"/>
      <c r="D15" s="640">
        <f>D8-D9-D10-D11-D12-D13-D14</f>
        <v>4454000</v>
      </c>
      <c r="E15" s="640">
        <f t="shared" ref="E15:M15" si="1">E8-E9-E10-E11-E12-E13-E14</f>
        <v>3639000</v>
      </c>
      <c r="F15" s="640">
        <f t="shared" si="1"/>
        <v>3173500</v>
      </c>
      <c r="G15" s="640">
        <f t="shared" si="1"/>
        <v>3484000</v>
      </c>
      <c r="H15" s="640">
        <f t="shared" si="1"/>
        <v>4920500</v>
      </c>
      <c r="I15" s="640">
        <f t="shared" si="1"/>
        <v>4009000</v>
      </c>
      <c r="J15" s="640">
        <f t="shared" si="1"/>
        <v>3711500</v>
      </c>
      <c r="K15" s="640">
        <f t="shared" si="1"/>
        <v>0</v>
      </c>
      <c r="L15" s="640">
        <f t="shared" si="1"/>
        <v>0</v>
      </c>
      <c r="M15" s="640">
        <f t="shared" si="1"/>
        <v>0</v>
      </c>
      <c r="N15" s="632">
        <f t="shared" si="0"/>
        <v>27391500</v>
      </c>
      <c r="O15" s="623"/>
    </row>
    <row r="16" spans="2:15" ht="20.100000000000001" customHeight="1" x14ac:dyDescent="0.25">
      <c r="B16" s="634" t="s">
        <v>412</v>
      </c>
      <c r="C16" s="1139"/>
      <c r="D16" s="641"/>
      <c r="E16" s="633"/>
      <c r="F16" s="633"/>
      <c r="G16" s="633"/>
      <c r="H16" s="633"/>
      <c r="I16" s="633"/>
      <c r="J16" s="633"/>
      <c r="K16" s="633"/>
      <c r="L16" s="633"/>
      <c r="M16" s="641"/>
      <c r="N16" s="632">
        <f t="shared" si="0"/>
        <v>0</v>
      </c>
      <c r="O16" s="623"/>
    </row>
    <row r="17" spans="2:15" ht="20.100000000000001" customHeight="1" x14ac:dyDescent="0.25">
      <c r="B17" s="634" t="s">
        <v>977</v>
      </c>
      <c r="C17" s="1139"/>
      <c r="D17" s="633"/>
      <c r="E17" s="633"/>
      <c r="F17" s="633"/>
      <c r="G17" s="633"/>
      <c r="H17" s="633"/>
      <c r="I17" s="633"/>
      <c r="J17" s="633"/>
      <c r="K17" s="633"/>
      <c r="L17" s="633"/>
      <c r="M17" s="633"/>
      <c r="N17" s="632">
        <f t="shared" si="0"/>
        <v>0</v>
      </c>
      <c r="O17" s="623"/>
    </row>
    <row r="18" spans="2:15" ht="20.100000000000001" customHeight="1" x14ac:dyDescent="0.25">
      <c r="B18" s="634" t="s">
        <v>941</v>
      </c>
      <c r="C18" s="1139"/>
      <c r="D18" s="633"/>
      <c r="E18" s="633"/>
      <c r="F18" s="633"/>
      <c r="G18" s="633"/>
      <c r="H18" s="633"/>
      <c r="I18" s="631"/>
      <c r="J18" s="633"/>
      <c r="K18" s="633"/>
      <c r="L18" s="633"/>
      <c r="M18" s="633"/>
      <c r="N18" s="632">
        <f t="shared" si="0"/>
        <v>0</v>
      </c>
      <c r="O18" s="623"/>
    </row>
    <row r="19" spans="2:15" ht="20.100000000000001" customHeight="1" x14ac:dyDescent="0.25">
      <c r="B19" s="628" t="s">
        <v>942</v>
      </c>
      <c r="C19" s="1140"/>
      <c r="D19" s="633"/>
      <c r="E19" s="633"/>
      <c r="F19" s="633"/>
      <c r="G19" s="633"/>
      <c r="H19" s="633"/>
      <c r="I19" s="633"/>
      <c r="J19" s="633"/>
      <c r="K19" s="633"/>
      <c r="L19" s="633"/>
      <c r="M19" s="633"/>
      <c r="N19" s="632">
        <f t="shared" si="0"/>
        <v>0</v>
      </c>
      <c r="O19" s="623"/>
    </row>
    <row r="20" spans="2:15" ht="20.100000000000001" customHeight="1" x14ac:dyDescent="0.25">
      <c r="B20" s="1438" t="s">
        <v>978</v>
      </c>
      <c r="C20" s="1439"/>
      <c r="D20" s="633">
        <v>830500</v>
      </c>
      <c r="E20" s="633">
        <v>1042500</v>
      </c>
      <c r="F20" s="633">
        <v>787000</v>
      </c>
      <c r="G20" s="633">
        <v>607000</v>
      </c>
      <c r="H20" s="633">
        <v>1541500</v>
      </c>
      <c r="I20" s="633">
        <v>626500</v>
      </c>
      <c r="J20" s="633">
        <v>436000</v>
      </c>
      <c r="K20" s="633"/>
      <c r="L20" s="633"/>
      <c r="M20" s="633"/>
      <c r="N20" s="632">
        <f t="shared" si="0"/>
        <v>5871000</v>
      </c>
      <c r="O20" s="623"/>
    </row>
    <row r="21" spans="2:15" ht="20.100000000000001" customHeight="1" x14ac:dyDescent="0.25">
      <c r="B21" s="1438" t="s">
        <v>943</v>
      </c>
      <c r="C21" s="1439"/>
      <c r="D21" s="633"/>
      <c r="E21" s="633"/>
      <c r="F21" s="633"/>
      <c r="G21" s="633"/>
      <c r="H21" s="633"/>
      <c r="I21" s="633"/>
      <c r="J21" s="633"/>
      <c r="K21" s="633"/>
      <c r="L21" s="633"/>
      <c r="M21" s="633"/>
      <c r="N21" s="632">
        <f t="shared" si="0"/>
        <v>0</v>
      </c>
      <c r="O21" s="623"/>
    </row>
    <row r="22" spans="2:15" ht="20.100000000000001" customHeight="1" x14ac:dyDescent="0.25">
      <c r="B22" s="1434" t="s">
        <v>413</v>
      </c>
      <c r="C22" s="1435"/>
      <c r="D22" s="642"/>
      <c r="E22" s="643"/>
      <c r="F22" s="643"/>
      <c r="G22" s="643"/>
      <c r="H22" s="643"/>
      <c r="I22" s="643"/>
      <c r="J22" s="643"/>
      <c r="K22" s="643"/>
      <c r="L22" s="644"/>
      <c r="M22" s="642"/>
      <c r="N22" s="632">
        <f t="shared" si="0"/>
        <v>0</v>
      </c>
      <c r="O22" s="623"/>
    </row>
    <row r="23" spans="2:15" ht="20.100000000000001" customHeight="1" x14ac:dyDescent="0.25">
      <c r="B23" s="634" t="s">
        <v>414</v>
      </c>
      <c r="C23" s="635"/>
      <c r="D23" s="641"/>
      <c r="E23" s="633"/>
      <c r="F23" s="633"/>
      <c r="G23" s="633"/>
      <c r="H23" s="633"/>
      <c r="I23" s="633"/>
      <c r="J23" s="633"/>
      <c r="K23" s="633"/>
      <c r="L23" s="633"/>
      <c r="M23" s="641"/>
      <c r="N23" s="632">
        <f t="shared" si="0"/>
        <v>0</v>
      </c>
      <c r="O23" s="623"/>
    </row>
    <row r="24" spans="2:15" ht="20.100000000000001" customHeight="1" x14ac:dyDescent="0.25">
      <c r="B24" s="1440"/>
      <c r="C24" s="1441"/>
      <c r="D24" s="642"/>
      <c r="E24" s="643"/>
      <c r="F24" s="643"/>
      <c r="G24" s="643"/>
      <c r="H24" s="643"/>
      <c r="I24" s="643"/>
      <c r="J24" s="643"/>
      <c r="K24" s="643"/>
      <c r="L24" s="633"/>
      <c r="M24" s="642"/>
      <c r="N24" s="632">
        <f t="shared" si="0"/>
        <v>0</v>
      </c>
      <c r="O24" s="623"/>
    </row>
    <row r="25" spans="2:15" ht="20.100000000000001" customHeight="1" x14ac:dyDescent="0.25">
      <c r="B25" s="634" t="s">
        <v>415</v>
      </c>
      <c r="C25" s="635"/>
      <c r="D25" s="645">
        <f>D15-D17-D18-D19-D20-D21-D22-D23-D16</f>
        <v>3623500</v>
      </c>
      <c r="E25" s="645">
        <f t="shared" ref="E25:M25" si="2">E15-E17-E18-E19-E20-E21-E22-E23-E16</f>
        <v>2596500</v>
      </c>
      <c r="F25" s="645">
        <f t="shared" si="2"/>
        <v>2386500</v>
      </c>
      <c r="G25" s="645">
        <f t="shared" si="2"/>
        <v>2877000</v>
      </c>
      <c r="H25" s="645">
        <f t="shared" si="2"/>
        <v>3379000</v>
      </c>
      <c r="I25" s="645">
        <f t="shared" si="2"/>
        <v>3382500</v>
      </c>
      <c r="J25" s="645">
        <f t="shared" si="2"/>
        <v>3275500</v>
      </c>
      <c r="K25" s="645">
        <f t="shared" si="2"/>
        <v>0</v>
      </c>
      <c r="L25" s="645">
        <f t="shared" si="2"/>
        <v>0</v>
      </c>
      <c r="M25" s="645">
        <f t="shared" si="2"/>
        <v>0</v>
      </c>
      <c r="N25" s="632">
        <f t="shared" si="0"/>
        <v>21520500</v>
      </c>
      <c r="O25" s="623"/>
    </row>
    <row r="26" spans="2:15" ht="20.100000000000001" customHeight="1" x14ac:dyDescent="0.25">
      <c r="B26" s="646" t="s">
        <v>416</v>
      </c>
      <c r="C26" s="635"/>
      <c r="D26" s="647"/>
      <c r="E26" s="647"/>
      <c r="F26" s="647"/>
      <c r="G26" s="647"/>
      <c r="H26" s="647"/>
      <c r="I26" s="647"/>
      <c r="J26" s="647"/>
      <c r="K26" s="647"/>
      <c r="L26" s="647"/>
      <c r="M26" s="633"/>
      <c r="N26" s="632">
        <f t="shared" si="0"/>
        <v>0</v>
      </c>
      <c r="O26" s="623"/>
    </row>
    <row r="27" spans="2:15" ht="20.100000000000001" customHeight="1" x14ac:dyDescent="0.25">
      <c r="B27" s="634" t="s">
        <v>417</v>
      </c>
      <c r="C27" s="635"/>
      <c r="D27" s="641"/>
      <c r="E27" s="633"/>
      <c r="F27" s="633"/>
      <c r="G27" s="633"/>
      <c r="H27" s="633"/>
      <c r="I27" s="633"/>
      <c r="J27" s="633"/>
      <c r="K27" s="633"/>
      <c r="L27" s="633"/>
      <c r="M27" s="633"/>
      <c r="N27" s="632">
        <f t="shared" si="0"/>
        <v>0</v>
      </c>
      <c r="O27" s="623"/>
    </row>
    <row r="28" spans="2:15" ht="20.100000000000001" customHeight="1" x14ac:dyDescent="0.25">
      <c r="B28" s="646" t="s">
        <v>418</v>
      </c>
      <c r="C28" s="635"/>
      <c r="D28" s="642"/>
      <c r="E28" s="643"/>
      <c r="F28" s="643"/>
      <c r="G28" s="643"/>
      <c r="H28" s="643"/>
      <c r="I28" s="643"/>
      <c r="J28" s="643"/>
      <c r="K28" s="643"/>
      <c r="L28" s="633"/>
      <c r="M28" s="633"/>
      <c r="N28" s="632">
        <f t="shared" si="0"/>
        <v>0</v>
      </c>
      <c r="O28" s="623"/>
    </row>
    <row r="29" spans="2:15" ht="20.100000000000001" customHeight="1" x14ac:dyDescent="0.25">
      <c r="B29" s="634" t="s">
        <v>419</v>
      </c>
      <c r="C29" s="635"/>
      <c r="D29" s="641"/>
      <c r="E29" s="633"/>
      <c r="F29" s="633"/>
      <c r="G29" s="633"/>
      <c r="H29" s="633"/>
      <c r="I29" s="633"/>
      <c r="J29" s="633"/>
      <c r="K29" s="633"/>
      <c r="L29" s="633"/>
      <c r="M29" s="633"/>
      <c r="N29" s="632">
        <f t="shared" si="0"/>
        <v>0</v>
      </c>
      <c r="O29" s="623"/>
    </row>
    <row r="30" spans="2:15" ht="20.100000000000001" customHeight="1" x14ac:dyDescent="0.25">
      <c r="B30" s="634" t="s">
        <v>420</v>
      </c>
      <c r="C30" s="635"/>
      <c r="D30" s="641"/>
      <c r="E30" s="633"/>
      <c r="F30" s="633"/>
      <c r="G30" s="633"/>
      <c r="H30" s="633"/>
      <c r="I30" s="633"/>
      <c r="J30" s="633"/>
      <c r="K30" s="633"/>
      <c r="L30" s="633"/>
      <c r="M30" s="633"/>
      <c r="N30" s="632">
        <f t="shared" si="0"/>
        <v>0</v>
      </c>
      <c r="O30" s="623"/>
    </row>
    <row r="31" spans="2:15" ht="20.100000000000001" customHeight="1" thickBot="1" x14ac:dyDescent="0.3">
      <c r="B31" s="648" t="s">
        <v>421</v>
      </c>
      <c r="C31" s="649"/>
      <c r="D31" s="650">
        <f>'LAP. PENJUALAN REGULER'!D113</f>
        <v>81</v>
      </c>
      <c r="E31" s="650">
        <f>'LAP. PENJUALAN REGULER'!E113</f>
        <v>90</v>
      </c>
      <c r="F31" s="650">
        <f>'LAP. PENJUALAN REGULER'!F113</f>
        <v>87</v>
      </c>
      <c r="G31" s="650">
        <f>'LAP. PENJUALAN REGULER'!G113</f>
        <v>85</v>
      </c>
      <c r="H31" s="650">
        <f>'LAP. PENJUALAN REGULER'!H113</f>
        <v>96</v>
      </c>
      <c r="I31" s="650">
        <f>'LAP. PENJUALAN REGULER'!I113</f>
        <v>111</v>
      </c>
      <c r="J31" s="650">
        <f>'LAP. PENJUALAN REGULER'!J113</f>
        <v>96</v>
      </c>
      <c r="K31" s="650">
        <f>'LAP. PENJUALAN REGULER'!K113</f>
        <v>0</v>
      </c>
      <c r="L31" s="650">
        <f>'LAP. PENJUALAN REGULER'!L113</f>
        <v>0</v>
      </c>
      <c r="M31" s="650">
        <f>'LAP. PENJUALAN REGULER'!M113</f>
        <v>0</v>
      </c>
      <c r="N31" s="651">
        <f t="shared" si="0"/>
        <v>646</v>
      </c>
      <c r="O31" s="623"/>
    </row>
    <row r="32" spans="2:15" x14ac:dyDescent="0.15">
      <c r="N32" s="652"/>
    </row>
    <row r="33" spans="2:14" x14ac:dyDescent="0.25">
      <c r="B33" s="570"/>
      <c r="M33" s="130" t="s">
        <v>66</v>
      </c>
      <c r="N33" s="653"/>
    </row>
    <row r="34" spans="2:14" ht="21" customHeight="1" x14ac:dyDescent="0.25">
      <c r="B34" s="570"/>
      <c r="C34" s="570"/>
      <c r="D34" s="570"/>
      <c r="E34" s="570"/>
      <c r="F34" s="570"/>
      <c r="G34" s="570"/>
      <c r="H34" s="570"/>
      <c r="I34" s="570"/>
      <c r="J34" s="570"/>
      <c r="K34" s="570"/>
      <c r="M34" s="63"/>
    </row>
    <row r="35" spans="2:14" x14ac:dyDescent="0.2">
      <c r="M35" s="63"/>
    </row>
    <row r="36" spans="2:14" x14ac:dyDescent="0.25">
      <c r="M36" s="131"/>
    </row>
    <row r="38" spans="2:14" x14ac:dyDescent="0.25">
      <c r="L38" s="1433"/>
      <c r="M38" s="1433"/>
    </row>
    <row r="43" spans="2:14" x14ac:dyDescent="0.25">
      <c r="E43" s="654"/>
    </row>
    <row r="44" spans="2:14" x14ac:dyDescent="0.25">
      <c r="B44" s="617" t="s">
        <v>112</v>
      </c>
    </row>
    <row r="47" spans="2:14" x14ac:dyDescent="0.25">
      <c r="E47" s="654"/>
    </row>
    <row r="48" spans="2:14" x14ac:dyDescent="0.25">
      <c r="E48" s="654"/>
    </row>
  </sheetData>
  <mergeCells count="14">
    <mergeCell ref="L38:M38"/>
    <mergeCell ref="B10:C10"/>
    <mergeCell ref="B11:C11"/>
    <mergeCell ref="B14:C14"/>
    <mergeCell ref="B20:C20"/>
    <mergeCell ref="B21:C21"/>
    <mergeCell ref="B22:C22"/>
    <mergeCell ref="B24:C24"/>
    <mergeCell ref="B2:N2"/>
    <mergeCell ref="M3:N3"/>
    <mergeCell ref="M4:N4"/>
    <mergeCell ref="B6:C6"/>
    <mergeCell ref="N6:N7"/>
    <mergeCell ref="B7:C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9A576-9A16-4BCA-9542-716E6A815329}">
  <sheetPr>
    <tabColor rgb="FF00B0F0"/>
  </sheetPr>
  <dimension ref="A2:AG1051"/>
  <sheetViews>
    <sheetView topLeftCell="A86" zoomScale="60" zoomScaleNormal="60" workbookViewId="0">
      <selection activeCell="N56" sqref="N56"/>
    </sheetView>
  </sheetViews>
  <sheetFormatPr defaultRowHeight="12.75" x14ac:dyDescent="0.2"/>
  <cols>
    <col min="1" max="1" width="8.7109375" style="63" customWidth="1"/>
    <col min="2" max="2" width="40.7109375" style="63" hidden="1" customWidth="1"/>
    <col min="3" max="3" width="40.7109375" style="63" customWidth="1"/>
    <col min="4" max="4" width="9.5703125" style="63" customWidth="1"/>
    <col min="5" max="13" width="8.7109375" style="63" customWidth="1"/>
    <col min="14" max="14" width="12.7109375" style="63" customWidth="1"/>
    <col min="15" max="15" width="25.7109375" style="63" customWidth="1"/>
    <col min="16" max="16" width="10.7109375" style="657" customWidth="1"/>
    <col min="17" max="17" width="10.7109375" style="656" customWidth="1"/>
    <col min="18" max="18" width="18" style="657" customWidth="1"/>
    <col min="19" max="19" width="12.7109375" style="63" customWidth="1"/>
    <col min="20" max="20" width="4.140625" style="63" customWidth="1"/>
    <col min="21" max="30" width="15.7109375" style="63" customWidth="1"/>
    <col min="31" max="256" width="9.140625" style="63"/>
    <col min="257" max="257" width="8.7109375" style="63" customWidth="1"/>
    <col min="258" max="258" width="0" style="63" hidden="1" customWidth="1"/>
    <col min="259" max="259" width="40.7109375" style="63" customWidth="1"/>
    <col min="260" max="260" width="9.5703125" style="63" customWidth="1"/>
    <col min="261" max="269" width="8.7109375" style="63" customWidth="1"/>
    <col min="270" max="270" width="12.7109375" style="63" customWidth="1"/>
    <col min="271" max="271" width="25.7109375" style="63" customWidth="1"/>
    <col min="272" max="274" width="10.7109375" style="63" customWidth="1"/>
    <col min="275" max="275" width="12.7109375" style="63" customWidth="1"/>
    <col min="276" max="276" width="4.140625" style="63" customWidth="1"/>
    <col min="277" max="286" width="15.7109375" style="63" customWidth="1"/>
    <col min="287" max="512" width="9.140625" style="63"/>
    <col min="513" max="513" width="8.7109375" style="63" customWidth="1"/>
    <col min="514" max="514" width="0" style="63" hidden="1" customWidth="1"/>
    <col min="515" max="515" width="40.7109375" style="63" customWidth="1"/>
    <col min="516" max="516" width="9.5703125" style="63" customWidth="1"/>
    <col min="517" max="525" width="8.7109375" style="63" customWidth="1"/>
    <col min="526" max="526" width="12.7109375" style="63" customWidth="1"/>
    <col min="527" max="527" width="25.7109375" style="63" customWidth="1"/>
    <col min="528" max="530" width="10.7109375" style="63" customWidth="1"/>
    <col min="531" max="531" width="12.7109375" style="63" customWidth="1"/>
    <col min="532" max="532" width="4.140625" style="63" customWidth="1"/>
    <col min="533" max="542" width="15.7109375" style="63" customWidth="1"/>
    <col min="543" max="768" width="9.140625" style="63"/>
    <col min="769" max="769" width="8.7109375" style="63" customWidth="1"/>
    <col min="770" max="770" width="0" style="63" hidden="1" customWidth="1"/>
    <col min="771" max="771" width="40.7109375" style="63" customWidth="1"/>
    <col min="772" max="772" width="9.5703125" style="63" customWidth="1"/>
    <col min="773" max="781" width="8.7109375" style="63" customWidth="1"/>
    <col min="782" max="782" width="12.7109375" style="63" customWidth="1"/>
    <col min="783" max="783" width="25.7109375" style="63" customWidth="1"/>
    <col min="784" max="786" width="10.7109375" style="63" customWidth="1"/>
    <col min="787" max="787" width="12.7109375" style="63" customWidth="1"/>
    <col min="788" max="788" width="4.140625" style="63" customWidth="1"/>
    <col min="789" max="798" width="15.7109375" style="63" customWidth="1"/>
    <col min="799" max="1024" width="9.140625" style="63"/>
    <col min="1025" max="1025" width="8.7109375" style="63" customWidth="1"/>
    <col min="1026" max="1026" width="0" style="63" hidden="1" customWidth="1"/>
    <col min="1027" max="1027" width="40.7109375" style="63" customWidth="1"/>
    <col min="1028" max="1028" width="9.5703125" style="63" customWidth="1"/>
    <col min="1029" max="1037" width="8.7109375" style="63" customWidth="1"/>
    <col min="1038" max="1038" width="12.7109375" style="63" customWidth="1"/>
    <col min="1039" max="1039" width="25.7109375" style="63" customWidth="1"/>
    <col min="1040" max="1042" width="10.7109375" style="63" customWidth="1"/>
    <col min="1043" max="1043" width="12.7109375" style="63" customWidth="1"/>
    <col min="1044" max="1044" width="4.140625" style="63" customWidth="1"/>
    <col min="1045" max="1054" width="15.7109375" style="63" customWidth="1"/>
    <col min="1055" max="1280" width="9.140625" style="63"/>
    <col min="1281" max="1281" width="8.7109375" style="63" customWidth="1"/>
    <col min="1282" max="1282" width="0" style="63" hidden="1" customWidth="1"/>
    <col min="1283" max="1283" width="40.7109375" style="63" customWidth="1"/>
    <col min="1284" max="1284" width="9.5703125" style="63" customWidth="1"/>
    <col min="1285" max="1293" width="8.7109375" style="63" customWidth="1"/>
    <col min="1294" max="1294" width="12.7109375" style="63" customWidth="1"/>
    <col min="1295" max="1295" width="25.7109375" style="63" customWidth="1"/>
    <col min="1296" max="1298" width="10.7109375" style="63" customWidth="1"/>
    <col min="1299" max="1299" width="12.7109375" style="63" customWidth="1"/>
    <col min="1300" max="1300" width="4.140625" style="63" customWidth="1"/>
    <col min="1301" max="1310" width="15.7109375" style="63" customWidth="1"/>
    <col min="1311" max="1536" width="9.140625" style="63"/>
    <col min="1537" max="1537" width="8.7109375" style="63" customWidth="1"/>
    <col min="1538" max="1538" width="0" style="63" hidden="1" customWidth="1"/>
    <col min="1539" max="1539" width="40.7109375" style="63" customWidth="1"/>
    <col min="1540" max="1540" width="9.5703125" style="63" customWidth="1"/>
    <col min="1541" max="1549" width="8.7109375" style="63" customWidth="1"/>
    <col min="1550" max="1550" width="12.7109375" style="63" customWidth="1"/>
    <col min="1551" max="1551" width="25.7109375" style="63" customWidth="1"/>
    <col min="1552" max="1554" width="10.7109375" style="63" customWidth="1"/>
    <col min="1555" max="1555" width="12.7109375" style="63" customWidth="1"/>
    <col min="1556" max="1556" width="4.140625" style="63" customWidth="1"/>
    <col min="1557" max="1566" width="15.7109375" style="63" customWidth="1"/>
    <col min="1567" max="1792" width="9.140625" style="63"/>
    <col min="1793" max="1793" width="8.7109375" style="63" customWidth="1"/>
    <col min="1794" max="1794" width="0" style="63" hidden="1" customWidth="1"/>
    <col min="1795" max="1795" width="40.7109375" style="63" customWidth="1"/>
    <col min="1796" max="1796" width="9.5703125" style="63" customWidth="1"/>
    <col min="1797" max="1805" width="8.7109375" style="63" customWidth="1"/>
    <col min="1806" max="1806" width="12.7109375" style="63" customWidth="1"/>
    <col min="1807" max="1807" width="25.7109375" style="63" customWidth="1"/>
    <col min="1808" max="1810" width="10.7109375" style="63" customWidth="1"/>
    <col min="1811" max="1811" width="12.7109375" style="63" customWidth="1"/>
    <col min="1812" max="1812" width="4.140625" style="63" customWidth="1"/>
    <col min="1813" max="1822" width="15.7109375" style="63" customWidth="1"/>
    <col min="1823" max="2048" width="9.140625" style="63"/>
    <col min="2049" max="2049" width="8.7109375" style="63" customWidth="1"/>
    <col min="2050" max="2050" width="0" style="63" hidden="1" customWidth="1"/>
    <col min="2051" max="2051" width="40.7109375" style="63" customWidth="1"/>
    <col min="2052" max="2052" width="9.5703125" style="63" customWidth="1"/>
    <col min="2053" max="2061" width="8.7109375" style="63" customWidth="1"/>
    <col min="2062" max="2062" width="12.7109375" style="63" customWidth="1"/>
    <col min="2063" max="2063" width="25.7109375" style="63" customWidth="1"/>
    <col min="2064" max="2066" width="10.7109375" style="63" customWidth="1"/>
    <col min="2067" max="2067" width="12.7109375" style="63" customWidth="1"/>
    <col min="2068" max="2068" width="4.140625" style="63" customWidth="1"/>
    <col min="2069" max="2078" width="15.7109375" style="63" customWidth="1"/>
    <col min="2079" max="2304" width="9.140625" style="63"/>
    <col min="2305" max="2305" width="8.7109375" style="63" customWidth="1"/>
    <col min="2306" max="2306" width="0" style="63" hidden="1" customWidth="1"/>
    <col min="2307" max="2307" width="40.7109375" style="63" customWidth="1"/>
    <col min="2308" max="2308" width="9.5703125" style="63" customWidth="1"/>
    <col min="2309" max="2317" width="8.7109375" style="63" customWidth="1"/>
    <col min="2318" max="2318" width="12.7109375" style="63" customWidth="1"/>
    <col min="2319" max="2319" width="25.7109375" style="63" customWidth="1"/>
    <col min="2320" max="2322" width="10.7109375" style="63" customWidth="1"/>
    <col min="2323" max="2323" width="12.7109375" style="63" customWidth="1"/>
    <col min="2324" max="2324" width="4.140625" style="63" customWidth="1"/>
    <col min="2325" max="2334" width="15.7109375" style="63" customWidth="1"/>
    <col min="2335" max="2560" width="9.140625" style="63"/>
    <col min="2561" max="2561" width="8.7109375" style="63" customWidth="1"/>
    <col min="2562" max="2562" width="0" style="63" hidden="1" customWidth="1"/>
    <col min="2563" max="2563" width="40.7109375" style="63" customWidth="1"/>
    <col min="2564" max="2564" width="9.5703125" style="63" customWidth="1"/>
    <col min="2565" max="2573" width="8.7109375" style="63" customWidth="1"/>
    <col min="2574" max="2574" width="12.7109375" style="63" customWidth="1"/>
    <col min="2575" max="2575" width="25.7109375" style="63" customWidth="1"/>
    <col min="2576" max="2578" width="10.7109375" style="63" customWidth="1"/>
    <col min="2579" max="2579" width="12.7109375" style="63" customWidth="1"/>
    <col min="2580" max="2580" width="4.140625" style="63" customWidth="1"/>
    <col min="2581" max="2590" width="15.7109375" style="63" customWidth="1"/>
    <col min="2591" max="2816" width="9.140625" style="63"/>
    <col min="2817" max="2817" width="8.7109375" style="63" customWidth="1"/>
    <col min="2818" max="2818" width="0" style="63" hidden="1" customWidth="1"/>
    <col min="2819" max="2819" width="40.7109375" style="63" customWidth="1"/>
    <col min="2820" max="2820" width="9.5703125" style="63" customWidth="1"/>
    <col min="2821" max="2829" width="8.7109375" style="63" customWidth="1"/>
    <col min="2830" max="2830" width="12.7109375" style="63" customWidth="1"/>
    <col min="2831" max="2831" width="25.7109375" style="63" customWidth="1"/>
    <col min="2832" max="2834" width="10.7109375" style="63" customWidth="1"/>
    <col min="2835" max="2835" width="12.7109375" style="63" customWidth="1"/>
    <col min="2836" max="2836" width="4.140625" style="63" customWidth="1"/>
    <col min="2837" max="2846" width="15.7109375" style="63" customWidth="1"/>
    <col min="2847" max="3072" width="9.140625" style="63"/>
    <col min="3073" max="3073" width="8.7109375" style="63" customWidth="1"/>
    <col min="3074" max="3074" width="0" style="63" hidden="1" customWidth="1"/>
    <col min="3075" max="3075" width="40.7109375" style="63" customWidth="1"/>
    <col min="3076" max="3076" width="9.5703125" style="63" customWidth="1"/>
    <col min="3077" max="3085" width="8.7109375" style="63" customWidth="1"/>
    <col min="3086" max="3086" width="12.7109375" style="63" customWidth="1"/>
    <col min="3087" max="3087" width="25.7109375" style="63" customWidth="1"/>
    <col min="3088" max="3090" width="10.7109375" style="63" customWidth="1"/>
    <col min="3091" max="3091" width="12.7109375" style="63" customWidth="1"/>
    <col min="3092" max="3092" width="4.140625" style="63" customWidth="1"/>
    <col min="3093" max="3102" width="15.7109375" style="63" customWidth="1"/>
    <col min="3103" max="3328" width="9.140625" style="63"/>
    <col min="3329" max="3329" width="8.7109375" style="63" customWidth="1"/>
    <col min="3330" max="3330" width="0" style="63" hidden="1" customWidth="1"/>
    <col min="3331" max="3331" width="40.7109375" style="63" customWidth="1"/>
    <col min="3332" max="3332" width="9.5703125" style="63" customWidth="1"/>
    <col min="3333" max="3341" width="8.7109375" style="63" customWidth="1"/>
    <col min="3342" max="3342" width="12.7109375" style="63" customWidth="1"/>
    <col min="3343" max="3343" width="25.7109375" style="63" customWidth="1"/>
    <col min="3344" max="3346" width="10.7109375" style="63" customWidth="1"/>
    <col min="3347" max="3347" width="12.7109375" style="63" customWidth="1"/>
    <col min="3348" max="3348" width="4.140625" style="63" customWidth="1"/>
    <col min="3349" max="3358" width="15.7109375" style="63" customWidth="1"/>
    <col min="3359" max="3584" width="9.140625" style="63"/>
    <col min="3585" max="3585" width="8.7109375" style="63" customWidth="1"/>
    <col min="3586" max="3586" width="0" style="63" hidden="1" customWidth="1"/>
    <col min="3587" max="3587" width="40.7109375" style="63" customWidth="1"/>
    <col min="3588" max="3588" width="9.5703125" style="63" customWidth="1"/>
    <col min="3589" max="3597" width="8.7109375" style="63" customWidth="1"/>
    <col min="3598" max="3598" width="12.7109375" style="63" customWidth="1"/>
    <col min="3599" max="3599" width="25.7109375" style="63" customWidth="1"/>
    <col min="3600" max="3602" width="10.7109375" style="63" customWidth="1"/>
    <col min="3603" max="3603" width="12.7109375" style="63" customWidth="1"/>
    <col min="3604" max="3604" width="4.140625" style="63" customWidth="1"/>
    <col min="3605" max="3614" width="15.7109375" style="63" customWidth="1"/>
    <col min="3615" max="3840" width="9.140625" style="63"/>
    <col min="3841" max="3841" width="8.7109375" style="63" customWidth="1"/>
    <col min="3842" max="3842" width="0" style="63" hidden="1" customWidth="1"/>
    <col min="3843" max="3843" width="40.7109375" style="63" customWidth="1"/>
    <col min="3844" max="3844" width="9.5703125" style="63" customWidth="1"/>
    <col min="3845" max="3853" width="8.7109375" style="63" customWidth="1"/>
    <col min="3854" max="3854" width="12.7109375" style="63" customWidth="1"/>
    <col min="3855" max="3855" width="25.7109375" style="63" customWidth="1"/>
    <col min="3856" max="3858" width="10.7109375" style="63" customWidth="1"/>
    <col min="3859" max="3859" width="12.7109375" style="63" customWidth="1"/>
    <col min="3860" max="3860" width="4.140625" style="63" customWidth="1"/>
    <col min="3861" max="3870" width="15.7109375" style="63" customWidth="1"/>
    <col min="3871" max="4096" width="9.140625" style="63"/>
    <col min="4097" max="4097" width="8.7109375" style="63" customWidth="1"/>
    <col min="4098" max="4098" width="0" style="63" hidden="1" customWidth="1"/>
    <col min="4099" max="4099" width="40.7109375" style="63" customWidth="1"/>
    <col min="4100" max="4100" width="9.5703125" style="63" customWidth="1"/>
    <col min="4101" max="4109" width="8.7109375" style="63" customWidth="1"/>
    <col min="4110" max="4110" width="12.7109375" style="63" customWidth="1"/>
    <col min="4111" max="4111" width="25.7109375" style="63" customWidth="1"/>
    <col min="4112" max="4114" width="10.7109375" style="63" customWidth="1"/>
    <col min="4115" max="4115" width="12.7109375" style="63" customWidth="1"/>
    <col min="4116" max="4116" width="4.140625" style="63" customWidth="1"/>
    <col min="4117" max="4126" width="15.7109375" style="63" customWidth="1"/>
    <col min="4127" max="4352" width="9.140625" style="63"/>
    <col min="4353" max="4353" width="8.7109375" style="63" customWidth="1"/>
    <col min="4354" max="4354" width="0" style="63" hidden="1" customWidth="1"/>
    <col min="4355" max="4355" width="40.7109375" style="63" customWidth="1"/>
    <col min="4356" max="4356" width="9.5703125" style="63" customWidth="1"/>
    <col min="4357" max="4365" width="8.7109375" style="63" customWidth="1"/>
    <col min="4366" max="4366" width="12.7109375" style="63" customWidth="1"/>
    <col min="4367" max="4367" width="25.7109375" style="63" customWidth="1"/>
    <col min="4368" max="4370" width="10.7109375" style="63" customWidth="1"/>
    <col min="4371" max="4371" width="12.7109375" style="63" customWidth="1"/>
    <col min="4372" max="4372" width="4.140625" style="63" customWidth="1"/>
    <col min="4373" max="4382" width="15.7109375" style="63" customWidth="1"/>
    <col min="4383" max="4608" width="9.140625" style="63"/>
    <col min="4609" max="4609" width="8.7109375" style="63" customWidth="1"/>
    <col min="4610" max="4610" width="0" style="63" hidden="1" customWidth="1"/>
    <col min="4611" max="4611" width="40.7109375" style="63" customWidth="1"/>
    <col min="4612" max="4612" width="9.5703125" style="63" customWidth="1"/>
    <col min="4613" max="4621" width="8.7109375" style="63" customWidth="1"/>
    <col min="4622" max="4622" width="12.7109375" style="63" customWidth="1"/>
    <col min="4623" max="4623" width="25.7109375" style="63" customWidth="1"/>
    <col min="4624" max="4626" width="10.7109375" style="63" customWidth="1"/>
    <col min="4627" max="4627" width="12.7109375" style="63" customWidth="1"/>
    <col min="4628" max="4628" width="4.140625" style="63" customWidth="1"/>
    <col min="4629" max="4638" width="15.7109375" style="63" customWidth="1"/>
    <col min="4639" max="4864" width="9.140625" style="63"/>
    <col min="4865" max="4865" width="8.7109375" style="63" customWidth="1"/>
    <col min="4866" max="4866" width="0" style="63" hidden="1" customWidth="1"/>
    <col min="4867" max="4867" width="40.7109375" style="63" customWidth="1"/>
    <col min="4868" max="4868" width="9.5703125" style="63" customWidth="1"/>
    <col min="4869" max="4877" width="8.7109375" style="63" customWidth="1"/>
    <col min="4878" max="4878" width="12.7109375" style="63" customWidth="1"/>
    <col min="4879" max="4879" width="25.7109375" style="63" customWidth="1"/>
    <col min="4880" max="4882" width="10.7109375" style="63" customWidth="1"/>
    <col min="4883" max="4883" width="12.7109375" style="63" customWidth="1"/>
    <col min="4884" max="4884" width="4.140625" style="63" customWidth="1"/>
    <col min="4885" max="4894" width="15.7109375" style="63" customWidth="1"/>
    <col min="4895" max="5120" width="9.140625" style="63"/>
    <col min="5121" max="5121" width="8.7109375" style="63" customWidth="1"/>
    <col min="5122" max="5122" width="0" style="63" hidden="1" customWidth="1"/>
    <col min="5123" max="5123" width="40.7109375" style="63" customWidth="1"/>
    <col min="5124" max="5124" width="9.5703125" style="63" customWidth="1"/>
    <col min="5125" max="5133" width="8.7109375" style="63" customWidth="1"/>
    <col min="5134" max="5134" width="12.7109375" style="63" customWidth="1"/>
    <col min="5135" max="5135" width="25.7109375" style="63" customWidth="1"/>
    <col min="5136" max="5138" width="10.7109375" style="63" customWidth="1"/>
    <col min="5139" max="5139" width="12.7109375" style="63" customWidth="1"/>
    <col min="5140" max="5140" width="4.140625" style="63" customWidth="1"/>
    <col min="5141" max="5150" width="15.7109375" style="63" customWidth="1"/>
    <col min="5151" max="5376" width="9.140625" style="63"/>
    <col min="5377" max="5377" width="8.7109375" style="63" customWidth="1"/>
    <col min="5378" max="5378" width="0" style="63" hidden="1" customWidth="1"/>
    <col min="5379" max="5379" width="40.7109375" style="63" customWidth="1"/>
    <col min="5380" max="5380" width="9.5703125" style="63" customWidth="1"/>
    <col min="5381" max="5389" width="8.7109375" style="63" customWidth="1"/>
    <col min="5390" max="5390" width="12.7109375" style="63" customWidth="1"/>
    <col min="5391" max="5391" width="25.7109375" style="63" customWidth="1"/>
    <col min="5392" max="5394" width="10.7109375" style="63" customWidth="1"/>
    <col min="5395" max="5395" width="12.7109375" style="63" customWidth="1"/>
    <col min="5396" max="5396" width="4.140625" style="63" customWidth="1"/>
    <col min="5397" max="5406" width="15.7109375" style="63" customWidth="1"/>
    <col min="5407" max="5632" width="9.140625" style="63"/>
    <col min="5633" max="5633" width="8.7109375" style="63" customWidth="1"/>
    <col min="5634" max="5634" width="0" style="63" hidden="1" customWidth="1"/>
    <col min="5635" max="5635" width="40.7109375" style="63" customWidth="1"/>
    <col min="5636" max="5636" width="9.5703125" style="63" customWidth="1"/>
    <col min="5637" max="5645" width="8.7109375" style="63" customWidth="1"/>
    <col min="5646" max="5646" width="12.7109375" style="63" customWidth="1"/>
    <col min="5647" max="5647" width="25.7109375" style="63" customWidth="1"/>
    <col min="5648" max="5650" width="10.7109375" style="63" customWidth="1"/>
    <col min="5651" max="5651" width="12.7109375" style="63" customWidth="1"/>
    <col min="5652" max="5652" width="4.140625" style="63" customWidth="1"/>
    <col min="5653" max="5662" width="15.7109375" style="63" customWidth="1"/>
    <col min="5663" max="5888" width="9.140625" style="63"/>
    <col min="5889" max="5889" width="8.7109375" style="63" customWidth="1"/>
    <col min="5890" max="5890" width="0" style="63" hidden="1" customWidth="1"/>
    <col min="5891" max="5891" width="40.7109375" style="63" customWidth="1"/>
    <col min="5892" max="5892" width="9.5703125" style="63" customWidth="1"/>
    <col min="5893" max="5901" width="8.7109375" style="63" customWidth="1"/>
    <col min="5902" max="5902" width="12.7109375" style="63" customWidth="1"/>
    <col min="5903" max="5903" width="25.7109375" style="63" customWidth="1"/>
    <col min="5904" max="5906" width="10.7109375" style="63" customWidth="1"/>
    <col min="5907" max="5907" width="12.7109375" style="63" customWidth="1"/>
    <col min="5908" max="5908" width="4.140625" style="63" customWidth="1"/>
    <col min="5909" max="5918" width="15.7109375" style="63" customWidth="1"/>
    <col min="5919" max="6144" width="9.140625" style="63"/>
    <col min="6145" max="6145" width="8.7109375" style="63" customWidth="1"/>
    <col min="6146" max="6146" width="0" style="63" hidden="1" customWidth="1"/>
    <col min="6147" max="6147" width="40.7109375" style="63" customWidth="1"/>
    <col min="6148" max="6148" width="9.5703125" style="63" customWidth="1"/>
    <col min="6149" max="6157" width="8.7109375" style="63" customWidth="1"/>
    <col min="6158" max="6158" width="12.7109375" style="63" customWidth="1"/>
    <col min="6159" max="6159" width="25.7109375" style="63" customWidth="1"/>
    <col min="6160" max="6162" width="10.7109375" style="63" customWidth="1"/>
    <col min="6163" max="6163" width="12.7109375" style="63" customWidth="1"/>
    <col min="6164" max="6164" width="4.140625" style="63" customWidth="1"/>
    <col min="6165" max="6174" width="15.7109375" style="63" customWidth="1"/>
    <col min="6175" max="6400" width="9.140625" style="63"/>
    <col min="6401" max="6401" width="8.7109375" style="63" customWidth="1"/>
    <col min="6402" max="6402" width="0" style="63" hidden="1" customWidth="1"/>
    <col min="6403" max="6403" width="40.7109375" style="63" customWidth="1"/>
    <col min="6404" max="6404" width="9.5703125" style="63" customWidth="1"/>
    <col min="6405" max="6413" width="8.7109375" style="63" customWidth="1"/>
    <col min="6414" max="6414" width="12.7109375" style="63" customWidth="1"/>
    <col min="6415" max="6415" width="25.7109375" style="63" customWidth="1"/>
    <col min="6416" max="6418" width="10.7109375" style="63" customWidth="1"/>
    <col min="6419" max="6419" width="12.7109375" style="63" customWidth="1"/>
    <col min="6420" max="6420" width="4.140625" style="63" customWidth="1"/>
    <col min="6421" max="6430" width="15.7109375" style="63" customWidth="1"/>
    <col min="6431" max="6656" width="9.140625" style="63"/>
    <col min="6657" max="6657" width="8.7109375" style="63" customWidth="1"/>
    <col min="6658" max="6658" width="0" style="63" hidden="1" customWidth="1"/>
    <col min="6659" max="6659" width="40.7109375" style="63" customWidth="1"/>
    <col min="6660" max="6660" width="9.5703125" style="63" customWidth="1"/>
    <col min="6661" max="6669" width="8.7109375" style="63" customWidth="1"/>
    <col min="6670" max="6670" width="12.7109375" style="63" customWidth="1"/>
    <col min="6671" max="6671" width="25.7109375" style="63" customWidth="1"/>
    <col min="6672" max="6674" width="10.7109375" style="63" customWidth="1"/>
    <col min="6675" max="6675" width="12.7109375" style="63" customWidth="1"/>
    <col min="6676" max="6676" width="4.140625" style="63" customWidth="1"/>
    <col min="6677" max="6686" width="15.7109375" style="63" customWidth="1"/>
    <col min="6687" max="6912" width="9.140625" style="63"/>
    <col min="6913" max="6913" width="8.7109375" style="63" customWidth="1"/>
    <col min="6914" max="6914" width="0" style="63" hidden="1" customWidth="1"/>
    <col min="6915" max="6915" width="40.7109375" style="63" customWidth="1"/>
    <col min="6916" max="6916" width="9.5703125" style="63" customWidth="1"/>
    <col min="6917" max="6925" width="8.7109375" style="63" customWidth="1"/>
    <col min="6926" max="6926" width="12.7109375" style="63" customWidth="1"/>
    <col min="6927" max="6927" width="25.7109375" style="63" customWidth="1"/>
    <col min="6928" max="6930" width="10.7109375" style="63" customWidth="1"/>
    <col min="6931" max="6931" width="12.7109375" style="63" customWidth="1"/>
    <col min="6932" max="6932" width="4.140625" style="63" customWidth="1"/>
    <col min="6933" max="6942" width="15.7109375" style="63" customWidth="1"/>
    <col min="6943" max="7168" width="9.140625" style="63"/>
    <col min="7169" max="7169" width="8.7109375" style="63" customWidth="1"/>
    <col min="7170" max="7170" width="0" style="63" hidden="1" customWidth="1"/>
    <col min="7171" max="7171" width="40.7109375" style="63" customWidth="1"/>
    <col min="7172" max="7172" width="9.5703125" style="63" customWidth="1"/>
    <col min="7173" max="7181" width="8.7109375" style="63" customWidth="1"/>
    <col min="7182" max="7182" width="12.7109375" style="63" customWidth="1"/>
    <col min="7183" max="7183" width="25.7109375" style="63" customWidth="1"/>
    <col min="7184" max="7186" width="10.7109375" style="63" customWidth="1"/>
    <col min="7187" max="7187" width="12.7109375" style="63" customWidth="1"/>
    <col min="7188" max="7188" width="4.140625" style="63" customWidth="1"/>
    <col min="7189" max="7198" width="15.7109375" style="63" customWidth="1"/>
    <col min="7199" max="7424" width="9.140625" style="63"/>
    <col min="7425" max="7425" width="8.7109375" style="63" customWidth="1"/>
    <col min="7426" max="7426" width="0" style="63" hidden="1" customWidth="1"/>
    <col min="7427" max="7427" width="40.7109375" style="63" customWidth="1"/>
    <col min="7428" max="7428" width="9.5703125" style="63" customWidth="1"/>
    <col min="7429" max="7437" width="8.7109375" style="63" customWidth="1"/>
    <col min="7438" max="7438" width="12.7109375" style="63" customWidth="1"/>
    <col min="7439" max="7439" width="25.7109375" style="63" customWidth="1"/>
    <col min="7440" max="7442" width="10.7109375" style="63" customWidth="1"/>
    <col min="7443" max="7443" width="12.7109375" style="63" customWidth="1"/>
    <col min="7444" max="7444" width="4.140625" style="63" customWidth="1"/>
    <col min="7445" max="7454" width="15.7109375" style="63" customWidth="1"/>
    <col min="7455" max="7680" width="9.140625" style="63"/>
    <col min="7681" max="7681" width="8.7109375" style="63" customWidth="1"/>
    <col min="7682" max="7682" width="0" style="63" hidden="1" customWidth="1"/>
    <col min="7683" max="7683" width="40.7109375" style="63" customWidth="1"/>
    <col min="7684" max="7684" width="9.5703125" style="63" customWidth="1"/>
    <col min="7685" max="7693" width="8.7109375" style="63" customWidth="1"/>
    <col min="7694" max="7694" width="12.7109375" style="63" customWidth="1"/>
    <col min="7695" max="7695" width="25.7109375" style="63" customWidth="1"/>
    <col min="7696" max="7698" width="10.7109375" style="63" customWidth="1"/>
    <col min="7699" max="7699" width="12.7109375" style="63" customWidth="1"/>
    <col min="7700" max="7700" width="4.140625" style="63" customWidth="1"/>
    <col min="7701" max="7710" width="15.7109375" style="63" customWidth="1"/>
    <col min="7711" max="7936" width="9.140625" style="63"/>
    <col min="7937" max="7937" width="8.7109375" style="63" customWidth="1"/>
    <col min="7938" max="7938" width="0" style="63" hidden="1" customWidth="1"/>
    <col min="7939" max="7939" width="40.7109375" style="63" customWidth="1"/>
    <col min="7940" max="7940" width="9.5703125" style="63" customWidth="1"/>
    <col min="7941" max="7949" width="8.7109375" style="63" customWidth="1"/>
    <col min="7950" max="7950" width="12.7109375" style="63" customWidth="1"/>
    <col min="7951" max="7951" width="25.7109375" style="63" customWidth="1"/>
    <col min="7952" max="7954" width="10.7109375" style="63" customWidth="1"/>
    <col min="7955" max="7955" width="12.7109375" style="63" customWidth="1"/>
    <col min="7956" max="7956" width="4.140625" style="63" customWidth="1"/>
    <col min="7957" max="7966" width="15.7109375" style="63" customWidth="1"/>
    <col min="7967" max="8192" width="9.140625" style="63"/>
    <col min="8193" max="8193" width="8.7109375" style="63" customWidth="1"/>
    <col min="8194" max="8194" width="0" style="63" hidden="1" customWidth="1"/>
    <col min="8195" max="8195" width="40.7109375" style="63" customWidth="1"/>
    <col min="8196" max="8196" width="9.5703125" style="63" customWidth="1"/>
    <col min="8197" max="8205" width="8.7109375" style="63" customWidth="1"/>
    <col min="8206" max="8206" width="12.7109375" style="63" customWidth="1"/>
    <col min="8207" max="8207" width="25.7109375" style="63" customWidth="1"/>
    <col min="8208" max="8210" width="10.7109375" style="63" customWidth="1"/>
    <col min="8211" max="8211" width="12.7109375" style="63" customWidth="1"/>
    <col min="8212" max="8212" width="4.140625" style="63" customWidth="1"/>
    <col min="8213" max="8222" width="15.7109375" style="63" customWidth="1"/>
    <col min="8223" max="8448" width="9.140625" style="63"/>
    <col min="8449" max="8449" width="8.7109375" style="63" customWidth="1"/>
    <col min="8450" max="8450" width="0" style="63" hidden="1" customWidth="1"/>
    <col min="8451" max="8451" width="40.7109375" style="63" customWidth="1"/>
    <col min="8452" max="8452" width="9.5703125" style="63" customWidth="1"/>
    <col min="8453" max="8461" width="8.7109375" style="63" customWidth="1"/>
    <col min="8462" max="8462" width="12.7109375" style="63" customWidth="1"/>
    <col min="8463" max="8463" width="25.7109375" style="63" customWidth="1"/>
    <col min="8464" max="8466" width="10.7109375" style="63" customWidth="1"/>
    <col min="8467" max="8467" width="12.7109375" style="63" customWidth="1"/>
    <col min="8468" max="8468" width="4.140625" style="63" customWidth="1"/>
    <col min="8469" max="8478" width="15.7109375" style="63" customWidth="1"/>
    <col min="8479" max="8704" width="9.140625" style="63"/>
    <col min="8705" max="8705" width="8.7109375" style="63" customWidth="1"/>
    <col min="8706" max="8706" width="0" style="63" hidden="1" customWidth="1"/>
    <col min="8707" max="8707" width="40.7109375" style="63" customWidth="1"/>
    <col min="8708" max="8708" width="9.5703125" style="63" customWidth="1"/>
    <col min="8709" max="8717" width="8.7109375" style="63" customWidth="1"/>
    <col min="8718" max="8718" width="12.7109375" style="63" customWidth="1"/>
    <col min="8719" max="8719" width="25.7109375" style="63" customWidth="1"/>
    <col min="8720" max="8722" width="10.7109375" style="63" customWidth="1"/>
    <col min="8723" max="8723" width="12.7109375" style="63" customWidth="1"/>
    <col min="8724" max="8724" width="4.140625" style="63" customWidth="1"/>
    <col min="8725" max="8734" width="15.7109375" style="63" customWidth="1"/>
    <col min="8735" max="8960" width="9.140625" style="63"/>
    <col min="8961" max="8961" width="8.7109375" style="63" customWidth="1"/>
    <col min="8962" max="8962" width="0" style="63" hidden="1" customWidth="1"/>
    <col min="8963" max="8963" width="40.7109375" style="63" customWidth="1"/>
    <col min="8964" max="8964" width="9.5703125" style="63" customWidth="1"/>
    <col min="8965" max="8973" width="8.7109375" style="63" customWidth="1"/>
    <col min="8974" max="8974" width="12.7109375" style="63" customWidth="1"/>
    <col min="8975" max="8975" width="25.7109375" style="63" customWidth="1"/>
    <col min="8976" max="8978" width="10.7109375" style="63" customWidth="1"/>
    <col min="8979" max="8979" width="12.7109375" style="63" customWidth="1"/>
    <col min="8980" max="8980" width="4.140625" style="63" customWidth="1"/>
    <col min="8981" max="8990" width="15.7109375" style="63" customWidth="1"/>
    <col min="8991" max="9216" width="9.140625" style="63"/>
    <col min="9217" max="9217" width="8.7109375" style="63" customWidth="1"/>
    <col min="9218" max="9218" width="0" style="63" hidden="1" customWidth="1"/>
    <col min="9219" max="9219" width="40.7109375" style="63" customWidth="1"/>
    <col min="9220" max="9220" width="9.5703125" style="63" customWidth="1"/>
    <col min="9221" max="9229" width="8.7109375" style="63" customWidth="1"/>
    <col min="9230" max="9230" width="12.7109375" style="63" customWidth="1"/>
    <col min="9231" max="9231" width="25.7109375" style="63" customWidth="1"/>
    <col min="9232" max="9234" width="10.7109375" style="63" customWidth="1"/>
    <col min="9235" max="9235" width="12.7109375" style="63" customWidth="1"/>
    <col min="9236" max="9236" width="4.140625" style="63" customWidth="1"/>
    <col min="9237" max="9246" width="15.7109375" style="63" customWidth="1"/>
    <col min="9247" max="9472" width="9.140625" style="63"/>
    <col min="9473" max="9473" width="8.7109375" style="63" customWidth="1"/>
    <col min="9474" max="9474" width="0" style="63" hidden="1" customWidth="1"/>
    <col min="9475" max="9475" width="40.7109375" style="63" customWidth="1"/>
    <col min="9476" max="9476" width="9.5703125" style="63" customWidth="1"/>
    <col min="9477" max="9485" width="8.7109375" style="63" customWidth="1"/>
    <col min="9486" max="9486" width="12.7109375" style="63" customWidth="1"/>
    <col min="9487" max="9487" width="25.7109375" style="63" customWidth="1"/>
    <col min="9488" max="9490" width="10.7109375" style="63" customWidth="1"/>
    <col min="9491" max="9491" width="12.7109375" style="63" customWidth="1"/>
    <col min="9492" max="9492" width="4.140625" style="63" customWidth="1"/>
    <col min="9493" max="9502" width="15.7109375" style="63" customWidth="1"/>
    <col min="9503" max="9728" width="9.140625" style="63"/>
    <col min="9729" max="9729" width="8.7109375" style="63" customWidth="1"/>
    <col min="9730" max="9730" width="0" style="63" hidden="1" customWidth="1"/>
    <col min="9731" max="9731" width="40.7109375" style="63" customWidth="1"/>
    <col min="9732" max="9732" width="9.5703125" style="63" customWidth="1"/>
    <col min="9733" max="9741" width="8.7109375" style="63" customWidth="1"/>
    <col min="9742" max="9742" width="12.7109375" style="63" customWidth="1"/>
    <col min="9743" max="9743" width="25.7109375" style="63" customWidth="1"/>
    <col min="9744" max="9746" width="10.7109375" style="63" customWidth="1"/>
    <col min="9747" max="9747" width="12.7109375" style="63" customWidth="1"/>
    <col min="9748" max="9748" width="4.140625" style="63" customWidth="1"/>
    <col min="9749" max="9758" width="15.7109375" style="63" customWidth="1"/>
    <col min="9759" max="9984" width="9.140625" style="63"/>
    <col min="9985" max="9985" width="8.7109375" style="63" customWidth="1"/>
    <col min="9986" max="9986" width="0" style="63" hidden="1" customWidth="1"/>
    <col min="9987" max="9987" width="40.7109375" style="63" customWidth="1"/>
    <col min="9988" max="9988" width="9.5703125" style="63" customWidth="1"/>
    <col min="9989" max="9997" width="8.7109375" style="63" customWidth="1"/>
    <col min="9998" max="9998" width="12.7109375" style="63" customWidth="1"/>
    <col min="9999" max="9999" width="25.7109375" style="63" customWidth="1"/>
    <col min="10000" max="10002" width="10.7109375" style="63" customWidth="1"/>
    <col min="10003" max="10003" width="12.7109375" style="63" customWidth="1"/>
    <col min="10004" max="10004" width="4.140625" style="63" customWidth="1"/>
    <col min="10005" max="10014" width="15.7109375" style="63" customWidth="1"/>
    <col min="10015" max="10240" width="9.140625" style="63"/>
    <col min="10241" max="10241" width="8.7109375" style="63" customWidth="1"/>
    <col min="10242" max="10242" width="0" style="63" hidden="1" customWidth="1"/>
    <col min="10243" max="10243" width="40.7109375" style="63" customWidth="1"/>
    <col min="10244" max="10244" width="9.5703125" style="63" customWidth="1"/>
    <col min="10245" max="10253" width="8.7109375" style="63" customWidth="1"/>
    <col min="10254" max="10254" width="12.7109375" style="63" customWidth="1"/>
    <col min="10255" max="10255" width="25.7109375" style="63" customWidth="1"/>
    <col min="10256" max="10258" width="10.7109375" style="63" customWidth="1"/>
    <col min="10259" max="10259" width="12.7109375" style="63" customWidth="1"/>
    <col min="10260" max="10260" width="4.140625" style="63" customWidth="1"/>
    <col min="10261" max="10270" width="15.7109375" style="63" customWidth="1"/>
    <col min="10271" max="10496" width="9.140625" style="63"/>
    <col min="10497" max="10497" width="8.7109375" style="63" customWidth="1"/>
    <col min="10498" max="10498" width="0" style="63" hidden="1" customWidth="1"/>
    <col min="10499" max="10499" width="40.7109375" style="63" customWidth="1"/>
    <col min="10500" max="10500" width="9.5703125" style="63" customWidth="1"/>
    <col min="10501" max="10509" width="8.7109375" style="63" customWidth="1"/>
    <col min="10510" max="10510" width="12.7109375" style="63" customWidth="1"/>
    <col min="10511" max="10511" width="25.7109375" style="63" customWidth="1"/>
    <col min="10512" max="10514" width="10.7109375" style="63" customWidth="1"/>
    <col min="10515" max="10515" width="12.7109375" style="63" customWidth="1"/>
    <col min="10516" max="10516" width="4.140625" style="63" customWidth="1"/>
    <col min="10517" max="10526" width="15.7109375" style="63" customWidth="1"/>
    <col min="10527" max="10752" width="9.140625" style="63"/>
    <col min="10753" max="10753" width="8.7109375" style="63" customWidth="1"/>
    <col min="10754" max="10754" width="0" style="63" hidden="1" customWidth="1"/>
    <col min="10755" max="10755" width="40.7109375" style="63" customWidth="1"/>
    <col min="10756" max="10756" width="9.5703125" style="63" customWidth="1"/>
    <col min="10757" max="10765" width="8.7109375" style="63" customWidth="1"/>
    <col min="10766" max="10766" width="12.7109375" style="63" customWidth="1"/>
    <col min="10767" max="10767" width="25.7109375" style="63" customWidth="1"/>
    <col min="10768" max="10770" width="10.7109375" style="63" customWidth="1"/>
    <col min="10771" max="10771" width="12.7109375" style="63" customWidth="1"/>
    <col min="10772" max="10772" width="4.140625" style="63" customWidth="1"/>
    <col min="10773" max="10782" width="15.7109375" style="63" customWidth="1"/>
    <col min="10783" max="11008" width="9.140625" style="63"/>
    <col min="11009" max="11009" width="8.7109375" style="63" customWidth="1"/>
    <col min="11010" max="11010" width="0" style="63" hidden="1" customWidth="1"/>
    <col min="11011" max="11011" width="40.7109375" style="63" customWidth="1"/>
    <col min="11012" max="11012" width="9.5703125" style="63" customWidth="1"/>
    <col min="11013" max="11021" width="8.7109375" style="63" customWidth="1"/>
    <col min="11022" max="11022" width="12.7109375" style="63" customWidth="1"/>
    <col min="11023" max="11023" width="25.7109375" style="63" customWidth="1"/>
    <col min="11024" max="11026" width="10.7109375" style="63" customWidth="1"/>
    <col min="11027" max="11027" width="12.7109375" style="63" customWidth="1"/>
    <col min="11028" max="11028" width="4.140625" style="63" customWidth="1"/>
    <col min="11029" max="11038" width="15.7109375" style="63" customWidth="1"/>
    <col min="11039" max="11264" width="9.140625" style="63"/>
    <col min="11265" max="11265" width="8.7109375" style="63" customWidth="1"/>
    <col min="11266" max="11266" width="0" style="63" hidden="1" customWidth="1"/>
    <col min="11267" max="11267" width="40.7109375" style="63" customWidth="1"/>
    <col min="11268" max="11268" width="9.5703125" style="63" customWidth="1"/>
    <col min="11269" max="11277" width="8.7109375" style="63" customWidth="1"/>
    <col min="11278" max="11278" width="12.7109375" style="63" customWidth="1"/>
    <col min="11279" max="11279" width="25.7109375" style="63" customWidth="1"/>
    <col min="11280" max="11282" width="10.7109375" style="63" customWidth="1"/>
    <col min="11283" max="11283" width="12.7109375" style="63" customWidth="1"/>
    <col min="11284" max="11284" width="4.140625" style="63" customWidth="1"/>
    <col min="11285" max="11294" width="15.7109375" style="63" customWidth="1"/>
    <col min="11295" max="11520" width="9.140625" style="63"/>
    <col min="11521" max="11521" width="8.7109375" style="63" customWidth="1"/>
    <col min="11522" max="11522" width="0" style="63" hidden="1" customWidth="1"/>
    <col min="11523" max="11523" width="40.7109375" style="63" customWidth="1"/>
    <col min="11524" max="11524" width="9.5703125" style="63" customWidth="1"/>
    <col min="11525" max="11533" width="8.7109375" style="63" customWidth="1"/>
    <col min="11534" max="11534" width="12.7109375" style="63" customWidth="1"/>
    <col min="11535" max="11535" width="25.7109375" style="63" customWidth="1"/>
    <col min="11536" max="11538" width="10.7109375" style="63" customWidth="1"/>
    <col min="11539" max="11539" width="12.7109375" style="63" customWidth="1"/>
    <col min="11540" max="11540" width="4.140625" style="63" customWidth="1"/>
    <col min="11541" max="11550" width="15.7109375" style="63" customWidth="1"/>
    <col min="11551" max="11776" width="9.140625" style="63"/>
    <col min="11777" max="11777" width="8.7109375" style="63" customWidth="1"/>
    <col min="11778" max="11778" width="0" style="63" hidden="1" customWidth="1"/>
    <col min="11779" max="11779" width="40.7109375" style="63" customWidth="1"/>
    <col min="11780" max="11780" width="9.5703125" style="63" customWidth="1"/>
    <col min="11781" max="11789" width="8.7109375" style="63" customWidth="1"/>
    <col min="11790" max="11790" width="12.7109375" style="63" customWidth="1"/>
    <col min="11791" max="11791" width="25.7109375" style="63" customWidth="1"/>
    <col min="11792" max="11794" width="10.7109375" style="63" customWidth="1"/>
    <col min="11795" max="11795" width="12.7109375" style="63" customWidth="1"/>
    <col min="11796" max="11796" width="4.140625" style="63" customWidth="1"/>
    <col min="11797" max="11806" width="15.7109375" style="63" customWidth="1"/>
    <col min="11807" max="12032" width="9.140625" style="63"/>
    <col min="12033" max="12033" width="8.7109375" style="63" customWidth="1"/>
    <col min="12034" max="12034" width="0" style="63" hidden="1" customWidth="1"/>
    <col min="12035" max="12035" width="40.7109375" style="63" customWidth="1"/>
    <col min="12036" max="12036" width="9.5703125" style="63" customWidth="1"/>
    <col min="12037" max="12045" width="8.7109375" style="63" customWidth="1"/>
    <col min="12046" max="12046" width="12.7109375" style="63" customWidth="1"/>
    <col min="12047" max="12047" width="25.7109375" style="63" customWidth="1"/>
    <col min="12048" max="12050" width="10.7109375" style="63" customWidth="1"/>
    <col min="12051" max="12051" width="12.7109375" style="63" customWidth="1"/>
    <col min="12052" max="12052" width="4.140625" style="63" customWidth="1"/>
    <col min="12053" max="12062" width="15.7109375" style="63" customWidth="1"/>
    <col min="12063" max="12288" width="9.140625" style="63"/>
    <col min="12289" max="12289" width="8.7109375" style="63" customWidth="1"/>
    <col min="12290" max="12290" width="0" style="63" hidden="1" customWidth="1"/>
    <col min="12291" max="12291" width="40.7109375" style="63" customWidth="1"/>
    <col min="12292" max="12292" width="9.5703125" style="63" customWidth="1"/>
    <col min="12293" max="12301" width="8.7109375" style="63" customWidth="1"/>
    <col min="12302" max="12302" width="12.7109375" style="63" customWidth="1"/>
    <col min="12303" max="12303" width="25.7109375" style="63" customWidth="1"/>
    <col min="12304" max="12306" width="10.7109375" style="63" customWidth="1"/>
    <col min="12307" max="12307" width="12.7109375" style="63" customWidth="1"/>
    <col min="12308" max="12308" width="4.140625" style="63" customWidth="1"/>
    <col min="12309" max="12318" width="15.7109375" style="63" customWidth="1"/>
    <col min="12319" max="12544" width="9.140625" style="63"/>
    <col min="12545" max="12545" width="8.7109375" style="63" customWidth="1"/>
    <col min="12546" max="12546" width="0" style="63" hidden="1" customWidth="1"/>
    <col min="12547" max="12547" width="40.7109375" style="63" customWidth="1"/>
    <col min="12548" max="12548" width="9.5703125" style="63" customWidth="1"/>
    <col min="12549" max="12557" width="8.7109375" style="63" customWidth="1"/>
    <col min="12558" max="12558" width="12.7109375" style="63" customWidth="1"/>
    <col min="12559" max="12559" width="25.7109375" style="63" customWidth="1"/>
    <col min="12560" max="12562" width="10.7109375" style="63" customWidth="1"/>
    <col min="12563" max="12563" width="12.7109375" style="63" customWidth="1"/>
    <col min="12564" max="12564" width="4.140625" style="63" customWidth="1"/>
    <col min="12565" max="12574" width="15.7109375" style="63" customWidth="1"/>
    <col min="12575" max="12800" width="9.140625" style="63"/>
    <col min="12801" max="12801" width="8.7109375" style="63" customWidth="1"/>
    <col min="12802" max="12802" width="0" style="63" hidden="1" customWidth="1"/>
    <col min="12803" max="12803" width="40.7109375" style="63" customWidth="1"/>
    <col min="12804" max="12804" width="9.5703125" style="63" customWidth="1"/>
    <col min="12805" max="12813" width="8.7109375" style="63" customWidth="1"/>
    <col min="12814" max="12814" width="12.7109375" style="63" customWidth="1"/>
    <col min="12815" max="12815" width="25.7109375" style="63" customWidth="1"/>
    <col min="12816" max="12818" width="10.7109375" style="63" customWidth="1"/>
    <col min="12819" max="12819" width="12.7109375" style="63" customWidth="1"/>
    <col min="12820" max="12820" width="4.140625" style="63" customWidth="1"/>
    <col min="12821" max="12830" width="15.7109375" style="63" customWidth="1"/>
    <col min="12831" max="13056" width="9.140625" style="63"/>
    <col min="13057" max="13057" width="8.7109375" style="63" customWidth="1"/>
    <col min="13058" max="13058" width="0" style="63" hidden="1" customWidth="1"/>
    <col min="13059" max="13059" width="40.7109375" style="63" customWidth="1"/>
    <col min="13060" max="13060" width="9.5703125" style="63" customWidth="1"/>
    <col min="13061" max="13069" width="8.7109375" style="63" customWidth="1"/>
    <col min="13070" max="13070" width="12.7109375" style="63" customWidth="1"/>
    <col min="13071" max="13071" width="25.7109375" style="63" customWidth="1"/>
    <col min="13072" max="13074" width="10.7109375" style="63" customWidth="1"/>
    <col min="13075" max="13075" width="12.7109375" style="63" customWidth="1"/>
    <col min="13076" max="13076" width="4.140625" style="63" customWidth="1"/>
    <col min="13077" max="13086" width="15.7109375" style="63" customWidth="1"/>
    <col min="13087" max="13312" width="9.140625" style="63"/>
    <col min="13313" max="13313" width="8.7109375" style="63" customWidth="1"/>
    <col min="13314" max="13314" width="0" style="63" hidden="1" customWidth="1"/>
    <col min="13315" max="13315" width="40.7109375" style="63" customWidth="1"/>
    <col min="13316" max="13316" width="9.5703125" style="63" customWidth="1"/>
    <col min="13317" max="13325" width="8.7109375" style="63" customWidth="1"/>
    <col min="13326" max="13326" width="12.7109375" style="63" customWidth="1"/>
    <col min="13327" max="13327" width="25.7109375" style="63" customWidth="1"/>
    <col min="13328" max="13330" width="10.7109375" style="63" customWidth="1"/>
    <col min="13331" max="13331" width="12.7109375" style="63" customWidth="1"/>
    <col min="13332" max="13332" width="4.140625" style="63" customWidth="1"/>
    <col min="13333" max="13342" width="15.7109375" style="63" customWidth="1"/>
    <col min="13343" max="13568" width="9.140625" style="63"/>
    <col min="13569" max="13569" width="8.7109375" style="63" customWidth="1"/>
    <col min="13570" max="13570" width="0" style="63" hidden="1" customWidth="1"/>
    <col min="13571" max="13571" width="40.7109375" style="63" customWidth="1"/>
    <col min="13572" max="13572" width="9.5703125" style="63" customWidth="1"/>
    <col min="13573" max="13581" width="8.7109375" style="63" customWidth="1"/>
    <col min="13582" max="13582" width="12.7109375" style="63" customWidth="1"/>
    <col min="13583" max="13583" width="25.7109375" style="63" customWidth="1"/>
    <col min="13584" max="13586" width="10.7109375" style="63" customWidth="1"/>
    <col min="13587" max="13587" width="12.7109375" style="63" customWidth="1"/>
    <col min="13588" max="13588" width="4.140625" style="63" customWidth="1"/>
    <col min="13589" max="13598" width="15.7109375" style="63" customWidth="1"/>
    <col min="13599" max="13824" width="9.140625" style="63"/>
    <col min="13825" max="13825" width="8.7109375" style="63" customWidth="1"/>
    <col min="13826" max="13826" width="0" style="63" hidden="1" customWidth="1"/>
    <col min="13827" max="13827" width="40.7109375" style="63" customWidth="1"/>
    <col min="13828" max="13828" width="9.5703125" style="63" customWidth="1"/>
    <col min="13829" max="13837" width="8.7109375" style="63" customWidth="1"/>
    <col min="13838" max="13838" width="12.7109375" style="63" customWidth="1"/>
    <col min="13839" max="13839" width="25.7109375" style="63" customWidth="1"/>
    <col min="13840" max="13842" width="10.7109375" style="63" customWidth="1"/>
    <col min="13843" max="13843" width="12.7109375" style="63" customWidth="1"/>
    <col min="13844" max="13844" width="4.140625" style="63" customWidth="1"/>
    <col min="13845" max="13854" width="15.7109375" style="63" customWidth="1"/>
    <col min="13855" max="14080" width="9.140625" style="63"/>
    <col min="14081" max="14081" width="8.7109375" style="63" customWidth="1"/>
    <col min="14082" max="14082" width="0" style="63" hidden="1" customWidth="1"/>
    <col min="14083" max="14083" width="40.7109375" style="63" customWidth="1"/>
    <col min="14084" max="14084" width="9.5703125" style="63" customWidth="1"/>
    <col min="14085" max="14093" width="8.7109375" style="63" customWidth="1"/>
    <col min="14094" max="14094" width="12.7109375" style="63" customWidth="1"/>
    <col min="14095" max="14095" width="25.7109375" style="63" customWidth="1"/>
    <col min="14096" max="14098" width="10.7109375" style="63" customWidth="1"/>
    <col min="14099" max="14099" width="12.7109375" style="63" customWidth="1"/>
    <col min="14100" max="14100" width="4.140625" style="63" customWidth="1"/>
    <col min="14101" max="14110" width="15.7109375" style="63" customWidth="1"/>
    <col min="14111" max="14336" width="9.140625" style="63"/>
    <col min="14337" max="14337" width="8.7109375" style="63" customWidth="1"/>
    <col min="14338" max="14338" width="0" style="63" hidden="1" customWidth="1"/>
    <col min="14339" max="14339" width="40.7109375" style="63" customWidth="1"/>
    <col min="14340" max="14340" width="9.5703125" style="63" customWidth="1"/>
    <col min="14341" max="14349" width="8.7109375" style="63" customWidth="1"/>
    <col min="14350" max="14350" width="12.7109375" style="63" customWidth="1"/>
    <col min="14351" max="14351" width="25.7109375" style="63" customWidth="1"/>
    <col min="14352" max="14354" width="10.7109375" style="63" customWidth="1"/>
    <col min="14355" max="14355" width="12.7109375" style="63" customWidth="1"/>
    <col min="14356" max="14356" width="4.140625" style="63" customWidth="1"/>
    <col min="14357" max="14366" width="15.7109375" style="63" customWidth="1"/>
    <col min="14367" max="14592" width="9.140625" style="63"/>
    <col min="14593" max="14593" width="8.7109375" style="63" customWidth="1"/>
    <col min="14594" max="14594" width="0" style="63" hidden="1" customWidth="1"/>
    <col min="14595" max="14595" width="40.7109375" style="63" customWidth="1"/>
    <col min="14596" max="14596" width="9.5703125" style="63" customWidth="1"/>
    <col min="14597" max="14605" width="8.7109375" style="63" customWidth="1"/>
    <col min="14606" max="14606" width="12.7109375" style="63" customWidth="1"/>
    <col min="14607" max="14607" width="25.7109375" style="63" customWidth="1"/>
    <col min="14608" max="14610" width="10.7109375" style="63" customWidth="1"/>
    <col min="14611" max="14611" width="12.7109375" style="63" customWidth="1"/>
    <col min="14612" max="14612" width="4.140625" style="63" customWidth="1"/>
    <col min="14613" max="14622" width="15.7109375" style="63" customWidth="1"/>
    <col min="14623" max="14848" width="9.140625" style="63"/>
    <col min="14849" max="14849" width="8.7109375" style="63" customWidth="1"/>
    <col min="14850" max="14850" width="0" style="63" hidden="1" customWidth="1"/>
    <col min="14851" max="14851" width="40.7109375" style="63" customWidth="1"/>
    <col min="14852" max="14852" width="9.5703125" style="63" customWidth="1"/>
    <col min="14853" max="14861" width="8.7109375" style="63" customWidth="1"/>
    <col min="14862" max="14862" width="12.7109375" style="63" customWidth="1"/>
    <col min="14863" max="14863" width="25.7109375" style="63" customWidth="1"/>
    <col min="14864" max="14866" width="10.7109375" style="63" customWidth="1"/>
    <col min="14867" max="14867" width="12.7109375" style="63" customWidth="1"/>
    <col min="14868" max="14868" width="4.140625" style="63" customWidth="1"/>
    <col min="14869" max="14878" width="15.7109375" style="63" customWidth="1"/>
    <col min="14879" max="15104" width="9.140625" style="63"/>
    <col min="15105" max="15105" width="8.7109375" style="63" customWidth="1"/>
    <col min="15106" max="15106" width="0" style="63" hidden="1" customWidth="1"/>
    <col min="15107" max="15107" width="40.7109375" style="63" customWidth="1"/>
    <col min="15108" max="15108" width="9.5703125" style="63" customWidth="1"/>
    <col min="15109" max="15117" width="8.7109375" style="63" customWidth="1"/>
    <col min="15118" max="15118" width="12.7109375" style="63" customWidth="1"/>
    <col min="15119" max="15119" width="25.7109375" style="63" customWidth="1"/>
    <col min="15120" max="15122" width="10.7109375" style="63" customWidth="1"/>
    <col min="15123" max="15123" width="12.7109375" style="63" customWidth="1"/>
    <col min="15124" max="15124" width="4.140625" style="63" customWidth="1"/>
    <col min="15125" max="15134" width="15.7109375" style="63" customWidth="1"/>
    <col min="15135" max="15360" width="9.140625" style="63"/>
    <col min="15361" max="15361" width="8.7109375" style="63" customWidth="1"/>
    <col min="15362" max="15362" width="0" style="63" hidden="1" customWidth="1"/>
    <col min="15363" max="15363" width="40.7109375" style="63" customWidth="1"/>
    <col min="15364" max="15364" width="9.5703125" style="63" customWidth="1"/>
    <col min="15365" max="15373" width="8.7109375" style="63" customWidth="1"/>
    <col min="15374" max="15374" width="12.7109375" style="63" customWidth="1"/>
    <col min="15375" max="15375" width="25.7109375" style="63" customWidth="1"/>
    <col min="15376" max="15378" width="10.7109375" style="63" customWidth="1"/>
    <col min="15379" max="15379" width="12.7109375" style="63" customWidth="1"/>
    <col min="15380" max="15380" width="4.140625" style="63" customWidth="1"/>
    <col min="15381" max="15390" width="15.7109375" style="63" customWidth="1"/>
    <col min="15391" max="15616" width="9.140625" style="63"/>
    <col min="15617" max="15617" width="8.7109375" style="63" customWidth="1"/>
    <col min="15618" max="15618" width="0" style="63" hidden="1" customWidth="1"/>
    <col min="15619" max="15619" width="40.7109375" style="63" customWidth="1"/>
    <col min="15620" max="15620" width="9.5703125" style="63" customWidth="1"/>
    <col min="15621" max="15629" width="8.7109375" style="63" customWidth="1"/>
    <col min="15630" max="15630" width="12.7109375" style="63" customWidth="1"/>
    <col min="15631" max="15631" width="25.7109375" style="63" customWidth="1"/>
    <col min="15632" max="15634" width="10.7109375" style="63" customWidth="1"/>
    <col min="15635" max="15635" width="12.7109375" style="63" customWidth="1"/>
    <col min="15636" max="15636" width="4.140625" style="63" customWidth="1"/>
    <col min="15637" max="15646" width="15.7109375" style="63" customWidth="1"/>
    <col min="15647" max="15872" width="9.140625" style="63"/>
    <col min="15873" max="15873" width="8.7109375" style="63" customWidth="1"/>
    <col min="15874" max="15874" width="0" style="63" hidden="1" customWidth="1"/>
    <col min="15875" max="15875" width="40.7109375" style="63" customWidth="1"/>
    <col min="15876" max="15876" width="9.5703125" style="63" customWidth="1"/>
    <col min="15877" max="15885" width="8.7109375" style="63" customWidth="1"/>
    <col min="15886" max="15886" width="12.7109375" style="63" customWidth="1"/>
    <col min="15887" max="15887" width="25.7109375" style="63" customWidth="1"/>
    <col min="15888" max="15890" width="10.7109375" style="63" customWidth="1"/>
    <col min="15891" max="15891" width="12.7109375" style="63" customWidth="1"/>
    <col min="15892" max="15892" width="4.140625" style="63" customWidth="1"/>
    <col min="15893" max="15902" width="15.7109375" style="63" customWidth="1"/>
    <col min="15903" max="16128" width="9.140625" style="63"/>
    <col min="16129" max="16129" width="8.7109375" style="63" customWidth="1"/>
    <col min="16130" max="16130" width="0" style="63" hidden="1" customWidth="1"/>
    <col min="16131" max="16131" width="40.7109375" style="63" customWidth="1"/>
    <col min="16132" max="16132" width="9.5703125" style="63" customWidth="1"/>
    <col min="16133" max="16141" width="8.7109375" style="63" customWidth="1"/>
    <col min="16142" max="16142" width="12.7109375" style="63" customWidth="1"/>
    <col min="16143" max="16143" width="25.7109375" style="63" customWidth="1"/>
    <col min="16144" max="16146" width="10.7109375" style="63" customWidth="1"/>
    <col min="16147" max="16147" width="12.7109375" style="63" customWidth="1"/>
    <col min="16148" max="16148" width="4.140625" style="63" customWidth="1"/>
    <col min="16149" max="16158" width="15.7109375" style="63" customWidth="1"/>
    <col min="16159" max="16384" width="9.140625" style="63"/>
  </cols>
  <sheetData>
    <row r="2" spans="1:31" ht="39.950000000000003" customHeight="1" x14ac:dyDescent="0.2">
      <c r="A2" s="1442" t="s">
        <v>948</v>
      </c>
      <c r="B2" s="1442"/>
      <c r="C2" s="1442"/>
      <c r="D2" s="1442"/>
      <c r="E2" s="1442"/>
      <c r="F2" s="1442"/>
      <c r="G2" s="1442"/>
      <c r="H2" s="1442"/>
      <c r="I2" s="1442"/>
      <c r="J2" s="1442"/>
      <c r="K2" s="1442"/>
      <c r="L2" s="1442"/>
      <c r="M2" s="1442"/>
      <c r="N2" s="1442"/>
      <c r="O2" s="1442"/>
      <c r="P2" s="1442"/>
      <c r="Q2" s="1442"/>
      <c r="R2" s="1442"/>
      <c r="S2" s="1442"/>
    </row>
    <row r="3" spans="1:31" ht="24.95" customHeight="1" x14ac:dyDescent="0.3">
      <c r="M3" s="655" t="s">
        <v>423</v>
      </c>
      <c r="O3" s="1443" t="str">
        <f>LPKK!Q4</f>
        <v>SC MARABAHAN</v>
      </c>
      <c r="P3" s="1444"/>
    </row>
    <row r="4" spans="1:31" ht="24.95" customHeight="1" x14ac:dyDescent="0.3">
      <c r="M4" s="655" t="s">
        <v>424</v>
      </c>
      <c r="O4" s="1443" t="str">
        <f>LPKK!Q5</f>
        <v>1-7 JULI 2026</v>
      </c>
      <c r="P4" s="1444"/>
      <c r="R4" s="658"/>
    </row>
    <row r="5" spans="1:31" ht="24.95" customHeight="1" thickBot="1" x14ac:dyDescent="0.35">
      <c r="A5" s="655"/>
      <c r="M5" s="655"/>
      <c r="U5" s="612"/>
      <c r="W5" s="612"/>
    </row>
    <row r="6" spans="1:31" ht="24.95" customHeight="1" thickBot="1" x14ac:dyDescent="0.25">
      <c r="A6" s="1445" t="s">
        <v>89</v>
      </c>
      <c r="B6" s="1445" t="s">
        <v>425</v>
      </c>
      <c r="C6" s="1447" t="str">
        <f>B6</f>
        <v>PRODUCT</v>
      </c>
      <c r="D6" s="659">
        <v>1</v>
      </c>
      <c r="E6" s="659">
        <v>2</v>
      </c>
      <c r="F6" s="659">
        <v>3</v>
      </c>
      <c r="G6" s="659">
        <v>4</v>
      </c>
      <c r="H6" s="659">
        <v>5</v>
      </c>
      <c r="I6" s="659">
        <v>6</v>
      </c>
      <c r="J6" s="659">
        <v>7</v>
      </c>
      <c r="K6" s="659"/>
      <c r="L6" s="659"/>
      <c r="M6" s="659"/>
      <c r="N6" s="1449" t="s">
        <v>10</v>
      </c>
      <c r="O6" s="1450"/>
      <c r="P6" s="1451" t="s">
        <v>426</v>
      </c>
      <c r="Q6" s="1453" t="s">
        <v>427</v>
      </c>
      <c r="R6" s="1455" t="s">
        <v>428</v>
      </c>
      <c r="S6" s="660" t="s">
        <v>429</v>
      </c>
    </row>
    <row r="7" spans="1:31" ht="24.95" customHeight="1" thickBot="1" x14ac:dyDescent="0.25">
      <c r="A7" s="1446"/>
      <c r="B7" s="1446"/>
      <c r="C7" s="1448"/>
      <c r="D7" s="661" t="s">
        <v>1032</v>
      </c>
      <c r="E7" s="662" t="s">
        <v>1033</v>
      </c>
      <c r="F7" s="661" t="s">
        <v>1034</v>
      </c>
      <c r="G7" s="662" t="s">
        <v>1035</v>
      </c>
      <c r="H7" s="661" t="s">
        <v>1036</v>
      </c>
      <c r="I7" s="662" t="s">
        <v>1037</v>
      </c>
      <c r="J7" s="661" t="s">
        <v>1035</v>
      </c>
      <c r="K7" s="661"/>
      <c r="L7" s="661"/>
      <c r="M7" s="661"/>
      <c r="N7" s="531" t="s">
        <v>32</v>
      </c>
      <c r="O7" s="663" t="s">
        <v>109</v>
      </c>
      <c r="P7" s="1452"/>
      <c r="Q7" s="1454"/>
      <c r="R7" s="1456"/>
      <c r="S7" s="664" t="s">
        <v>430</v>
      </c>
      <c r="T7" s="665"/>
      <c r="U7" s="666"/>
    </row>
    <row r="8" spans="1:31" ht="24.95" customHeight="1" thickBot="1" x14ac:dyDescent="0.25">
      <c r="A8" s="667">
        <v>1</v>
      </c>
      <c r="B8" s="668" t="s">
        <v>431</v>
      </c>
      <c r="C8" s="921" t="str">
        <f>B8</f>
        <v>Dada</v>
      </c>
      <c r="D8" s="1106">
        <v>17</v>
      </c>
      <c r="E8" s="1107">
        <v>13</v>
      </c>
      <c r="F8" s="1106">
        <v>14</v>
      </c>
      <c r="G8" s="1107">
        <v>13</v>
      </c>
      <c r="H8" s="1106">
        <v>17</v>
      </c>
      <c r="I8" s="1107">
        <v>23</v>
      </c>
      <c r="J8" s="1106">
        <v>19</v>
      </c>
      <c r="K8" s="1107"/>
      <c r="L8" s="1106"/>
      <c r="M8" s="1108"/>
      <c r="N8" s="1109">
        <f>SUM(D8:M8)</f>
        <v>116</v>
      </c>
      <c r="O8" s="1110">
        <f>N8*S8</f>
        <v>1740000</v>
      </c>
      <c r="P8" s="707">
        <f>(O8/O112)*100</f>
        <v>6.3523355785553921</v>
      </c>
      <c r="Q8" s="1111">
        <f>'FOOD COST PRODUCT'!G7</f>
        <v>0.54255249119009641</v>
      </c>
      <c r="R8" s="1112">
        <f>P8*Q8</f>
        <v>3.4464754930207104</v>
      </c>
      <c r="S8" s="678">
        <v>15000</v>
      </c>
      <c r="U8" s="679">
        <f>D8*S8</f>
        <v>255000</v>
      </c>
      <c r="V8" s="679">
        <f>E8*S8</f>
        <v>195000</v>
      </c>
      <c r="W8" s="679">
        <f>F8*S8</f>
        <v>210000</v>
      </c>
      <c r="X8" s="679">
        <f>G8*S8</f>
        <v>195000</v>
      </c>
      <c r="Y8" s="679">
        <f>H8*S8</f>
        <v>255000</v>
      </c>
      <c r="Z8" s="679">
        <f>I8*S8</f>
        <v>345000</v>
      </c>
      <c r="AA8" s="679">
        <f>J8*S8</f>
        <v>285000</v>
      </c>
      <c r="AB8" s="679">
        <f>K8*S8</f>
        <v>0</v>
      </c>
      <c r="AC8" s="679">
        <f>L8*S8</f>
        <v>0</v>
      </c>
      <c r="AD8" s="679">
        <f>M8*S8</f>
        <v>0</v>
      </c>
      <c r="AE8" s="610"/>
    </row>
    <row r="9" spans="1:31" ht="24.95" customHeight="1" x14ac:dyDescent="0.2">
      <c r="A9" s="667">
        <v>2</v>
      </c>
      <c r="B9" s="680" t="s">
        <v>432</v>
      </c>
      <c r="C9" s="681" t="str">
        <f>B9</f>
        <v>Paha Atas</v>
      </c>
      <c r="D9" s="682">
        <v>17</v>
      </c>
      <c r="E9" s="683">
        <v>12</v>
      </c>
      <c r="F9" s="682">
        <v>18</v>
      </c>
      <c r="G9" s="683">
        <v>10</v>
      </c>
      <c r="H9" s="682">
        <v>21</v>
      </c>
      <c r="I9" s="683">
        <v>8</v>
      </c>
      <c r="J9" s="682">
        <v>9</v>
      </c>
      <c r="K9" s="683"/>
      <c r="L9" s="682"/>
      <c r="M9" s="684"/>
      <c r="N9" s="673">
        <f t="shared" ref="N9:N78" si="0">SUM(D9:M9)</f>
        <v>95</v>
      </c>
      <c r="O9" s="674">
        <f t="shared" ref="O9:O78" si="1">N9*S9</f>
        <v>1425000</v>
      </c>
      <c r="P9" s="675">
        <f>(O9/O112)*100</f>
        <v>5.2023437927824325</v>
      </c>
      <c r="Q9" s="676">
        <f>'FOOD COST PRODUCT'!G8</f>
        <v>0.5559899911900964</v>
      </c>
      <c r="R9" s="677">
        <f t="shared" ref="R9:R78" si="2">P9*Q9</f>
        <v>2.8924510795169573</v>
      </c>
      <c r="S9" s="678">
        <v>15000</v>
      </c>
      <c r="U9" s="679">
        <f t="shared" ref="U9:U75" si="3">D9*S9</f>
        <v>255000</v>
      </c>
      <c r="V9" s="679">
        <f t="shared" ref="V9:V75" si="4">E9*S9</f>
        <v>180000</v>
      </c>
      <c r="W9" s="679">
        <f t="shared" ref="W9:W75" si="5">F9*S9</f>
        <v>270000</v>
      </c>
      <c r="X9" s="679">
        <f t="shared" ref="X9:X75" si="6">G9*S9</f>
        <v>150000</v>
      </c>
      <c r="Y9" s="679">
        <f t="shared" ref="Y9:Y75" si="7">H9*S9</f>
        <v>315000</v>
      </c>
      <c r="Z9" s="679">
        <f t="shared" ref="Z9:Z75" si="8">I9*S9</f>
        <v>120000</v>
      </c>
      <c r="AA9" s="679">
        <f t="shared" ref="AA9:AA75" si="9">J9*S9</f>
        <v>135000</v>
      </c>
      <c r="AB9" s="679">
        <f t="shared" ref="AB9:AB75" si="10">K9*S9</f>
        <v>0</v>
      </c>
      <c r="AC9" s="679">
        <f t="shared" ref="AC9:AC75" si="11">L9*S9</f>
        <v>0</v>
      </c>
      <c r="AD9" s="679">
        <f t="shared" ref="AD9:AD75" si="12">M9*S9</f>
        <v>0</v>
      </c>
      <c r="AE9" s="610"/>
    </row>
    <row r="10" spans="1:31" ht="24.95" customHeight="1" x14ac:dyDescent="0.2">
      <c r="A10" s="667">
        <v>3</v>
      </c>
      <c r="B10" s="680" t="s">
        <v>433</v>
      </c>
      <c r="C10" s="681" t="str">
        <f t="shared" ref="C10:C20" si="13">B10</f>
        <v>Paha Bawah</v>
      </c>
      <c r="D10" s="682">
        <v>5</v>
      </c>
      <c r="E10" s="683">
        <v>4</v>
      </c>
      <c r="F10" s="682">
        <v>2</v>
      </c>
      <c r="G10" s="683"/>
      <c r="H10" s="682">
        <v>2</v>
      </c>
      <c r="I10" s="683">
        <v>10</v>
      </c>
      <c r="J10" s="682">
        <v>5</v>
      </c>
      <c r="K10" s="683"/>
      <c r="L10" s="682"/>
      <c r="M10" s="684"/>
      <c r="N10" s="673">
        <f t="shared" si="0"/>
        <v>28</v>
      </c>
      <c r="O10" s="674">
        <f t="shared" si="1"/>
        <v>378000</v>
      </c>
      <c r="P10" s="686">
        <f>(O10/O112)*100</f>
        <v>1.3799901429275505</v>
      </c>
      <c r="Q10" s="676">
        <f>'FOOD COST PRODUCT'!G9</f>
        <v>0.48339165687788488</v>
      </c>
      <c r="R10" s="677">
        <f t="shared" si="2"/>
        <v>0.66707572166489781</v>
      </c>
      <c r="S10" s="685">
        <v>13500</v>
      </c>
      <c r="U10" s="679">
        <f t="shared" si="3"/>
        <v>67500</v>
      </c>
      <c r="V10" s="679">
        <f t="shared" si="4"/>
        <v>54000</v>
      </c>
      <c r="W10" s="679">
        <f t="shared" si="5"/>
        <v>27000</v>
      </c>
      <c r="X10" s="679">
        <f t="shared" si="6"/>
        <v>0</v>
      </c>
      <c r="Y10" s="679">
        <f t="shared" si="7"/>
        <v>27000</v>
      </c>
      <c r="Z10" s="679">
        <f t="shared" si="8"/>
        <v>135000</v>
      </c>
      <c r="AA10" s="679">
        <f t="shared" si="9"/>
        <v>67500</v>
      </c>
      <c r="AB10" s="679">
        <f t="shared" si="10"/>
        <v>0</v>
      </c>
      <c r="AC10" s="679">
        <f t="shared" si="11"/>
        <v>0</v>
      </c>
      <c r="AD10" s="679">
        <f t="shared" si="12"/>
        <v>0</v>
      </c>
      <c r="AE10" s="610"/>
    </row>
    <row r="11" spans="1:31" ht="24.95" customHeight="1" x14ac:dyDescent="0.2">
      <c r="A11" s="667">
        <v>4</v>
      </c>
      <c r="B11" s="680" t="s">
        <v>434</v>
      </c>
      <c r="C11" s="681" t="str">
        <f t="shared" si="13"/>
        <v>Sayap</v>
      </c>
      <c r="D11" s="682">
        <v>11</v>
      </c>
      <c r="E11" s="683">
        <v>2</v>
      </c>
      <c r="F11" s="687">
        <v>5</v>
      </c>
      <c r="G11" s="683">
        <v>4</v>
      </c>
      <c r="H11" s="682">
        <v>3</v>
      </c>
      <c r="I11" s="683">
        <v>2</v>
      </c>
      <c r="J11" s="682"/>
      <c r="K11" s="683"/>
      <c r="L11" s="682"/>
      <c r="M11" s="684"/>
      <c r="N11" s="673">
        <f t="shared" si="0"/>
        <v>27</v>
      </c>
      <c r="O11" s="674">
        <f t="shared" si="1"/>
        <v>337500</v>
      </c>
      <c r="P11" s="686">
        <f>(O11/O112)*100</f>
        <v>1.2321340561853129</v>
      </c>
      <c r="Q11" s="676">
        <f>'FOOD COST PRODUCT'!G10</f>
        <v>0.49038946001635103</v>
      </c>
      <c r="R11" s="677">
        <f t="shared" si="2"/>
        <v>0.60422555448047188</v>
      </c>
      <c r="S11" s="685">
        <v>12500</v>
      </c>
      <c r="U11" s="679">
        <f t="shared" si="3"/>
        <v>137500</v>
      </c>
      <c r="V11" s="679">
        <f t="shared" si="4"/>
        <v>25000</v>
      </c>
      <c r="W11" s="679">
        <f t="shared" si="5"/>
        <v>62500</v>
      </c>
      <c r="X11" s="679">
        <f t="shared" si="6"/>
        <v>50000</v>
      </c>
      <c r="Y11" s="679">
        <f t="shared" si="7"/>
        <v>37500</v>
      </c>
      <c r="Z11" s="679">
        <f t="shared" si="8"/>
        <v>25000</v>
      </c>
      <c r="AA11" s="679">
        <f t="shared" si="9"/>
        <v>0</v>
      </c>
      <c r="AB11" s="679">
        <f t="shared" si="10"/>
        <v>0</v>
      </c>
      <c r="AC11" s="679">
        <f t="shared" si="11"/>
        <v>0</v>
      </c>
      <c r="AD11" s="679">
        <f t="shared" si="12"/>
        <v>0</v>
      </c>
      <c r="AE11" s="610"/>
    </row>
    <row r="12" spans="1:31" ht="24.95" customHeight="1" x14ac:dyDescent="0.2">
      <c r="A12" s="667">
        <v>5</v>
      </c>
      <c r="B12" s="680" t="s">
        <v>435</v>
      </c>
      <c r="C12" s="681" t="str">
        <f t="shared" si="13"/>
        <v>Chicken Strips</v>
      </c>
      <c r="D12" s="682">
        <v>3</v>
      </c>
      <c r="E12" s="683">
        <v>6</v>
      </c>
      <c r="F12" s="682">
        <v>6</v>
      </c>
      <c r="G12" s="683">
        <v>7</v>
      </c>
      <c r="H12" s="682">
        <v>3</v>
      </c>
      <c r="I12" s="683">
        <v>1</v>
      </c>
      <c r="J12" s="682">
        <v>3</v>
      </c>
      <c r="K12" s="683"/>
      <c r="L12" s="682"/>
      <c r="M12" s="684"/>
      <c r="N12" s="673">
        <f t="shared" si="0"/>
        <v>29</v>
      </c>
      <c r="O12" s="674">
        <f t="shared" si="1"/>
        <v>377000</v>
      </c>
      <c r="P12" s="686">
        <f>(O12/O112)*100</f>
        <v>1.3763393753536681</v>
      </c>
      <c r="Q12" s="676">
        <f>'FOOD COST PRODUCT'!G11</f>
        <v>0.42457760213470735</v>
      </c>
      <c r="R12" s="677">
        <f t="shared" si="2"/>
        <v>0.58436287171124135</v>
      </c>
      <c r="S12" s="685">
        <v>13000</v>
      </c>
      <c r="U12" s="679">
        <f t="shared" si="3"/>
        <v>39000</v>
      </c>
      <c r="V12" s="679">
        <f t="shared" si="4"/>
        <v>78000</v>
      </c>
      <c r="W12" s="679">
        <f t="shared" si="5"/>
        <v>78000</v>
      </c>
      <c r="X12" s="679">
        <f t="shared" si="6"/>
        <v>91000</v>
      </c>
      <c r="Y12" s="679">
        <f t="shared" si="7"/>
        <v>39000</v>
      </c>
      <c r="Z12" s="679">
        <f t="shared" si="8"/>
        <v>13000</v>
      </c>
      <c r="AA12" s="679">
        <f t="shared" si="9"/>
        <v>39000</v>
      </c>
      <c r="AB12" s="679">
        <f t="shared" si="10"/>
        <v>0</v>
      </c>
      <c r="AC12" s="679">
        <f t="shared" si="11"/>
        <v>0</v>
      </c>
      <c r="AD12" s="679">
        <f t="shared" si="12"/>
        <v>0</v>
      </c>
      <c r="AE12" s="610"/>
    </row>
    <row r="13" spans="1:31" ht="24.95" customHeight="1" x14ac:dyDescent="0.2">
      <c r="A13" s="667">
        <v>6</v>
      </c>
      <c r="B13" s="680" t="s">
        <v>436</v>
      </c>
      <c r="C13" s="681" t="str">
        <f t="shared" si="13"/>
        <v>Chicken Steak</v>
      </c>
      <c r="D13" s="682">
        <v>1</v>
      </c>
      <c r="E13" s="683">
        <v>1</v>
      </c>
      <c r="F13" s="670"/>
      <c r="G13" s="683"/>
      <c r="H13" s="682">
        <v>3</v>
      </c>
      <c r="I13" s="683"/>
      <c r="J13" s="682">
        <v>2</v>
      </c>
      <c r="K13" s="683"/>
      <c r="L13" s="682"/>
      <c r="M13" s="684"/>
      <c r="N13" s="673">
        <f t="shared" si="0"/>
        <v>7</v>
      </c>
      <c r="O13" s="674">
        <f t="shared" si="1"/>
        <v>98000</v>
      </c>
      <c r="P13" s="686">
        <f>(O13/O112)*100</f>
        <v>0.35777522224047603</v>
      </c>
      <c r="Q13" s="676">
        <f>'FOOD COST PRODUCT'!G12</f>
        <v>2.2252444689442763</v>
      </c>
      <c r="R13" s="677">
        <f t="shared" si="2"/>
        <v>0.79613733441592849</v>
      </c>
      <c r="S13" s="688">
        <v>14000</v>
      </c>
      <c r="U13" s="679">
        <f t="shared" si="3"/>
        <v>14000</v>
      </c>
      <c r="V13" s="679">
        <f t="shared" si="4"/>
        <v>14000</v>
      </c>
      <c r="W13" s="679">
        <f t="shared" si="5"/>
        <v>0</v>
      </c>
      <c r="X13" s="679">
        <f t="shared" si="6"/>
        <v>0</v>
      </c>
      <c r="Y13" s="679">
        <f t="shared" si="7"/>
        <v>42000</v>
      </c>
      <c r="Z13" s="679">
        <f t="shared" si="8"/>
        <v>0</v>
      </c>
      <c r="AA13" s="679">
        <f t="shared" si="9"/>
        <v>28000</v>
      </c>
      <c r="AB13" s="679">
        <f t="shared" si="10"/>
        <v>0</v>
      </c>
      <c r="AC13" s="679">
        <f t="shared" si="11"/>
        <v>0</v>
      </c>
      <c r="AD13" s="679">
        <f t="shared" si="12"/>
        <v>0</v>
      </c>
      <c r="AE13" s="610"/>
    </row>
    <row r="14" spans="1:31" ht="24.95" customHeight="1" x14ac:dyDescent="0.2">
      <c r="A14" s="667">
        <v>7</v>
      </c>
      <c r="B14" s="680"/>
      <c r="C14" s="680" t="s">
        <v>437</v>
      </c>
      <c r="D14" s="682"/>
      <c r="E14" s="683"/>
      <c r="F14" s="670"/>
      <c r="G14" s="683"/>
      <c r="H14" s="682"/>
      <c r="I14" s="683"/>
      <c r="J14" s="682"/>
      <c r="K14" s="683"/>
      <c r="L14" s="682"/>
      <c r="M14" s="684"/>
      <c r="N14" s="673">
        <f t="shared" si="0"/>
        <v>0</v>
      </c>
      <c r="O14" s="674">
        <f t="shared" si="1"/>
        <v>0</v>
      </c>
      <c r="P14" s="686">
        <f>(O14/O112)*100</f>
        <v>0</v>
      </c>
      <c r="Q14" s="676">
        <f>'FOOD COST PRODUCT'!G13</f>
        <v>0.54255249119009641</v>
      </c>
      <c r="R14" s="677">
        <f t="shared" si="2"/>
        <v>0</v>
      </c>
      <c r="S14" s="689">
        <v>15000</v>
      </c>
      <c r="U14" s="679">
        <f t="shared" si="3"/>
        <v>0</v>
      </c>
      <c r="V14" s="679">
        <f t="shared" si="4"/>
        <v>0</v>
      </c>
      <c r="W14" s="679">
        <f t="shared" si="5"/>
        <v>0</v>
      </c>
      <c r="X14" s="679">
        <f t="shared" si="6"/>
        <v>0</v>
      </c>
      <c r="Y14" s="679">
        <f t="shared" si="7"/>
        <v>0</v>
      </c>
      <c r="Z14" s="679">
        <f t="shared" si="8"/>
        <v>0</v>
      </c>
      <c r="AA14" s="679">
        <f t="shared" si="9"/>
        <v>0</v>
      </c>
      <c r="AB14" s="679">
        <f t="shared" si="10"/>
        <v>0</v>
      </c>
      <c r="AC14" s="679">
        <f t="shared" si="11"/>
        <v>0</v>
      </c>
      <c r="AD14" s="679">
        <f t="shared" si="12"/>
        <v>0</v>
      </c>
      <c r="AE14" s="610"/>
    </row>
    <row r="15" spans="1:31" ht="24.95" customHeight="1" x14ac:dyDescent="0.2">
      <c r="A15" s="667">
        <v>8</v>
      </c>
      <c r="B15" s="680" t="s">
        <v>438</v>
      </c>
      <c r="C15" s="681" t="str">
        <f t="shared" si="13"/>
        <v>French Fries</v>
      </c>
      <c r="D15" s="682">
        <v>8</v>
      </c>
      <c r="E15" s="683">
        <v>3</v>
      </c>
      <c r="F15" s="682"/>
      <c r="G15" s="683">
        <v>1</v>
      </c>
      <c r="H15" s="682">
        <v>4</v>
      </c>
      <c r="I15" s="683">
        <v>2</v>
      </c>
      <c r="J15" s="682"/>
      <c r="K15" s="683"/>
      <c r="L15" s="682"/>
      <c r="M15" s="684"/>
      <c r="N15" s="673">
        <f t="shared" si="0"/>
        <v>18</v>
      </c>
      <c r="O15" s="674">
        <f t="shared" si="1"/>
        <v>216000</v>
      </c>
      <c r="P15" s="686">
        <f>(O15/O112)*100</f>
        <v>0.78856579595860032</v>
      </c>
      <c r="Q15" s="676">
        <f>'FOOD COST PRODUCT'!G14</f>
        <v>0.36748103535353532</v>
      </c>
      <c r="R15" s="677">
        <f t="shared" si="2"/>
        <v>0.28978297514325113</v>
      </c>
      <c r="S15" s="689">
        <v>12000</v>
      </c>
      <c r="U15" s="679">
        <f t="shared" si="3"/>
        <v>96000</v>
      </c>
      <c r="V15" s="679">
        <f t="shared" si="4"/>
        <v>36000</v>
      </c>
      <c r="W15" s="679">
        <f t="shared" si="5"/>
        <v>0</v>
      </c>
      <c r="X15" s="679">
        <f t="shared" si="6"/>
        <v>12000</v>
      </c>
      <c r="Y15" s="679">
        <f t="shared" si="7"/>
        <v>48000</v>
      </c>
      <c r="Z15" s="679">
        <f t="shared" si="8"/>
        <v>24000</v>
      </c>
      <c r="AA15" s="679">
        <f t="shared" si="9"/>
        <v>0</v>
      </c>
      <c r="AB15" s="679">
        <f t="shared" si="10"/>
        <v>0</v>
      </c>
      <c r="AC15" s="679">
        <f t="shared" si="11"/>
        <v>0</v>
      </c>
      <c r="AD15" s="679">
        <f t="shared" si="12"/>
        <v>0</v>
      </c>
      <c r="AE15" s="610"/>
    </row>
    <row r="16" spans="1:31" ht="24.95" customHeight="1" x14ac:dyDescent="0.2">
      <c r="A16" s="667">
        <v>9</v>
      </c>
      <c r="B16" s="680" t="s">
        <v>439</v>
      </c>
      <c r="C16" s="681" t="str">
        <f t="shared" si="13"/>
        <v xml:space="preserve">Nasi </v>
      </c>
      <c r="D16" s="682">
        <v>24</v>
      </c>
      <c r="E16" s="683">
        <v>26</v>
      </c>
      <c r="F16" s="682">
        <v>15</v>
      </c>
      <c r="G16" s="683">
        <v>13</v>
      </c>
      <c r="H16" s="682">
        <v>34</v>
      </c>
      <c r="I16" s="683">
        <v>22</v>
      </c>
      <c r="J16" s="682">
        <v>15</v>
      </c>
      <c r="K16" s="683"/>
      <c r="L16" s="682"/>
      <c r="M16" s="684"/>
      <c r="N16" s="673">
        <f t="shared" si="0"/>
        <v>149</v>
      </c>
      <c r="O16" s="674">
        <f t="shared" si="1"/>
        <v>745000</v>
      </c>
      <c r="P16" s="686">
        <f>(O16/O112)*100</f>
        <v>2.7198218425423946</v>
      </c>
      <c r="Q16" s="676">
        <f>'FOOD COST PRODUCT'!G15</f>
        <v>0.29554655870445345</v>
      </c>
      <c r="R16" s="677">
        <f t="shared" si="2"/>
        <v>0.80383398585261057</v>
      </c>
      <c r="S16" s="689">
        <v>5000</v>
      </c>
      <c r="U16" s="679">
        <f t="shared" si="3"/>
        <v>120000</v>
      </c>
      <c r="V16" s="679">
        <f t="shared" si="4"/>
        <v>130000</v>
      </c>
      <c r="W16" s="679">
        <f t="shared" si="5"/>
        <v>75000</v>
      </c>
      <c r="X16" s="679">
        <f t="shared" si="6"/>
        <v>65000</v>
      </c>
      <c r="Y16" s="679">
        <f t="shared" si="7"/>
        <v>170000</v>
      </c>
      <c r="Z16" s="679">
        <f t="shared" si="8"/>
        <v>110000</v>
      </c>
      <c r="AA16" s="679">
        <f t="shared" si="9"/>
        <v>75000</v>
      </c>
      <c r="AB16" s="679">
        <f t="shared" si="10"/>
        <v>0</v>
      </c>
      <c r="AC16" s="679">
        <f t="shared" si="11"/>
        <v>0</v>
      </c>
      <c r="AD16" s="679">
        <f t="shared" si="12"/>
        <v>0</v>
      </c>
      <c r="AE16" s="610"/>
    </row>
    <row r="17" spans="1:31" ht="24.95" customHeight="1" x14ac:dyDescent="0.2">
      <c r="A17" s="667">
        <v>10</v>
      </c>
      <c r="B17" s="680" t="s">
        <v>440</v>
      </c>
      <c r="C17" s="681" t="str">
        <f t="shared" si="13"/>
        <v xml:space="preserve">Perkedel </v>
      </c>
      <c r="D17" s="682">
        <v>14</v>
      </c>
      <c r="E17" s="683">
        <v>8</v>
      </c>
      <c r="F17" s="682">
        <v>9</v>
      </c>
      <c r="G17" s="683">
        <v>7</v>
      </c>
      <c r="H17" s="682">
        <v>5</v>
      </c>
      <c r="I17" s="683">
        <v>9</v>
      </c>
      <c r="J17" s="682">
        <v>6</v>
      </c>
      <c r="K17" s="683"/>
      <c r="L17" s="682"/>
      <c r="M17" s="684"/>
      <c r="N17" s="673">
        <f t="shared" si="0"/>
        <v>58</v>
      </c>
      <c r="O17" s="674">
        <f t="shared" si="1"/>
        <v>348000</v>
      </c>
      <c r="P17" s="686">
        <f>(O17/O112)*100</f>
        <v>1.2704671157110781</v>
      </c>
      <c r="Q17" s="676">
        <f>'FOOD COST PRODUCT'!G16</f>
        <v>0.75133429292929288</v>
      </c>
      <c r="R17" s="677">
        <f t="shared" si="2"/>
        <v>0.954545512072701</v>
      </c>
      <c r="S17" s="689">
        <v>6000</v>
      </c>
      <c r="U17" s="679">
        <f t="shared" si="3"/>
        <v>84000</v>
      </c>
      <c r="V17" s="679">
        <f t="shared" si="4"/>
        <v>48000</v>
      </c>
      <c r="W17" s="679">
        <f t="shared" si="5"/>
        <v>54000</v>
      </c>
      <c r="X17" s="679">
        <f t="shared" si="6"/>
        <v>42000</v>
      </c>
      <c r="Y17" s="679">
        <f t="shared" si="7"/>
        <v>30000</v>
      </c>
      <c r="Z17" s="679">
        <f t="shared" si="8"/>
        <v>54000</v>
      </c>
      <c r="AA17" s="679">
        <f t="shared" si="9"/>
        <v>36000</v>
      </c>
      <c r="AB17" s="679">
        <f t="shared" si="10"/>
        <v>0</v>
      </c>
      <c r="AC17" s="679">
        <f t="shared" si="11"/>
        <v>0</v>
      </c>
      <c r="AD17" s="679">
        <f t="shared" si="12"/>
        <v>0</v>
      </c>
      <c r="AE17" s="610"/>
    </row>
    <row r="18" spans="1:31" ht="24.95" customHeight="1" x14ac:dyDescent="0.2">
      <c r="A18" s="667">
        <v>11</v>
      </c>
      <c r="B18" s="680" t="s">
        <v>441</v>
      </c>
      <c r="C18" s="681" t="str">
        <f t="shared" si="13"/>
        <v>Chicken Burger</v>
      </c>
      <c r="D18" s="682">
        <v>3</v>
      </c>
      <c r="E18" s="683">
        <v>2</v>
      </c>
      <c r="F18" s="682">
        <v>1</v>
      </c>
      <c r="G18" s="683">
        <v>1</v>
      </c>
      <c r="H18" s="682">
        <v>1</v>
      </c>
      <c r="I18" s="683">
        <v>1</v>
      </c>
      <c r="J18" s="682">
        <v>2</v>
      </c>
      <c r="K18" s="683"/>
      <c r="L18" s="682"/>
      <c r="M18" s="684"/>
      <c r="N18" s="673">
        <f t="shared" si="0"/>
        <v>11</v>
      </c>
      <c r="O18" s="674">
        <f t="shared" si="1"/>
        <v>176000</v>
      </c>
      <c r="P18" s="686">
        <f>(O18/O112)*100</f>
        <v>0.64253509300330391</v>
      </c>
      <c r="Q18" s="676">
        <f>'FOOD COST PRODUCT'!G17</f>
        <v>0.43699995062229435</v>
      </c>
      <c r="R18" s="677">
        <f t="shared" si="2"/>
        <v>0.28078780391553509</v>
      </c>
      <c r="S18" s="689">
        <v>16000</v>
      </c>
      <c r="U18" s="679">
        <f t="shared" si="3"/>
        <v>48000</v>
      </c>
      <c r="V18" s="679">
        <f t="shared" si="4"/>
        <v>32000</v>
      </c>
      <c r="W18" s="679">
        <f t="shared" si="5"/>
        <v>16000</v>
      </c>
      <c r="X18" s="679">
        <f t="shared" si="6"/>
        <v>16000</v>
      </c>
      <c r="Y18" s="679">
        <f t="shared" si="7"/>
        <v>16000</v>
      </c>
      <c r="Z18" s="679">
        <f t="shared" si="8"/>
        <v>16000</v>
      </c>
      <c r="AA18" s="679">
        <f t="shared" si="9"/>
        <v>32000</v>
      </c>
      <c r="AB18" s="679">
        <f t="shared" si="10"/>
        <v>0</v>
      </c>
      <c r="AC18" s="679">
        <f t="shared" si="11"/>
        <v>0</v>
      </c>
      <c r="AD18" s="679">
        <f t="shared" si="12"/>
        <v>0</v>
      </c>
      <c r="AE18" s="610"/>
    </row>
    <row r="19" spans="1:31" ht="24.95" customHeight="1" x14ac:dyDescent="0.2">
      <c r="A19" s="667">
        <v>12</v>
      </c>
      <c r="B19" s="680" t="s">
        <v>442</v>
      </c>
      <c r="C19" s="681" t="str">
        <f t="shared" si="13"/>
        <v xml:space="preserve">Cheese Burger </v>
      </c>
      <c r="D19" s="682">
        <v>4</v>
      </c>
      <c r="E19" s="683">
        <v>2</v>
      </c>
      <c r="F19" s="682">
        <v>1</v>
      </c>
      <c r="G19" s="683">
        <v>2</v>
      </c>
      <c r="H19" s="682">
        <v>3</v>
      </c>
      <c r="I19" s="683"/>
      <c r="J19" s="682">
        <v>1</v>
      </c>
      <c r="K19" s="683"/>
      <c r="L19" s="682"/>
      <c r="M19" s="684"/>
      <c r="N19" s="673">
        <f t="shared" si="0"/>
        <v>13</v>
      </c>
      <c r="O19" s="674">
        <f t="shared" si="1"/>
        <v>234000</v>
      </c>
      <c r="P19" s="686">
        <f>(O19/O112)*100</f>
        <v>0.85427961228848359</v>
      </c>
      <c r="Q19" s="676">
        <f>'FOOD COST PRODUCT'!G18</f>
        <v>0.45322217833092832</v>
      </c>
      <c r="R19" s="677">
        <f t="shared" si="2"/>
        <v>0.38717846678508744</v>
      </c>
      <c r="S19" s="689">
        <v>18000</v>
      </c>
      <c r="U19" s="679">
        <f t="shared" si="3"/>
        <v>72000</v>
      </c>
      <c r="V19" s="679">
        <f t="shared" si="4"/>
        <v>36000</v>
      </c>
      <c r="W19" s="679">
        <f t="shared" si="5"/>
        <v>18000</v>
      </c>
      <c r="X19" s="679">
        <f t="shared" si="6"/>
        <v>36000</v>
      </c>
      <c r="Y19" s="679">
        <f t="shared" si="7"/>
        <v>54000</v>
      </c>
      <c r="Z19" s="679">
        <f t="shared" si="8"/>
        <v>0</v>
      </c>
      <c r="AA19" s="679">
        <f t="shared" si="9"/>
        <v>18000</v>
      </c>
      <c r="AB19" s="679">
        <f t="shared" si="10"/>
        <v>0</v>
      </c>
      <c r="AC19" s="679">
        <f t="shared" si="11"/>
        <v>0</v>
      </c>
      <c r="AD19" s="679">
        <f t="shared" si="12"/>
        <v>0</v>
      </c>
      <c r="AE19" s="610"/>
    </row>
    <row r="20" spans="1:31" ht="24.95" customHeight="1" x14ac:dyDescent="0.2">
      <c r="A20" s="667">
        <v>13</v>
      </c>
      <c r="B20" s="680" t="s">
        <v>443</v>
      </c>
      <c r="C20" s="681" t="str">
        <f t="shared" si="13"/>
        <v xml:space="preserve">Nasi Goreng </v>
      </c>
      <c r="D20" s="682">
        <v>1</v>
      </c>
      <c r="E20" s="683"/>
      <c r="F20" s="682">
        <v>3</v>
      </c>
      <c r="G20" s="683">
        <v>3</v>
      </c>
      <c r="H20" s="682"/>
      <c r="I20" s="683"/>
      <c r="J20" s="682"/>
      <c r="K20" s="683"/>
      <c r="L20" s="682"/>
      <c r="M20" s="684"/>
      <c r="N20" s="673">
        <f t="shared" si="0"/>
        <v>7</v>
      </c>
      <c r="O20" s="674">
        <f t="shared" si="1"/>
        <v>119000</v>
      </c>
      <c r="P20" s="686">
        <f>(O20/O112)*100</f>
        <v>0.43444134129200662</v>
      </c>
      <c r="Q20" s="676">
        <f>'FOOD COST PRODUCT'!G19</f>
        <v>0.58392147441598652</v>
      </c>
      <c r="R20" s="677">
        <f t="shared" si="2"/>
        <v>0.25367962855448734</v>
      </c>
      <c r="S20" s="689">
        <v>17000</v>
      </c>
      <c r="U20" s="679">
        <f t="shared" si="3"/>
        <v>17000</v>
      </c>
      <c r="V20" s="679">
        <f t="shared" si="4"/>
        <v>0</v>
      </c>
      <c r="W20" s="679">
        <f t="shared" si="5"/>
        <v>51000</v>
      </c>
      <c r="X20" s="679">
        <f t="shared" si="6"/>
        <v>51000</v>
      </c>
      <c r="Y20" s="679">
        <f t="shared" si="7"/>
        <v>0</v>
      </c>
      <c r="Z20" s="679">
        <f t="shared" si="8"/>
        <v>0</v>
      </c>
      <c r="AA20" s="679">
        <f t="shared" si="9"/>
        <v>0</v>
      </c>
      <c r="AB20" s="679">
        <f t="shared" si="10"/>
        <v>0</v>
      </c>
      <c r="AC20" s="679">
        <f t="shared" si="11"/>
        <v>0</v>
      </c>
      <c r="AD20" s="679">
        <f t="shared" si="12"/>
        <v>0</v>
      </c>
      <c r="AE20" s="610"/>
    </row>
    <row r="21" spans="1:31" ht="24.95" customHeight="1" x14ac:dyDescent="0.2">
      <c r="A21" s="667">
        <v>14</v>
      </c>
      <c r="B21" s="680" t="s">
        <v>444</v>
      </c>
      <c r="C21" s="681" t="s">
        <v>445</v>
      </c>
      <c r="D21" s="682"/>
      <c r="E21" s="683">
        <v>1</v>
      </c>
      <c r="F21" s="682">
        <v>1</v>
      </c>
      <c r="G21" s="683">
        <v>4</v>
      </c>
      <c r="H21" s="682">
        <v>2</v>
      </c>
      <c r="I21" s="683"/>
      <c r="J21" s="682">
        <v>1</v>
      </c>
      <c r="K21" s="683"/>
      <c r="L21" s="682"/>
      <c r="M21" s="684"/>
      <c r="N21" s="673">
        <f t="shared" si="0"/>
        <v>9</v>
      </c>
      <c r="O21" s="674">
        <f t="shared" si="1"/>
        <v>180000</v>
      </c>
      <c r="P21" s="686">
        <f>(O21/O112)*100</f>
        <v>0.65713816329883357</v>
      </c>
      <c r="Q21" s="676">
        <f>'FOOD COST PRODUCT'!G20</f>
        <v>0.51535189825358863</v>
      </c>
      <c r="R21" s="677">
        <f t="shared" si="2"/>
        <v>0.33865739987093058</v>
      </c>
      <c r="S21" s="689">
        <v>20000</v>
      </c>
      <c r="U21" s="679">
        <f t="shared" si="3"/>
        <v>0</v>
      </c>
      <c r="V21" s="679">
        <f t="shared" si="4"/>
        <v>20000</v>
      </c>
      <c r="W21" s="679">
        <f t="shared" si="5"/>
        <v>20000</v>
      </c>
      <c r="X21" s="679">
        <f t="shared" si="6"/>
        <v>80000</v>
      </c>
      <c r="Y21" s="679">
        <f t="shared" si="7"/>
        <v>40000</v>
      </c>
      <c r="Z21" s="679">
        <f t="shared" si="8"/>
        <v>0</v>
      </c>
      <c r="AA21" s="679">
        <f t="shared" si="9"/>
        <v>20000</v>
      </c>
      <c r="AB21" s="679">
        <f t="shared" si="10"/>
        <v>0</v>
      </c>
      <c r="AC21" s="679">
        <f t="shared" si="11"/>
        <v>0</v>
      </c>
      <c r="AD21" s="679">
        <f t="shared" si="12"/>
        <v>0</v>
      </c>
      <c r="AE21" s="610"/>
    </row>
    <row r="22" spans="1:31" ht="24.95" customHeight="1" x14ac:dyDescent="0.2">
      <c r="A22" s="667">
        <v>15</v>
      </c>
      <c r="B22" s="680" t="s">
        <v>446</v>
      </c>
      <c r="C22" s="681" t="s">
        <v>447</v>
      </c>
      <c r="D22" s="682">
        <v>1</v>
      </c>
      <c r="E22" s="683"/>
      <c r="F22" s="682"/>
      <c r="G22" s="683"/>
      <c r="H22" s="682">
        <v>1</v>
      </c>
      <c r="I22" s="683"/>
      <c r="J22" s="682"/>
      <c r="K22" s="683"/>
      <c r="L22" s="682"/>
      <c r="M22" s="684"/>
      <c r="N22" s="673">
        <f t="shared" si="0"/>
        <v>2</v>
      </c>
      <c r="O22" s="674">
        <f t="shared" si="1"/>
        <v>34000</v>
      </c>
      <c r="P22" s="686">
        <f>(O22/O112)*100</f>
        <v>0.12412609751200189</v>
      </c>
      <c r="Q22" s="676">
        <f>'FOOD COST PRODUCT'!G21</f>
        <v>0.55171678823529413</v>
      </c>
      <c r="R22" s="677">
        <f t="shared" si="2"/>
        <v>6.8482451855502613E-2</v>
      </c>
      <c r="S22" s="689">
        <v>17000</v>
      </c>
      <c r="U22" s="679">
        <f t="shared" si="3"/>
        <v>17000</v>
      </c>
      <c r="V22" s="679">
        <f t="shared" si="4"/>
        <v>0</v>
      </c>
      <c r="W22" s="679">
        <f t="shared" si="5"/>
        <v>0</v>
      </c>
      <c r="X22" s="679">
        <f t="shared" si="6"/>
        <v>0</v>
      </c>
      <c r="Y22" s="679">
        <f t="shared" si="7"/>
        <v>17000</v>
      </c>
      <c r="Z22" s="679">
        <f t="shared" si="8"/>
        <v>0</v>
      </c>
      <c r="AA22" s="679">
        <f t="shared" si="9"/>
        <v>0</v>
      </c>
      <c r="AB22" s="679">
        <f t="shared" si="10"/>
        <v>0</v>
      </c>
      <c r="AC22" s="679">
        <f t="shared" si="11"/>
        <v>0</v>
      </c>
      <c r="AD22" s="679">
        <f t="shared" si="12"/>
        <v>0</v>
      </c>
      <c r="AE22" s="610"/>
    </row>
    <row r="23" spans="1:31" ht="24.95" customHeight="1" x14ac:dyDescent="0.2">
      <c r="A23" s="667">
        <v>16</v>
      </c>
      <c r="B23" s="680"/>
      <c r="C23" s="680" t="s">
        <v>448</v>
      </c>
      <c r="D23" s="682">
        <v>1</v>
      </c>
      <c r="E23" s="683"/>
      <c r="F23" s="682"/>
      <c r="G23" s="683"/>
      <c r="H23" s="682"/>
      <c r="I23" s="683">
        <v>1</v>
      </c>
      <c r="J23" s="682"/>
      <c r="K23" s="683"/>
      <c r="L23" s="682"/>
      <c r="M23" s="684"/>
      <c r="N23" s="673">
        <f t="shared" si="0"/>
        <v>2</v>
      </c>
      <c r="O23" s="674">
        <f t="shared" si="1"/>
        <v>52000</v>
      </c>
      <c r="P23" s="686">
        <f>(O23/O112)*100</f>
        <v>0.18983991384188525</v>
      </c>
      <c r="Q23" s="676">
        <f>'FOOD COST PRODUCT'!G22</f>
        <v>0.56400287445011121</v>
      </c>
      <c r="R23" s="677">
        <f t="shared" si="2"/>
        <v>0.10707025709218473</v>
      </c>
      <c r="S23" s="689">
        <v>26000</v>
      </c>
      <c r="U23" s="679">
        <f t="shared" si="3"/>
        <v>26000</v>
      </c>
      <c r="V23" s="679">
        <f t="shared" si="4"/>
        <v>0</v>
      </c>
      <c r="W23" s="679">
        <f t="shared" si="5"/>
        <v>0</v>
      </c>
      <c r="X23" s="679">
        <f t="shared" si="6"/>
        <v>0</v>
      </c>
      <c r="Y23" s="679">
        <f t="shared" si="7"/>
        <v>0</v>
      </c>
      <c r="Z23" s="679">
        <f t="shared" si="8"/>
        <v>26000</v>
      </c>
      <c r="AA23" s="679">
        <f t="shared" si="9"/>
        <v>0</v>
      </c>
      <c r="AB23" s="679">
        <f t="shared" si="10"/>
        <v>0</v>
      </c>
      <c r="AC23" s="679">
        <f t="shared" si="11"/>
        <v>0</v>
      </c>
      <c r="AD23" s="679">
        <f t="shared" si="12"/>
        <v>0</v>
      </c>
      <c r="AE23" s="610"/>
    </row>
    <row r="24" spans="1:31" ht="24.95" customHeight="1" x14ac:dyDescent="0.2">
      <c r="A24" s="667">
        <v>17</v>
      </c>
      <c r="B24" s="680"/>
      <c r="C24" s="680" t="s">
        <v>983</v>
      </c>
      <c r="D24" s="682"/>
      <c r="E24" s="683"/>
      <c r="F24" s="682"/>
      <c r="G24" s="683"/>
      <c r="H24" s="682">
        <v>1</v>
      </c>
      <c r="I24" s="683"/>
      <c r="J24" s="682">
        <v>1</v>
      </c>
      <c r="K24" s="683"/>
      <c r="L24" s="682"/>
      <c r="M24" s="684"/>
      <c r="N24" s="673">
        <f>SUM(D24:M24)</f>
        <v>2</v>
      </c>
      <c r="O24" s="674">
        <f t="shared" si="1"/>
        <v>30000</v>
      </c>
      <c r="P24" s="686">
        <f>(O24/O112)*100</f>
        <v>0.10952302721647227</v>
      </c>
      <c r="Q24" s="676">
        <f>'FOOD COST PRODUCT'!G23</f>
        <v>0</v>
      </c>
      <c r="R24" s="677">
        <f t="shared" si="2"/>
        <v>0</v>
      </c>
      <c r="S24" s="689">
        <v>15000</v>
      </c>
      <c r="U24" s="679">
        <f t="shared" si="3"/>
        <v>0</v>
      </c>
      <c r="V24" s="679">
        <f t="shared" si="4"/>
        <v>0</v>
      </c>
      <c r="W24" s="679">
        <f t="shared" si="5"/>
        <v>0</v>
      </c>
      <c r="X24" s="679">
        <f t="shared" si="6"/>
        <v>0</v>
      </c>
      <c r="Y24" s="679">
        <f t="shared" si="7"/>
        <v>15000</v>
      </c>
      <c r="Z24" s="679">
        <f t="shared" si="8"/>
        <v>0</v>
      </c>
      <c r="AA24" s="679">
        <f t="shared" si="9"/>
        <v>15000</v>
      </c>
      <c r="AB24" s="679">
        <f t="shared" si="10"/>
        <v>0</v>
      </c>
      <c r="AC24" s="679">
        <f t="shared" si="11"/>
        <v>0</v>
      </c>
      <c r="AD24" s="679">
        <f t="shared" si="12"/>
        <v>0</v>
      </c>
      <c r="AE24" s="610"/>
    </row>
    <row r="25" spans="1:31" ht="24.95" customHeight="1" x14ac:dyDescent="0.2">
      <c r="A25" s="667">
        <v>18</v>
      </c>
      <c r="B25" s="680"/>
      <c r="C25" s="680"/>
      <c r="D25" s="682"/>
      <c r="E25" s="683"/>
      <c r="F25" s="682"/>
      <c r="G25" s="683"/>
      <c r="H25" s="682"/>
      <c r="I25" s="683"/>
      <c r="J25" s="682"/>
      <c r="K25" s="683"/>
      <c r="L25" s="682"/>
      <c r="M25" s="684"/>
      <c r="N25" s="673">
        <f t="shared" ref="N25:N26" si="14">SUM(D25:M25)</f>
        <v>0</v>
      </c>
      <c r="O25" s="674">
        <f t="shared" si="1"/>
        <v>0</v>
      </c>
      <c r="P25" s="686">
        <f>(O25/O112)*100</f>
        <v>0</v>
      </c>
      <c r="Q25" s="676"/>
      <c r="R25" s="677">
        <f t="shared" si="2"/>
        <v>0</v>
      </c>
      <c r="S25" s="689"/>
      <c r="U25" s="679">
        <f t="shared" si="3"/>
        <v>0</v>
      </c>
      <c r="V25" s="679">
        <f t="shared" si="4"/>
        <v>0</v>
      </c>
      <c r="W25" s="679">
        <f t="shared" si="5"/>
        <v>0</v>
      </c>
      <c r="X25" s="679">
        <f t="shared" si="6"/>
        <v>0</v>
      </c>
      <c r="Y25" s="679">
        <f t="shared" si="7"/>
        <v>0</v>
      </c>
      <c r="Z25" s="679">
        <f t="shared" si="8"/>
        <v>0</v>
      </c>
      <c r="AA25" s="679">
        <f t="shared" si="9"/>
        <v>0</v>
      </c>
      <c r="AB25" s="679">
        <f t="shared" si="10"/>
        <v>0</v>
      </c>
      <c r="AC25" s="679">
        <f t="shared" si="11"/>
        <v>0</v>
      </c>
      <c r="AD25" s="679">
        <f t="shared" si="12"/>
        <v>0</v>
      </c>
      <c r="AE25" s="610"/>
    </row>
    <row r="26" spans="1:31" ht="24.95" customHeight="1" x14ac:dyDescent="0.2">
      <c r="A26" s="667">
        <v>19</v>
      </c>
      <c r="B26" s="680" t="s">
        <v>449</v>
      </c>
      <c r="C26" s="681" t="s">
        <v>450</v>
      </c>
      <c r="D26" s="682">
        <v>40</v>
      </c>
      <c r="E26" s="683">
        <v>30</v>
      </c>
      <c r="F26" s="682">
        <v>25</v>
      </c>
      <c r="G26" s="683">
        <v>31</v>
      </c>
      <c r="H26" s="682">
        <v>45</v>
      </c>
      <c r="I26" s="683">
        <v>49</v>
      </c>
      <c r="J26" s="682">
        <v>28</v>
      </c>
      <c r="K26" s="683"/>
      <c r="L26" s="682"/>
      <c r="M26" s="684"/>
      <c r="N26" s="673">
        <f t="shared" si="14"/>
        <v>248</v>
      </c>
      <c r="O26" s="674">
        <f t="shared" si="1"/>
        <v>3224000</v>
      </c>
      <c r="P26" s="686">
        <f>(O26/O112)*100</f>
        <v>11.770074658196886</v>
      </c>
      <c r="Q26" s="676">
        <f>'FOOD COST PRODUCT'!G25</f>
        <v>0.84390064371446605</v>
      </c>
      <c r="R26" s="677">
        <f t="shared" si="2"/>
        <v>9.932773580619676</v>
      </c>
      <c r="S26" s="688">
        <v>13000</v>
      </c>
      <c r="U26" s="679">
        <f t="shared" si="3"/>
        <v>520000</v>
      </c>
      <c r="V26" s="679">
        <f t="shared" si="4"/>
        <v>390000</v>
      </c>
      <c r="W26" s="679">
        <f t="shared" si="5"/>
        <v>325000</v>
      </c>
      <c r="X26" s="679">
        <f t="shared" si="6"/>
        <v>403000</v>
      </c>
      <c r="Y26" s="679">
        <f t="shared" si="7"/>
        <v>585000</v>
      </c>
      <c r="Z26" s="679">
        <f t="shared" si="8"/>
        <v>637000</v>
      </c>
      <c r="AA26" s="679">
        <f t="shared" si="9"/>
        <v>364000</v>
      </c>
      <c r="AB26" s="679">
        <f t="shared" si="10"/>
        <v>0</v>
      </c>
      <c r="AC26" s="679">
        <f t="shared" si="11"/>
        <v>0</v>
      </c>
      <c r="AD26" s="679">
        <f t="shared" si="12"/>
        <v>0</v>
      </c>
      <c r="AE26" s="610"/>
    </row>
    <row r="27" spans="1:31" ht="24.95" customHeight="1" x14ac:dyDescent="0.2">
      <c r="A27" s="667">
        <v>20</v>
      </c>
      <c r="B27" s="680" t="s">
        <v>451</v>
      </c>
      <c r="C27" s="681" t="s">
        <v>452</v>
      </c>
      <c r="D27" s="682">
        <v>45</v>
      </c>
      <c r="E27" s="683">
        <v>24</v>
      </c>
      <c r="F27" s="682">
        <v>9</v>
      </c>
      <c r="G27" s="683">
        <v>23</v>
      </c>
      <c r="H27" s="682">
        <v>15</v>
      </c>
      <c r="I27" s="683">
        <v>41</v>
      </c>
      <c r="J27" s="682">
        <v>21</v>
      </c>
      <c r="K27" s="683"/>
      <c r="L27" s="682"/>
      <c r="M27" s="684"/>
      <c r="N27" s="673">
        <f t="shared" si="0"/>
        <v>178</v>
      </c>
      <c r="O27" s="674">
        <f t="shared" si="1"/>
        <v>2670000</v>
      </c>
      <c r="P27" s="686">
        <f>(O27/O112)*100</f>
        <v>9.7475494222660313</v>
      </c>
      <c r="Q27" s="676">
        <f>'FOOD COST PRODUCT'!G26</f>
        <v>2.3996175122202366</v>
      </c>
      <c r="R27" s="677">
        <f t="shared" si="2"/>
        <v>23.390390294901817</v>
      </c>
      <c r="S27" s="688">
        <v>15000</v>
      </c>
      <c r="U27" s="679">
        <f t="shared" si="3"/>
        <v>675000</v>
      </c>
      <c r="V27" s="679">
        <f t="shared" si="4"/>
        <v>360000</v>
      </c>
      <c r="W27" s="679">
        <f t="shared" si="5"/>
        <v>135000</v>
      </c>
      <c r="X27" s="679">
        <f t="shared" si="6"/>
        <v>345000</v>
      </c>
      <c r="Y27" s="679">
        <f t="shared" si="7"/>
        <v>225000</v>
      </c>
      <c r="Z27" s="679">
        <f t="shared" si="8"/>
        <v>615000</v>
      </c>
      <c r="AA27" s="679">
        <f t="shared" si="9"/>
        <v>315000</v>
      </c>
      <c r="AB27" s="679">
        <f t="shared" si="10"/>
        <v>0</v>
      </c>
      <c r="AC27" s="679">
        <f t="shared" si="11"/>
        <v>0</v>
      </c>
      <c r="AD27" s="679">
        <f t="shared" si="12"/>
        <v>0</v>
      </c>
      <c r="AE27" s="610"/>
    </row>
    <row r="28" spans="1:31" ht="24.95" customHeight="1" x14ac:dyDescent="0.2">
      <c r="A28" s="667">
        <v>21</v>
      </c>
      <c r="B28" s="680" t="s">
        <v>453</v>
      </c>
      <c r="C28" s="681" t="s">
        <v>454</v>
      </c>
      <c r="D28" s="682">
        <v>4</v>
      </c>
      <c r="E28" s="683">
        <v>2</v>
      </c>
      <c r="F28" s="682">
        <v>6</v>
      </c>
      <c r="G28" s="683">
        <v>4</v>
      </c>
      <c r="H28" s="682">
        <v>3</v>
      </c>
      <c r="I28" s="683">
        <v>3</v>
      </c>
      <c r="J28" s="682">
        <v>2</v>
      </c>
      <c r="K28" s="683"/>
      <c r="L28" s="682"/>
      <c r="M28" s="684"/>
      <c r="N28" s="673">
        <f t="shared" si="0"/>
        <v>24</v>
      </c>
      <c r="O28" s="674">
        <f t="shared" si="1"/>
        <v>624000</v>
      </c>
      <c r="P28" s="686">
        <f>(O28/O112)*100</f>
        <v>2.2780789661026231</v>
      </c>
      <c r="Q28" s="676">
        <f>'FOOD COST PRODUCT'!G27</f>
        <v>0.49919721099750447</v>
      </c>
      <c r="R28" s="677">
        <f t="shared" si="2"/>
        <v>1.1372106663105079</v>
      </c>
      <c r="S28" s="688">
        <v>26000</v>
      </c>
      <c r="U28" s="679">
        <f t="shared" si="3"/>
        <v>104000</v>
      </c>
      <c r="V28" s="679">
        <f t="shared" si="4"/>
        <v>52000</v>
      </c>
      <c r="W28" s="679">
        <f t="shared" si="5"/>
        <v>156000</v>
      </c>
      <c r="X28" s="679">
        <f t="shared" si="6"/>
        <v>104000</v>
      </c>
      <c r="Y28" s="679">
        <f t="shared" si="7"/>
        <v>78000</v>
      </c>
      <c r="Z28" s="679">
        <f t="shared" si="8"/>
        <v>78000</v>
      </c>
      <c r="AA28" s="679">
        <f t="shared" si="9"/>
        <v>52000</v>
      </c>
      <c r="AB28" s="679">
        <f t="shared" si="10"/>
        <v>0</v>
      </c>
      <c r="AC28" s="679">
        <f t="shared" si="11"/>
        <v>0</v>
      </c>
      <c r="AD28" s="679">
        <f t="shared" si="12"/>
        <v>0</v>
      </c>
      <c r="AE28" s="610"/>
    </row>
    <row r="29" spans="1:31" ht="24.95" customHeight="1" x14ac:dyDescent="0.2">
      <c r="A29" s="667">
        <v>22</v>
      </c>
      <c r="B29" s="680" t="s">
        <v>455</v>
      </c>
      <c r="C29" s="681" t="s">
        <v>456</v>
      </c>
      <c r="D29" s="682">
        <v>5</v>
      </c>
      <c r="E29" s="683">
        <v>4</v>
      </c>
      <c r="F29" s="682">
        <v>5</v>
      </c>
      <c r="G29" s="683">
        <v>5</v>
      </c>
      <c r="H29" s="682">
        <v>1</v>
      </c>
      <c r="I29" s="683">
        <v>4</v>
      </c>
      <c r="J29" s="682">
        <v>6</v>
      </c>
      <c r="K29" s="683"/>
      <c r="L29" s="682"/>
      <c r="M29" s="684"/>
      <c r="N29" s="673">
        <f t="shared" si="0"/>
        <v>30</v>
      </c>
      <c r="O29" s="674">
        <f t="shared" si="1"/>
        <v>780000</v>
      </c>
      <c r="P29" s="686">
        <f>(O29/O112)*100</f>
        <v>2.8475987076282787</v>
      </c>
      <c r="Q29" s="676">
        <f>'FOOD COST PRODUCT'!G28</f>
        <v>0.5069496148436583</v>
      </c>
      <c r="R29" s="677">
        <f t="shared" si="2"/>
        <v>1.4435890680614551</v>
      </c>
      <c r="S29" s="688">
        <v>26000</v>
      </c>
      <c r="U29" s="679">
        <f t="shared" si="3"/>
        <v>130000</v>
      </c>
      <c r="V29" s="679">
        <f t="shared" si="4"/>
        <v>104000</v>
      </c>
      <c r="W29" s="679">
        <f t="shared" si="5"/>
        <v>130000</v>
      </c>
      <c r="X29" s="679">
        <f t="shared" si="6"/>
        <v>130000</v>
      </c>
      <c r="Y29" s="679">
        <f t="shared" si="7"/>
        <v>26000</v>
      </c>
      <c r="Z29" s="679">
        <f t="shared" si="8"/>
        <v>104000</v>
      </c>
      <c r="AA29" s="679">
        <f t="shared" si="9"/>
        <v>156000</v>
      </c>
      <c r="AB29" s="679">
        <f t="shared" si="10"/>
        <v>0</v>
      </c>
      <c r="AC29" s="679">
        <f t="shared" si="11"/>
        <v>0</v>
      </c>
      <c r="AD29" s="679">
        <f t="shared" si="12"/>
        <v>0</v>
      </c>
      <c r="AE29" s="610"/>
    </row>
    <row r="30" spans="1:31" ht="24.95" customHeight="1" x14ac:dyDescent="0.2">
      <c r="A30" s="667">
        <v>23</v>
      </c>
      <c r="B30" s="680" t="s">
        <v>457</v>
      </c>
      <c r="C30" s="681" t="s">
        <v>458</v>
      </c>
      <c r="D30" s="682"/>
      <c r="E30" s="683"/>
      <c r="F30" s="682">
        <v>1</v>
      </c>
      <c r="G30" s="683"/>
      <c r="H30" s="682"/>
      <c r="I30" s="683"/>
      <c r="J30" s="682"/>
      <c r="K30" s="683"/>
      <c r="L30" s="682"/>
      <c r="M30" s="684"/>
      <c r="N30" s="673">
        <f t="shared" si="0"/>
        <v>1</v>
      </c>
      <c r="O30" s="674">
        <f t="shared" si="1"/>
        <v>25000</v>
      </c>
      <c r="P30" s="686">
        <f>(O30/O112)*100</f>
        <v>9.1269189347060214E-2</v>
      </c>
      <c r="Q30" s="676">
        <f>'FOOD COST PRODUCT'!G29</f>
        <v>0.45015268030446598</v>
      </c>
      <c r="R30" s="677">
        <f t="shared" si="2"/>
        <v>4.1085070213794969E-2</v>
      </c>
      <c r="S30" s="688">
        <v>25000</v>
      </c>
      <c r="U30" s="679">
        <f t="shared" si="3"/>
        <v>0</v>
      </c>
      <c r="V30" s="679">
        <f t="shared" si="4"/>
        <v>0</v>
      </c>
      <c r="W30" s="679">
        <f t="shared" si="5"/>
        <v>25000</v>
      </c>
      <c r="X30" s="679">
        <f t="shared" si="6"/>
        <v>0</v>
      </c>
      <c r="Y30" s="679">
        <f t="shared" si="7"/>
        <v>0</v>
      </c>
      <c r="Z30" s="679">
        <f t="shared" si="8"/>
        <v>0</v>
      </c>
      <c r="AA30" s="679">
        <f t="shared" si="9"/>
        <v>0</v>
      </c>
      <c r="AB30" s="679">
        <f t="shared" si="10"/>
        <v>0</v>
      </c>
      <c r="AC30" s="679">
        <f t="shared" si="11"/>
        <v>0</v>
      </c>
      <c r="AD30" s="679">
        <f t="shared" si="12"/>
        <v>0</v>
      </c>
      <c r="AE30" s="610"/>
    </row>
    <row r="31" spans="1:31" ht="24.95" customHeight="1" x14ac:dyDescent="0.2">
      <c r="A31" s="667">
        <v>24</v>
      </c>
      <c r="B31" s="680" t="s">
        <v>459</v>
      </c>
      <c r="C31" s="681" t="s">
        <v>460</v>
      </c>
      <c r="D31" s="682">
        <v>2</v>
      </c>
      <c r="E31" s="683"/>
      <c r="F31" s="682">
        <v>1</v>
      </c>
      <c r="G31" s="683">
        <v>2</v>
      </c>
      <c r="H31" s="682"/>
      <c r="I31" s="683"/>
      <c r="J31" s="682">
        <v>2</v>
      </c>
      <c r="K31" s="683"/>
      <c r="L31" s="682"/>
      <c r="M31" s="684"/>
      <c r="N31" s="673">
        <f t="shared" si="0"/>
        <v>7</v>
      </c>
      <c r="O31" s="674">
        <f t="shared" si="1"/>
        <v>210000</v>
      </c>
      <c r="P31" s="686">
        <f>(O31/O112)*100</f>
        <v>0.7666611905153059</v>
      </c>
      <c r="Q31" s="676">
        <f>'FOOD COST PRODUCT'!G30</f>
        <v>0.50788184979494189</v>
      </c>
      <c r="R31" s="677">
        <f t="shared" si="2"/>
        <v>0.38937330360490591</v>
      </c>
      <c r="S31" s="688">
        <v>30000</v>
      </c>
      <c r="U31" s="679">
        <f t="shared" si="3"/>
        <v>60000</v>
      </c>
      <c r="V31" s="679">
        <f t="shared" si="4"/>
        <v>0</v>
      </c>
      <c r="W31" s="679">
        <f t="shared" si="5"/>
        <v>30000</v>
      </c>
      <c r="X31" s="679">
        <f t="shared" si="6"/>
        <v>60000</v>
      </c>
      <c r="Y31" s="679">
        <f t="shared" si="7"/>
        <v>0</v>
      </c>
      <c r="Z31" s="679">
        <f t="shared" si="8"/>
        <v>0</v>
      </c>
      <c r="AA31" s="679">
        <f t="shared" si="9"/>
        <v>60000</v>
      </c>
      <c r="AB31" s="679">
        <f t="shared" si="10"/>
        <v>0</v>
      </c>
      <c r="AC31" s="679">
        <f t="shared" si="11"/>
        <v>0</v>
      </c>
      <c r="AD31" s="679">
        <f t="shared" si="12"/>
        <v>0</v>
      </c>
      <c r="AE31" s="610"/>
    </row>
    <row r="32" spans="1:31" ht="24.95" customHeight="1" x14ac:dyDescent="0.2">
      <c r="A32" s="667">
        <v>25</v>
      </c>
      <c r="B32" s="680" t="s">
        <v>461</v>
      </c>
      <c r="C32" s="681" t="s">
        <v>462</v>
      </c>
      <c r="D32" s="682">
        <v>1</v>
      </c>
      <c r="E32" s="683"/>
      <c r="F32" s="682">
        <v>2</v>
      </c>
      <c r="G32" s="683"/>
      <c r="H32" s="682">
        <v>1</v>
      </c>
      <c r="I32" s="683">
        <v>1</v>
      </c>
      <c r="J32" s="682">
        <v>1</v>
      </c>
      <c r="K32" s="683"/>
      <c r="L32" s="682"/>
      <c r="M32" s="684"/>
      <c r="N32" s="673">
        <f t="shared" si="0"/>
        <v>6</v>
      </c>
      <c r="O32" s="674">
        <f t="shared" si="1"/>
        <v>126000</v>
      </c>
      <c r="P32" s="686">
        <f>(O32/O112)*100</f>
        <v>0.45999671430918354</v>
      </c>
      <c r="Q32" s="676">
        <f>'FOOD COST PRODUCT'!G31</f>
        <v>0.67539240244809318</v>
      </c>
      <c r="R32" s="677">
        <f t="shared" si="2"/>
        <v>0.31067828599550862</v>
      </c>
      <c r="S32" s="688">
        <v>21000</v>
      </c>
      <c r="U32" s="679">
        <f t="shared" si="3"/>
        <v>21000</v>
      </c>
      <c r="V32" s="679">
        <f t="shared" si="4"/>
        <v>0</v>
      </c>
      <c r="W32" s="679">
        <f t="shared" si="5"/>
        <v>42000</v>
      </c>
      <c r="X32" s="679">
        <f t="shared" si="6"/>
        <v>0</v>
      </c>
      <c r="Y32" s="679">
        <f t="shared" si="7"/>
        <v>21000</v>
      </c>
      <c r="Z32" s="679">
        <f t="shared" si="8"/>
        <v>21000</v>
      </c>
      <c r="AA32" s="679">
        <f t="shared" si="9"/>
        <v>21000</v>
      </c>
      <c r="AB32" s="679">
        <f t="shared" si="10"/>
        <v>0</v>
      </c>
      <c r="AC32" s="679">
        <f t="shared" si="11"/>
        <v>0</v>
      </c>
      <c r="AD32" s="679">
        <f t="shared" si="12"/>
        <v>0</v>
      </c>
      <c r="AE32" s="610"/>
    </row>
    <row r="33" spans="1:31" ht="24.95" customHeight="1" x14ac:dyDescent="0.2">
      <c r="A33" s="667">
        <v>26</v>
      </c>
      <c r="B33" s="680"/>
      <c r="C33" s="681" t="s">
        <v>867</v>
      </c>
      <c r="D33" s="682"/>
      <c r="E33" s="683"/>
      <c r="F33" s="682"/>
      <c r="G33" s="683">
        <v>1</v>
      </c>
      <c r="H33" s="682">
        <v>4</v>
      </c>
      <c r="I33" s="683">
        <v>1</v>
      </c>
      <c r="J33" s="682"/>
      <c r="K33" s="683"/>
      <c r="L33" s="682"/>
      <c r="M33" s="684"/>
      <c r="N33" s="673">
        <f t="shared" si="0"/>
        <v>6</v>
      </c>
      <c r="O33" s="674">
        <f t="shared" si="1"/>
        <v>150000</v>
      </c>
      <c r="P33" s="686">
        <f>(O33/O112)*100</f>
        <v>0.54761513608236134</v>
      </c>
      <c r="Q33" s="676">
        <f>'FOOD COST PRODUCT'!G32</f>
        <v>1.4755092298032131</v>
      </c>
      <c r="R33" s="677">
        <f t="shared" si="2"/>
        <v>0.80801118766946667</v>
      </c>
      <c r="S33" s="688">
        <v>25000</v>
      </c>
      <c r="U33" s="679">
        <f t="shared" si="3"/>
        <v>0</v>
      </c>
      <c r="V33" s="679">
        <f t="shared" si="4"/>
        <v>0</v>
      </c>
      <c r="W33" s="679">
        <f t="shared" si="5"/>
        <v>0</v>
      </c>
      <c r="X33" s="679">
        <f t="shared" si="6"/>
        <v>25000</v>
      </c>
      <c r="Y33" s="679">
        <f t="shared" si="7"/>
        <v>100000</v>
      </c>
      <c r="Z33" s="679">
        <f t="shared" si="8"/>
        <v>25000</v>
      </c>
      <c r="AA33" s="679">
        <f t="shared" si="9"/>
        <v>0</v>
      </c>
      <c r="AB33" s="679">
        <f t="shared" si="10"/>
        <v>0</v>
      </c>
      <c r="AC33" s="679">
        <f t="shared" si="11"/>
        <v>0</v>
      </c>
      <c r="AD33" s="679">
        <f t="shared" si="12"/>
        <v>0</v>
      </c>
      <c r="AE33" s="610"/>
    </row>
    <row r="34" spans="1:31" ht="24.95" customHeight="1" x14ac:dyDescent="0.2">
      <c r="A34" s="667">
        <v>27</v>
      </c>
      <c r="B34" s="680" t="s">
        <v>463</v>
      </c>
      <c r="C34" s="681" t="s">
        <v>857</v>
      </c>
      <c r="D34" s="682"/>
      <c r="E34" s="683"/>
      <c r="F34" s="682"/>
      <c r="G34" s="683"/>
      <c r="H34" s="682"/>
      <c r="I34" s="683"/>
      <c r="J34" s="682"/>
      <c r="K34" s="683"/>
      <c r="L34" s="682"/>
      <c r="M34" s="684"/>
      <c r="N34" s="673">
        <f t="shared" si="0"/>
        <v>0</v>
      </c>
      <c r="O34" s="674">
        <f t="shared" si="1"/>
        <v>0</v>
      </c>
      <c r="P34" s="686">
        <f>(O34/O112)*100</f>
        <v>0</v>
      </c>
      <c r="Q34" s="676">
        <f>'FOOD COST PRODUCT'!G33</f>
        <v>0.63065711898335586</v>
      </c>
      <c r="R34" s="677">
        <f t="shared" si="2"/>
        <v>0</v>
      </c>
      <c r="S34" s="688"/>
      <c r="U34" s="679">
        <f t="shared" si="3"/>
        <v>0</v>
      </c>
      <c r="V34" s="679">
        <f t="shared" si="4"/>
        <v>0</v>
      </c>
      <c r="W34" s="679">
        <f t="shared" si="5"/>
        <v>0</v>
      </c>
      <c r="X34" s="679">
        <f t="shared" si="6"/>
        <v>0</v>
      </c>
      <c r="Y34" s="679">
        <f t="shared" si="7"/>
        <v>0</v>
      </c>
      <c r="Z34" s="679">
        <f t="shared" si="8"/>
        <v>0</v>
      </c>
      <c r="AA34" s="679">
        <f t="shared" si="9"/>
        <v>0</v>
      </c>
      <c r="AB34" s="679">
        <f t="shared" si="10"/>
        <v>0</v>
      </c>
      <c r="AC34" s="679">
        <f t="shared" si="11"/>
        <v>0</v>
      </c>
      <c r="AD34" s="679">
        <f t="shared" si="12"/>
        <v>0</v>
      </c>
      <c r="AE34" s="610"/>
    </row>
    <row r="35" spans="1:31" ht="24.95" customHeight="1" x14ac:dyDescent="0.2">
      <c r="A35" s="667">
        <v>28</v>
      </c>
      <c r="B35" s="680"/>
      <c r="C35" s="681"/>
      <c r="D35" s="682"/>
      <c r="E35" s="683"/>
      <c r="F35" s="682"/>
      <c r="G35" s="683"/>
      <c r="H35" s="682"/>
      <c r="I35" s="683"/>
      <c r="J35" s="682"/>
      <c r="K35" s="683"/>
      <c r="L35" s="682"/>
      <c r="M35" s="684"/>
      <c r="N35" s="673"/>
      <c r="O35" s="674">
        <f t="shared" si="1"/>
        <v>0</v>
      </c>
      <c r="P35" s="686">
        <f>(O35/O112)*100</f>
        <v>0</v>
      </c>
      <c r="Q35" s="676"/>
      <c r="R35" s="677">
        <f t="shared" si="2"/>
        <v>0</v>
      </c>
      <c r="S35" s="688"/>
      <c r="U35" s="679">
        <f t="shared" si="3"/>
        <v>0</v>
      </c>
      <c r="V35" s="679">
        <f t="shared" si="4"/>
        <v>0</v>
      </c>
      <c r="W35" s="679">
        <f t="shared" si="5"/>
        <v>0</v>
      </c>
      <c r="X35" s="679">
        <f t="shared" si="6"/>
        <v>0</v>
      </c>
      <c r="Y35" s="679">
        <f t="shared" si="7"/>
        <v>0</v>
      </c>
      <c r="Z35" s="679">
        <f t="shared" si="8"/>
        <v>0</v>
      </c>
      <c r="AA35" s="679">
        <f t="shared" si="9"/>
        <v>0</v>
      </c>
      <c r="AB35" s="679">
        <f t="shared" si="10"/>
        <v>0</v>
      </c>
      <c r="AC35" s="679">
        <f t="shared" si="11"/>
        <v>0</v>
      </c>
      <c r="AD35" s="679">
        <f t="shared" si="12"/>
        <v>0</v>
      </c>
      <c r="AE35" s="610"/>
    </row>
    <row r="36" spans="1:31" ht="24.95" customHeight="1" x14ac:dyDescent="0.2">
      <c r="A36" s="667">
        <v>29</v>
      </c>
      <c r="B36" s="680" t="s">
        <v>464</v>
      </c>
      <c r="C36" s="681" t="s">
        <v>465</v>
      </c>
      <c r="D36" s="682">
        <v>4</v>
      </c>
      <c r="E36" s="683"/>
      <c r="F36" s="682">
        <v>1</v>
      </c>
      <c r="G36" s="683">
        <v>1</v>
      </c>
      <c r="H36" s="682">
        <v>2</v>
      </c>
      <c r="I36" s="683"/>
      <c r="J36" s="682">
        <v>1</v>
      </c>
      <c r="K36" s="683"/>
      <c r="L36" s="682"/>
      <c r="M36" s="684"/>
      <c r="N36" s="673">
        <f t="shared" si="0"/>
        <v>9</v>
      </c>
      <c r="O36" s="674">
        <f t="shared" si="1"/>
        <v>216000</v>
      </c>
      <c r="P36" s="686">
        <f>(O36/O112)*100</f>
        <v>0.78856579595860032</v>
      </c>
      <c r="Q36" s="676">
        <f>'FOOD COST PRODUCT'!G35</f>
        <v>0.75815064986381286</v>
      </c>
      <c r="R36" s="677">
        <f t="shared" si="2"/>
        <v>0.59785167066638767</v>
      </c>
      <c r="S36" s="688">
        <v>24000</v>
      </c>
      <c r="U36" s="679">
        <f t="shared" si="3"/>
        <v>96000</v>
      </c>
      <c r="V36" s="679">
        <f t="shared" si="4"/>
        <v>0</v>
      </c>
      <c r="W36" s="679">
        <f t="shared" si="5"/>
        <v>24000</v>
      </c>
      <c r="X36" s="679">
        <f t="shared" si="6"/>
        <v>24000</v>
      </c>
      <c r="Y36" s="679">
        <f t="shared" si="7"/>
        <v>48000</v>
      </c>
      <c r="Z36" s="679">
        <f t="shared" si="8"/>
        <v>0</v>
      </c>
      <c r="AA36" s="679">
        <f t="shared" si="9"/>
        <v>24000</v>
      </c>
      <c r="AB36" s="679">
        <f t="shared" si="10"/>
        <v>0</v>
      </c>
      <c r="AC36" s="679">
        <f t="shared" si="11"/>
        <v>0</v>
      </c>
      <c r="AD36" s="679">
        <f t="shared" si="12"/>
        <v>0</v>
      </c>
      <c r="AE36" s="610"/>
    </row>
    <row r="37" spans="1:31" ht="24.95" customHeight="1" x14ac:dyDescent="0.2">
      <c r="A37" s="667">
        <v>30</v>
      </c>
      <c r="B37" s="680" t="s">
        <v>466</v>
      </c>
      <c r="C37" s="681" t="s">
        <v>467</v>
      </c>
      <c r="D37" s="682">
        <v>2</v>
      </c>
      <c r="E37" s="683"/>
      <c r="F37" s="682"/>
      <c r="G37" s="683">
        <v>1</v>
      </c>
      <c r="H37" s="682">
        <v>2</v>
      </c>
      <c r="I37" s="683">
        <v>1</v>
      </c>
      <c r="J37" s="682"/>
      <c r="K37" s="683"/>
      <c r="L37" s="682"/>
      <c r="M37" s="684"/>
      <c r="N37" s="673">
        <f t="shared" si="0"/>
        <v>6</v>
      </c>
      <c r="O37" s="674">
        <f t="shared" si="1"/>
        <v>150000</v>
      </c>
      <c r="P37" s="686">
        <f>(O37/O112)*100</f>
        <v>0.54761513608236134</v>
      </c>
      <c r="Q37" s="676">
        <f>'FOOD COST PRODUCT'!G36</f>
        <v>0.74366138857514263</v>
      </c>
      <c r="R37" s="677">
        <f t="shared" si="2"/>
        <v>0.40724023250377456</v>
      </c>
      <c r="S37" s="688">
        <v>25000</v>
      </c>
      <c r="U37" s="679">
        <f t="shared" si="3"/>
        <v>50000</v>
      </c>
      <c r="V37" s="679">
        <f t="shared" si="4"/>
        <v>0</v>
      </c>
      <c r="W37" s="679">
        <f t="shared" si="5"/>
        <v>0</v>
      </c>
      <c r="X37" s="679">
        <f t="shared" si="6"/>
        <v>25000</v>
      </c>
      <c r="Y37" s="679">
        <f t="shared" si="7"/>
        <v>50000</v>
      </c>
      <c r="Z37" s="679">
        <f t="shared" si="8"/>
        <v>25000</v>
      </c>
      <c r="AA37" s="679">
        <f t="shared" si="9"/>
        <v>0</v>
      </c>
      <c r="AB37" s="679">
        <f t="shared" si="10"/>
        <v>0</v>
      </c>
      <c r="AC37" s="679">
        <f t="shared" si="11"/>
        <v>0</v>
      </c>
      <c r="AD37" s="679">
        <f t="shared" si="12"/>
        <v>0</v>
      </c>
      <c r="AE37" s="610"/>
    </row>
    <row r="38" spans="1:31" ht="24.95" customHeight="1" x14ac:dyDescent="0.2">
      <c r="A38" s="667">
        <v>31</v>
      </c>
      <c r="B38" s="680"/>
      <c r="C38" s="680" t="s">
        <v>868</v>
      </c>
      <c r="D38" s="682">
        <v>1</v>
      </c>
      <c r="E38" s="683">
        <v>2</v>
      </c>
      <c r="F38" s="682">
        <v>1</v>
      </c>
      <c r="G38" s="683">
        <v>3</v>
      </c>
      <c r="H38" s="682">
        <v>7</v>
      </c>
      <c r="I38" s="683">
        <v>1</v>
      </c>
      <c r="J38" s="682">
        <v>5</v>
      </c>
      <c r="K38" s="683"/>
      <c r="L38" s="682"/>
      <c r="M38" s="684"/>
      <c r="N38" s="673">
        <f t="shared" si="0"/>
        <v>20</v>
      </c>
      <c r="O38" s="674">
        <f t="shared" si="1"/>
        <v>540000</v>
      </c>
      <c r="P38" s="686">
        <f>(O38/O112)*100</f>
        <v>1.9714144898965007</v>
      </c>
      <c r="Q38" s="676">
        <f>'FOOD COST PRODUCT'!G37</f>
        <v>0.74829758201402097</v>
      </c>
      <c r="R38" s="677">
        <f t="shared" si="2"/>
        <v>1.475204695936956</v>
      </c>
      <c r="S38" s="689">
        <v>27000</v>
      </c>
      <c r="U38" s="679">
        <f t="shared" si="3"/>
        <v>27000</v>
      </c>
      <c r="V38" s="679">
        <f t="shared" si="4"/>
        <v>54000</v>
      </c>
      <c r="W38" s="679">
        <f t="shared" si="5"/>
        <v>27000</v>
      </c>
      <c r="X38" s="679">
        <f t="shared" si="6"/>
        <v>81000</v>
      </c>
      <c r="Y38" s="679">
        <f t="shared" si="7"/>
        <v>189000</v>
      </c>
      <c r="Z38" s="679">
        <f t="shared" si="8"/>
        <v>27000</v>
      </c>
      <c r="AA38" s="679">
        <f t="shared" si="9"/>
        <v>135000</v>
      </c>
      <c r="AB38" s="679">
        <f t="shared" si="10"/>
        <v>0</v>
      </c>
      <c r="AC38" s="679">
        <f t="shared" si="11"/>
        <v>0</v>
      </c>
      <c r="AD38" s="679">
        <f t="shared" si="12"/>
        <v>0</v>
      </c>
      <c r="AE38" s="610"/>
    </row>
    <row r="39" spans="1:31" ht="24.95" customHeight="1" x14ac:dyDescent="0.2">
      <c r="A39" s="667">
        <v>32</v>
      </c>
      <c r="B39" s="680"/>
      <c r="C39" s="680" t="s">
        <v>869</v>
      </c>
      <c r="D39" s="682"/>
      <c r="E39" s="683"/>
      <c r="F39" s="682">
        <v>1</v>
      </c>
      <c r="G39" s="683">
        <v>2</v>
      </c>
      <c r="H39" s="682">
        <v>2</v>
      </c>
      <c r="I39" s="683">
        <v>2</v>
      </c>
      <c r="J39" s="682">
        <v>1</v>
      </c>
      <c r="K39" s="683"/>
      <c r="L39" s="682"/>
      <c r="M39" s="684"/>
      <c r="N39" s="673">
        <f t="shared" si="0"/>
        <v>8</v>
      </c>
      <c r="O39" s="674">
        <f t="shared" si="1"/>
        <v>216000</v>
      </c>
      <c r="P39" s="686">
        <f>(O39/O112)*100</f>
        <v>0.78856579595860032</v>
      </c>
      <c r="Q39" s="676">
        <f>'FOOD COST PRODUCT'!G38</f>
        <v>0.75576285979179869</v>
      </c>
      <c r="R39" s="677">
        <f t="shared" si="2"/>
        <v>0.59596874108766784</v>
      </c>
      <c r="S39" s="689">
        <v>27000</v>
      </c>
      <c r="U39" s="679">
        <f t="shared" si="3"/>
        <v>0</v>
      </c>
      <c r="V39" s="679">
        <f t="shared" si="4"/>
        <v>0</v>
      </c>
      <c r="W39" s="679">
        <f t="shared" si="5"/>
        <v>27000</v>
      </c>
      <c r="X39" s="679">
        <f t="shared" si="6"/>
        <v>54000</v>
      </c>
      <c r="Y39" s="679">
        <f t="shared" si="7"/>
        <v>54000</v>
      </c>
      <c r="Z39" s="679">
        <f t="shared" si="8"/>
        <v>54000</v>
      </c>
      <c r="AA39" s="679">
        <f t="shared" si="9"/>
        <v>27000</v>
      </c>
      <c r="AB39" s="679">
        <f t="shared" si="10"/>
        <v>0</v>
      </c>
      <c r="AC39" s="679">
        <f t="shared" si="11"/>
        <v>0</v>
      </c>
      <c r="AD39" s="679">
        <f t="shared" si="12"/>
        <v>0</v>
      </c>
      <c r="AE39" s="610"/>
    </row>
    <row r="40" spans="1:31" ht="24.95" customHeight="1" x14ac:dyDescent="0.2">
      <c r="A40" s="667">
        <v>33</v>
      </c>
      <c r="B40" s="691" t="s">
        <v>468</v>
      </c>
      <c r="C40" s="681"/>
      <c r="D40" s="682"/>
      <c r="E40" s="683"/>
      <c r="F40" s="682"/>
      <c r="G40" s="683"/>
      <c r="H40" s="682"/>
      <c r="I40" s="683"/>
      <c r="J40" s="682"/>
      <c r="K40" s="683"/>
      <c r="L40" s="682"/>
      <c r="M40" s="684"/>
      <c r="N40" s="673"/>
      <c r="O40" s="674">
        <f t="shared" si="1"/>
        <v>0</v>
      </c>
      <c r="P40" s="686">
        <f>(O40/O112)*100</f>
        <v>0</v>
      </c>
      <c r="Q40" s="676"/>
      <c r="R40" s="677">
        <f t="shared" si="2"/>
        <v>0</v>
      </c>
      <c r="S40" s="688"/>
      <c r="U40" s="679">
        <f t="shared" si="3"/>
        <v>0</v>
      </c>
      <c r="V40" s="679">
        <f t="shared" si="4"/>
        <v>0</v>
      </c>
      <c r="W40" s="679">
        <f t="shared" si="5"/>
        <v>0</v>
      </c>
      <c r="X40" s="679">
        <f t="shared" si="6"/>
        <v>0</v>
      </c>
      <c r="Y40" s="679">
        <f t="shared" si="7"/>
        <v>0</v>
      </c>
      <c r="Z40" s="679">
        <f t="shared" si="8"/>
        <v>0</v>
      </c>
      <c r="AA40" s="679">
        <f t="shared" si="9"/>
        <v>0</v>
      </c>
      <c r="AB40" s="679">
        <f t="shared" si="10"/>
        <v>0</v>
      </c>
      <c r="AC40" s="679">
        <f t="shared" si="11"/>
        <v>0</v>
      </c>
      <c r="AD40" s="679">
        <f t="shared" si="12"/>
        <v>0</v>
      </c>
      <c r="AE40" s="610"/>
    </row>
    <row r="41" spans="1:31" ht="24.95" customHeight="1" x14ac:dyDescent="0.2">
      <c r="A41" s="667">
        <v>34</v>
      </c>
      <c r="B41" s="692" t="s">
        <v>469</v>
      </c>
      <c r="C41" s="681" t="s">
        <v>470</v>
      </c>
      <c r="D41" s="682"/>
      <c r="E41" s="683">
        <v>1</v>
      </c>
      <c r="F41" s="682">
        <v>4</v>
      </c>
      <c r="G41" s="683"/>
      <c r="H41" s="682">
        <v>2</v>
      </c>
      <c r="I41" s="683"/>
      <c r="J41" s="682"/>
      <c r="K41" s="683"/>
      <c r="L41" s="682"/>
      <c r="M41" s="684"/>
      <c r="N41" s="673">
        <f t="shared" si="0"/>
        <v>7</v>
      </c>
      <c r="O41" s="674">
        <f t="shared" si="1"/>
        <v>175000</v>
      </c>
      <c r="P41" s="686">
        <f>(O41/O112)*100</f>
        <v>0.63888432542942153</v>
      </c>
      <c r="Q41" s="676">
        <f>'FOOD COST PRODUCT'!G40</f>
        <v>0.51554206280169779</v>
      </c>
      <c r="R41" s="677">
        <f t="shared" si="2"/>
        <v>0.32937174302355515</v>
      </c>
      <c r="S41" s="688">
        <v>25000</v>
      </c>
      <c r="U41" s="679">
        <f t="shared" si="3"/>
        <v>0</v>
      </c>
      <c r="V41" s="679">
        <f t="shared" si="4"/>
        <v>25000</v>
      </c>
      <c r="W41" s="679">
        <f t="shared" si="5"/>
        <v>100000</v>
      </c>
      <c r="X41" s="679">
        <f t="shared" si="6"/>
        <v>0</v>
      </c>
      <c r="Y41" s="679">
        <f t="shared" si="7"/>
        <v>50000</v>
      </c>
      <c r="Z41" s="679">
        <f t="shared" si="8"/>
        <v>0</v>
      </c>
      <c r="AA41" s="679">
        <f t="shared" si="9"/>
        <v>0</v>
      </c>
      <c r="AB41" s="679">
        <f t="shared" si="10"/>
        <v>0</v>
      </c>
      <c r="AC41" s="679">
        <f t="shared" si="11"/>
        <v>0</v>
      </c>
      <c r="AD41" s="679">
        <f t="shared" si="12"/>
        <v>0</v>
      </c>
      <c r="AE41" s="610"/>
    </row>
    <row r="42" spans="1:31" ht="24.95" customHeight="1" x14ac:dyDescent="0.2">
      <c r="A42" s="667">
        <v>35</v>
      </c>
      <c r="B42" s="692" t="s">
        <v>471</v>
      </c>
      <c r="C42" s="681" t="s">
        <v>472</v>
      </c>
      <c r="D42" s="682"/>
      <c r="E42" s="683"/>
      <c r="F42" s="682"/>
      <c r="G42" s="683"/>
      <c r="H42" s="682">
        <v>1</v>
      </c>
      <c r="I42" s="683"/>
      <c r="J42" s="682"/>
      <c r="K42" s="683"/>
      <c r="L42" s="682"/>
      <c r="M42" s="684"/>
      <c r="N42" s="673">
        <f t="shared" si="0"/>
        <v>1</v>
      </c>
      <c r="O42" s="674">
        <f t="shared" si="1"/>
        <v>26000</v>
      </c>
      <c r="P42" s="686">
        <f>(O42/O112)*100</f>
        <v>9.4919956920942627E-2</v>
      </c>
      <c r="Q42" s="676">
        <f>'FOOD COST PRODUCT'!G41</f>
        <v>0.47793572619404739</v>
      </c>
      <c r="R42" s="677">
        <f t="shared" si="2"/>
        <v>4.5365638541318407E-2</v>
      </c>
      <c r="S42" s="688">
        <v>26000</v>
      </c>
      <c r="U42" s="679">
        <f t="shared" si="3"/>
        <v>0</v>
      </c>
      <c r="V42" s="679">
        <f t="shared" si="4"/>
        <v>0</v>
      </c>
      <c r="W42" s="679">
        <f t="shared" si="5"/>
        <v>0</v>
      </c>
      <c r="X42" s="679">
        <f t="shared" si="6"/>
        <v>0</v>
      </c>
      <c r="Y42" s="679">
        <f t="shared" si="7"/>
        <v>26000</v>
      </c>
      <c r="Z42" s="679">
        <f t="shared" si="8"/>
        <v>0</v>
      </c>
      <c r="AA42" s="679">
        <f t="shared" si="9"/>
        <v>0</v>
      </c>
      <c r="AB42" s="679">
        <f t="shared" si="10"/>
        <v>0</v>
      </c>
      <c r="AC42" s="679">
        <f t="shared" si="11"/>
        <v>0</v>
      </c>
      <c r="AD42" s="679">
        <f t="shared" si="12"/>
        <v>0</v>
      </c>
      <c r="AE42" s="610"/>
    </row>
    <row r="43" spans="1:31" ht="24.95" customHeight="1" x14ac:dyDescent="0.2">
      <c r="A43" s="667">
        <v>36</v>
      </c>
      <c r="B43" s="692" t="s">
        <v>473</v>
      </c>
      <c r="C43" s="681" t="s">
        <v>474</v>
      </c>
      <c r="D43" s="682"/>
      <c r="E43" s="683"/>
      <c r="F43" s="682"/>
      <c r="G43" s="683"/>
      <c r="H43" s="682"/>
      <c r="I43" s="683"/>
      <c r="J43" s="682"/>
      <c r="K43" s="683"/>
      <c r="L43" s="682"/>
      <c r="M43" s="684"/>
      <c r="N43" s="673">
        <f t="shared" si="0"/>
        <v>0</v>
      </c>
      <c r="O43" s="674">
        <f t="shared" si="1"/>
        <v>0</v>
      </c>
      <c r="P43" s="686">
        <f>(O43/O112)*100</f>
        <v>0</v>
      </c>
      <c r="Q43" s="676">
        <f>'FOOD COST PRODUCT'!G42</f>
        <v>0.60394132750758012</v>
      </c>
      <c r="R43" s="677">
        <f t="shared" si="2"/>
        <v>0</v>
      </c>
      <c r="S43" s="688">
        <v>25000</v>
      </c>
      <c r="U43" s="679">
        <f t="shared" si="3"/>
        <v>0</v>
      </c>
      <c r="V43" s="679">
        <f t="shared" si="4"/>
        <v>0</v>
      </c>
      <c r="W43" s="679">
        <f t="shared" si="5"/>
        <v>0</v>
      </c>
      <c r="X43" s="679">
        <f t="shared" si="6"/>
        <v>0</v>
      </c>
      <c r="Y43" s="679">
        <f t="shared" si="7"/>
        <v>0</v>
      </c>
      <c r="Z43" s="679">
        <f t="shared" si="8"/>
        <v>0</v>
      </c>
      <c r="AA43" s="679">
        <f t="shared" si="9"/>
        <v>0</v>
      </c>
      <c r="AB43" s="679">
        <f t="shared" si="10"/>
        <v>0</v>
      </c>
      <c r="AC43" s="679">
        <f t="shared" si="11"/>
        <v>0</v>
      </c>
      <c r="AD43" s="679">
        <f t="shared" si="12"/>
        <v>0</v>
      </c>
      <c r="AE43" s="610"/>
    </row>
    <row r="44" spans="1:31" ht="24.95" customHeight="1" x14ac:dyDescent="0.2">
      <c r="A44" s="667">
        <v>37</v>
      </c>
      <c r="B44" s="692" t="s">
        <v>475</v>
      </c>
      <c r="C44" s="681" t="s">
        <v>476</v>
      </c>
      <c r="D44" s="682"/>
      <c r="E44" s="683"/>
      <c r="F44" s="682"/>
      <c r="G44" s="683"/>
      <c r="H44" s="682"/>
      <c r="I44" s="683"/>
      <c r="J44" s="682"/>
      <c r="K44" s="683"/>
      <c r="L44" s="682"/>
      <c r="M44" s="684"/>
      <c r="N44" s="673">
        <f t="shared" si="0"/>
        <v>0</v>
      </c>
      <c r="O44" s="674">
        <f t="shared" si="1"/>
        <v>0</v>
      </c>
      <c r="P44" s="686">
        <f>(O44/O112)*100</f>
        <v>0</v>
      </c>
      <c r="Q44" s="676">
        <f>'FOOD COST PRODUCT'!G43</f>
        <v>0.42504713974301661</v>
      </c>
      <c r="R44" s="677">
        <f t="shared" si="2"/>
        <v>0</v>
      </c>
      <c r="S44" s="688">
        <v>23000</v>
      </c>
      <c r="U44" s="679">
        <f t="shared" si="3"/>
        <v>0</v>
      </c>
      <c r="V44" s="679">
        <f t="shared" si="4"/>
        <v>0</v>
      </c>
      <c r="W44" s="679">
        <f t="shared" si="5"/>
        <v>0</v>
      </c>
      <c r="X44" s="679">
        <f t="shared" si="6"/>
        <v>0</v>
      </c>
      <c r="Y44" s="679">
        <f t="shared" si="7"/>
        <v>0</v>
      </c>
      <c r="Z44" s="679">
        <f t="shared" si="8"/>
        <v>0</v>
      </c>
      <c r="AA44" s="679">
        <f t="shared" si="9"/>
        <v>0</v>
      </c>
      <c r="AB44" s="679">
        <f t="shared" si="10"/>
        <v>0</v>
      </c>
      <c r="AC44" s="679">
        <f t="shared" si="11"/>
        <v>0</v>
      </c>
      <c r="AD44" s="679">
        <f t="shared" si="12"/>
        <v>0</v>
      </c>
      <c r="AE44" s="610"/>
    </row>
    <row r="45" spans="1:31" ht="24.95" customHeight="1" x14ac:dyDescent="0.2">
      <c r="A45" s="667">
        <v>38</v>
      </c>
      <c r="B45" s="692"/>
      <c r="C45" s="680"/>
      <c r="D45" s="682"/>
      <c r="E45" s="683"/>
      <c r="F45" s="682"/>
      <c r="G45" s="683"/>
      <c r="H45" s="682"/>
      <c r="I45" s="683"/>
      <c r="J45" s="682"/>
      <c r="K45" s="683"/>
      <c r="L45" s="682"/>
      <c r="M45" s="684"/>
      <c r="N45" s="673"/>
      <c r="O45" s="674">
        <f t="shared" si="1"/>
        <v>0</v>
      </c>
      <c r="P45" s="686">
        <f>(O45/O112)*100</f>
        <v>0</v>
      </c>
      <c r="Q45" s="676"/>
      <c r="R45" s="677">
        <f t="shared" si="2"/>
        <v>0</v>
      </c>
      <c r="S45" s="689"/>
      <c r="U45" s="679">
        <f t="shared" si="3"/>
        <v>0</v>
      </c>
      <c r="V45" s="679">
        <f t="shared" si="4"/>
        <v>0</v>
      </c>
      <c r="W45" s="679">
        <f t="shared" si="5"/>
        <v>0</v>
      </c>
      <c r="X45" s="679">
        <f t="shared" si="6"/>
        <v>0</v>
      </c>
      <c r="Y45" s="679">
        <f t="shared" si="7"/>
        <v>0</v>
      </c>
      <c r="Z45" s="679">
        <f t="shared" si="8"/>
        <v>0</v>
      </c>
      <c r="AA45" s="679">
        <f t="shared" si="9"/>
        <v>0</v>
      </c>
      <c r="AB45" s="679">
        <f t="shared" si="10"/>
        <v>0</v>
      </c>
      <c r="AC45" s="679">
        <f t="shared" si="11"/>
        <v>0</v>
      </c>
      <c r="AD45" s="679">
        <f t="shared" si="12"/>
        <v>0</v>
      </c>
      <c r="AE45" s="610"/>
    </row>
    <row r="46" spans="1:31" ht="24.95" customHeight="1" x14ac:dyDescent="0.2">
      <c r="A46" s="667">
        <v>39</v>
      </c>
      <c r="B46" s="692" t="s">
        <v>477</v>
      </c>
      <c r="C46" s="681" t="s">
        <v>478</v>
      </c>
      <c r="D46" s="682"/>
      <c r="E46" s="683"/>
      <c r="F46" s="682"/>
      <c r="G46" s="683"/>
      <c r="H46" s="682">
        <v>1</v>
      </c>
      <c r="I46" s="683">
        <v>1</v>
      </c>
      <c r="J46" s="682"/>
      <c r="K46" s="683"/>
      <c r="L46" s="682"/>
      <c r="M46" s="684"/>
      <c r="N46" s="673">
        <f t="shared" si="0"/>
        <v>2</v>
      </c>
      <c r="O46" s="674">
        <f t="shared" si="1"/>
        <v>30000</v>
      </c>
      <c r="P46" s="686">
        <f>(O46/O112)*100</f>
        <v>0.10952302721647227</v>
      </c>
      <c r="Q46" s="676">
        <f>'FOOD COST PRODUCT'!G45</f>
        <v>0.83075382779140372</v>
      </c>
      <c r="R46" s="677">
        <f t="shared" si="2"/>
        <v>9.098667409138643E-2</v>
      </c>
      <c r="S46" s="688">
        <v>15000</v>
      </c>
      <c r="U46" s="679">
        <f t="shared" si="3"/>
        <v>0</v>
      </c>
      <c r="V46" s="679">
        <f t="shared" si="4"/>
        <v>0</v>
      </c>
      <c r="W46" s="679">
        <f t="shared" si="5"/>
        <v>0</v>
      </c>
      <c r="X46" s="679">
        <f t="shared" si="6"/>
        <v>0</v>
      </c>
      <c r="Y46" s="679">
        <f t="shared" si="7"/>
        <v>15000</v>
      </c>
      <c r="Z46" s="679">
        <f t="shared" si="8"/>
        <v>15000</v>
      </c>
      <c r="AA46" s="679">
        <f t="shared" si="9"/>
        <v>0</v>
      </c>
      <c r="AB46" s="679">
        <f t="shared" si="10"/>
        <v>0</v>
      </c>
      <c r="AC46" s="679">
        <f t="shared" si="11"/>
        <v>0</v>
      </c>
      <c r="AD46" s="679">
        <f t="shared" si="12"/>
        <v>0</v>
      </c>
      <c r="AE46" s="610"/>
    </row>
    <row r="47" spans="1:31" ht="24.95" customHeight="1" x14ac:dyDescent="0.2">
      <c r="A47" s="667">
        <v>40</v>
      </c>
      <c r="B47" s="692" t="s">
        <v>479</v>
      </c>
      <c r="C47" s="681" t="s">
        <v>480</v>
      </c>
      <c r="D47" s="682"/>
      <c r="E47" s="683">
        <v>1</v>
      </c>
      <c r="F47" s="682"/>
      <c r="G47" s="683"/>
      <c r="H47" s="682"/>
      <c r="I47" s="683"/>
      <c r="J47" s="682">
        <v>1</v>
      </c>
      <c r="K47" s="683"/>
      <c r="L47" s="682"/>
      <c r="M47" s="684"/>
      <c r="N47" s="673">
        <f t="shared" si="0"/>
        <v>2</v>
      </c>
      <c r="O47" s="674">
        <f t="shared" si="1"/>
        <v>32000</v>
      </c>
      <c r="P47" s="686">
        <f>(O47/O112)*100</f>
        <v>0.11682456236423709</v>
      </c>
      <c r="Q47" s="676">
        <f>'FOOD COST PRODUCT'!G46</f>
        <v>0.80357665840738202</v>
      </c>
      <c r="R47" s="677">
        <f t="shared" si="2"/>
        <v>9.3877491444558453E-2</v>
      </c>
      <c r="S47" s="688">
        <v>16000</v>
      </c>
      <c r="U47" s="679">
        <f t="shared" si="3"/>
        <v>0</v>
      </c>
      <c r="V47" s="679">
        <f t="shared" si="4"/>
        <v>16000</v>
      </c>
      <c r="W47" s="679">
        <f t="shared" si="5"/>
        <v>0</v>
      </c>
      <c r="X47" s="679">
        <f t="shared" si="6"/>
        <v>0</v>
      </c>
      <c r="Y47" s="679">
        <f t="shared" si="7"/>
        <v>0</v>
      </c>
      <c r="Z47" s="679">
        <f t="shared" si="8"/>
        <v>0</v>
      </c>
      <c r="AA47" s="679">
        <f t="shared" si="9"/>
        <v>16000</v>
      </c>
      <c r="AB47" s="679">
        <f t="shared" si="10"/>
        <v>0</v>
      </c>
      <c r="AC47" s="679">
        <f t="shared" si="11"/>
        <v>0</v>
      </c>
      <c r="AD47" s="679">
        <f t="shared" si="12"/>
        <v>0</v>
      </c>
      <c r="AE47" s="610"/>
    </row>
    <row r="48" spans="1:31" ht="24.95" customHeight="1" x14ac:dyDescent="0.2">
      <c r="A48" s="667">
        <v>41</v>
      </c>
      <c r="B48" s="692" t="s">
        <v>481</v>
      </c>
      <c r="C48" s="681" t="s">
        <v>482</v>
      </c>
      <c r="D48" s="682">
        <v>5</v>
      </c>
      <c r="E48" s="683">
        <v>8</v>
      </c>
      <c r="F48" s="682">
        <v>5</v>
      </c>
      <c r="G48" s="683">
        <v>4</v>
      </c>
      <c r="H48" s="682">
        <v>11</v>
      </c>
      <c r="I48" s="683">
        <v>2</v>
      </c>
      <c r="J48" s="682">
        <v>3</v>
      </c>
      <c r="K48" s="683"/>
      <c r="L48" s="682"/>
      <c r="M48" s="684"/>
      <c r="N48" s="673">
        <f t="shared" si="0"/>
        <v>38</v>
      </c>
      <c r="O48" s="674">
        <f t="shared" si="1"/>
        <v>684000</v>
      </c>
      <c r="P48" s="686">
        <f>(O48/O112)*100</f>
        <v>2.4971250205355675</v>
      </c>
      <c r="Q48" s="676">
        <f>'FOOD COST PRODUCT'!G47</f>
        <v>0.81507161302878406</v>
      </c>
      <c r="R48" s="677">
        <f t="shared" si="2"/>
        <v>2.0353357184224605</v>
      </c>
      <c r="S48" s="688">
        <v>18000</v>
      </c>
      <c r="U48" s="679">
        <f t="shared" si="3"/>
        <v>90000</v>
      </c>
      <c r="V48" s="679">
        <f t="shared" si="4"/>
        <v>144000</v>
      </c>
      <c r="W48" s="679">
        <f t="shared" si="5"/>
        <v>90000</v>
      </c>
      <c r="X48" s="679">
        <f t="shared" si="6"/>
        <v>72000</v>
      </c>
      <c r="Y48" s="679">
        <f t="shared" si="7"/>
        <v>198000</v>
      </c>
      <c r="Z48" s="679">
        <f t="shared" si="8"/>
        <v>36000</v>
      </c>
      <c r="AA48" s="679">
        <f t="shared" si="9"/>
        <v>54000</v>
      </c>
      <c r="AB48" s="679">
        <f t="shared" si="10"/>
        <v>0</v>
      </c>
      <c r="AC48" s="679">
        <f t="shared" si="11"/>
        <v>0</v>
      </c>
      <c r="AD48" s="679">
        <f t="shared" si="12"/>
        <v>0</v>
      </c>
      <c r="AE48" s="610"/>
    </row>
    <row r="49" spans="1:31" ht="24.95" customHeight="1" x14ac:dyDescent="0.2">
      <c r="A49" s="667">
        <v>42</v>
      </c>
      <c r="B49" s="692" t="s">
        <v>478</v>
      </c>
      <c r="C49" s="681" t="s">
        <v>483</v>
      </c>
      <c r="D49" s="682">
        <v>1</v>
      </c>
      <c r="E49" s="683">
        <v>2</v>
      </c>
      <c r="F49" s="682"/>
      <c r="G49" s="683">
        <v>3</v>
      </c>
      <c r="H49" s="682">
        <v>4</v>
      </c>
      <c r="I49" s="683">
        <v>3</v>
      </c>
      <c r="J49" s="682">
        <v>2</v>
      </c>
      <c r="K49" s="683"/>
      <c r="L49" s="682"/>
      <c r="M49" s="684"/>
      <c r="N49" s="673">
        <f t="shared" si="0"/>
        <v>15</v>
      </c>
      <c r="O49" s="674">
        <f t="shared" si="1"/>
        <v>75000</v>
      </c>
      <c r="P49" s="686">
        <f>(O49/O112)*100</f>
        <v>0.27380756804118067</v>
      </c>
      <c r="Q49" s="676">
        <f>'FOOD COST PRODUCT'!G48</f>
        <v>0.97703450000000014</v>
      </c>
      <c r="R49" s="677">
        <f t="shared" si="2"/>
        <v>0.26751944033733099</v>
      </c>
      <c r="S49" s="688">
        <v>5000</v>
      </c>
      <c r="U49" s="679">
        <f t="shared" si="3"/>
        <v>5000</v>
      </c>
      <c r="V49" s="679">
        <f t="shared" si="4"/>
        <v>10000</v>
      </c>
      <c r="W49" s="679">
        <f t="shared" si="5"/>
        <v>0</v>
      </c>
      <c r="X49" s="679">
        <f t="shared" si="6"/>
        <v>15000</v>
      </c>
      <c r="Y49" s="679">
        <f t="shared" si="7"/>
        <v>20000</v>
      </c>
      <c r="Z49" s="679">
        <f t="shared" si="8"/>
        <v>15000</v>
      </c>
      <c r="AA49" s="679">
        <f t="shared" si="9"/>
        <v>10000</v>
      </c>
      <c r="AB49" s="679">
        <f t="shared" si="10"/>
        <v>0</v>
      </c>
      <c r="AC49" s="679">
        <f t="shared" si="11"/>
        <v>0</v>
      </c>
      <c r="AD49" s="679">
        <f t="shared" si="12"/>
        <v>0</v>
      </c>
      <c r="AE49" s="610"/>
    </row>
    <row r="50" spans="1:31" ht="24.95" customHeight="1" x14ac:dyDescent="0.2">
      <c r="A50" s="667">
        <v>43</v>
      </c>
      <c r="B50" s="692"/>
      <c r="C50" s="681"/>
      <c r="D50" s="682"/>
      <c r="E50" s="683"/>
      <c r="F50" s="682"/>
      <c r="G50" s="683"/>
      <c r="H50" s="682"/>
      <c r="I50" s="683"/>
      <c r="J50" s="682"/>
      <c r="K50" s="683"/>
      <c r="L50" s="682"/>
      <c r="M50" s="684"/>
      <c r="N50" s="673"/>
      <c r="O50" s="674">
        <f t="shared" si="1"/>
        <v>0</v>
      </c>
      <c r="P50" s="686">
        <f>(O50/O112)*100</f>
        <v>0</v>
      </c>
      <c r="Q50" s="676"/>
      <c r="R50" s="677">
        <f t="shared" si="2"/>
        <v>0</v>
      </c>
      <c r="S50" s="688"/>
      <c r="U50" s="679">
        <f t="shared" si="3"/>
        <v>0</v>
      </c>
      <c r="V50" s="679">
        <f t="shared" si="4"/>
        <v>0</v>
      </c>
      <c r="W50" s="679">
        <f t="shared" si="5"/>
        <v>0</v>
      </c>
      <c r="X50" s="679">
        <f t="shared" si="6"/>
        <v>0</v>
      </c>
      <c r="Y50" s="679">
        <f t="shared" si="7"/>
        <v>0</v>
      </c>
      <c r="Z50" s="679">
        <f t="shared" si="8"/>
        <v>0</v>
      </c>
      <c r="AA50" s="679">
        <f t="shared" si="9"/>
        <v>0</v>
      </c>
      <c r="AB50" s="679">
        <f t="shared" si="10"/>
        <v>0</v>
      </c>
      <c r="AC50" s="679">
        <f t="shared" si="11"/>
        <v>0</v>
      </c>
      <c r="AD50" s="679">
        <f t="shared" si="12"/>
        <v>0</v>
      </c>
      <c r="AE50" s="610"/>
    </row>
    <row r="51" spans="1:31" ht="24.95" customHeight="1" x14ac:dyDescent="0.2">
      <c r="A51" s="667">
        <v>44</v>
      </c>
      <c r="B51" s="692" t="s">
        <v>480</v>
      </c>
      <c r="C51" s="681" t="s">
        <v>484</v>
      </c>
      <c r="D51" s="682"/>
      <c r="E51" s="683"/>
      <c r="F51" s="682"/>
      <c r="G51" s="683"/>
      <c r="H51" s="682"/>
      <c r="I51" s="683"/>
      <c r="J51" s="682"/>
      <c r="K51" s="683"/>
      <c r="L51" s="682"/>
      <c r="M51" s="684"/>
      <c r="N51" s="673">
        <f t="shared" si="0"/>
        <v>0</v>
      </c>
      <c r="O51" s="674">
        <f t="shared" si="1"/>
        <v>0</v>
      </c>
      <c r="P51" s="686">
        <f>(O51/O112)*100</f>
        <v>0</v>
      </c>
      <c r="Q51" s="676">
        <f>'FOOD COST PRODUCT'!G50</f>
        <v>1.5240592510587003</v>
      </c>
      <c r="R51" s="677">
        <f t="shared" si="2"/>
        <v>0</v>
      </c>
      <c r="S51" s="688">
        <v>24000</v>
      </c>
      <c r="U51" s="679">
        <f t="shared" si="3"/>
        <v>0</v>
      </c>
      <c r="V51" s="679">
        <f t="shared" si="4"/>
        <v>0</v>
      </c>
      <c r="W51" s="679">
        <f t="shared" si="5"/>
        <v>0</v>
      </c>
      <c r="X51" s="679">
        <f t="shared" si="6"/>
        <v>0</v>
      </c>
      <c r="Y51" s="679">
        <f t="shared" si="7"/>
        <v>0</v>
      </c>
      <c r="Z51" s="679">
        <f t="shared" si="8"/>
        <v>0</v>
      </c>
      <c r="AA51" s="679">
        <f t="shared" si="9"/>
        <v>0</v>
      </c>
      <c r="AB51" s="679">
        <f t="shared" si="10"/>
        <v>0</v>
      </c>
      <c r="AC51" s="679">
        <f t="shared" si="11"/>
        <v>0</v>
      </c>
      <c r="AD51" s="679">
        <f t="shared" si="12"/>
        <v>0</v>
      </c>
      <c r="AE51" s="610"/>
    </row>
    <row r="52" spans="1:31" ht="24.95" customHeight="1" x14ac:dyDescent="0.2">
      <c r="A52" s="667">
        <v>45</v>
      </c>
      <c r="B52" s="692" t="s">
        <v>485</v>
      </c>
      <c r="C52" s="681" t="s">
        <v>486</v>
      </c>
      <c r="D52" s="682">
        <v>1</v>
      </c>
      <c r="E52" s="683"/>
      <c r="F52" s="682"/>
      <c r="G52" s="683"/>
      <c r="H52" s="682">
        <v>2</v>
      </c>
      <c r="I52" s="683">
        <v>1</v>
      </c>
      <c r="J52" s="682"/>
      <c r="K52" s="683"/>
      <c r="L52" s="682"/>
      <c r="M52" s="684"/>
      <c r="N52" s="673">
        <f t="shared" si="0"/>
        <v>4</v>
      </c>
      <c r="O52" s="674">
        <f t="shared" si="1"/>
        <v>100000</v>
      </c>
      <c r="P52" s="686">
        <f>(O52/O112)*100</f>
        <v>0.36507675738824086</v>
      </c>
      <c r="Q52" s="676">
        <f>'FOOD COST PRODUCT'!G51</f>
        <v>1.78862837573041</v>
      </c>
      <c r="R52" s="677">
        <f t="shared" si="2"/>
        <v>0.65298664758425418</v>
      </c>
      <c r="S52" s="688">
        <v>25000</v>
      </c>
      <c r="U52" s="679">
        <f t="shared" si="3"/>
        <v>25000</v>
      </c>
      <c r="V52" s="679">
        <f t="shared" si="4"/>
        <v>0</v>
      </c>
      <c r="W52" s="679">
        <f t="shared" si="5"/>
        <v>0</v>
      </c>
      <c r="X52" s="679">
        <f t="shared" si="6"/>
        <v>0</v>
      </c>
      <c r="Y52" s="679">
        <f t="shared" si="7"/>
        <v>50000</v>
      </c>
      <c r="Z52" s="679">
        <f t="shared" si="8"/>
        <v>25000</v>
      </c>
      <c r="AA52" s="679">
        <f t="shared" si="9"/>
        <v>0</v>
      </c>
      <c r="AB52" s="679">
        <f t="shared" si="10"/>
        <v>0</v>
      </c>
      <c r="AC52" s="679">
        <f t="shared" si="11"/>
        <v>0</v>
      </c>
      <c r="AD52" s="679">
        <f t="shared" si="12"/>
        <v>0</v>
      </c>
      <c r="AE52" s="610"/>
    </row>
    <row r="53" spans="1:31" ht="24.95" customHeight="1" x14ac:dyDescent="0.2">
      <c r="A53" s="667">
        <v>46</v>
      </c>
      <c r="B53" s="692" t="s">
        <v>487</v>
      </c>
      <c r="C53" s="681" t="s">
        <v>488</v>
      </c>
      <c r="D53" s="682"/>
      <c r="E53" s="683"/>
      <c r="F53" s="682"/>
      <c r="G53" s="683"/>
      <c r="H53" s="682"/>
      <c r="I53" s="683"/>
      <c r="J53" s="682">
        <v>3</v>
      </c>
      <c r="K53" s="683"/>
      <c r="L53" s="682"/>
      <c r="M53" s="684"/>
      <c r="N53" s="673">
        <f t="shared" si="0"/>
        <v>3</v>
      </c>
      <c r="O53" s="674">
        <f t="shared" si="1"/>
        <v>57000</v>
      </c>
      <c r="P53" s="686">
        <f>(O53/O112)*100</f>
        <v>0.20809375171129729</v>
      </c>
      <c r="Q53" s="676">
        <f>'FOOD COST PRODUCT'!G52</f>
        <v>0.52080964673369112</v>
      </c>
      <c r="R53" s="677">
        <f t="shared" si="2"/>
        <v>0.10837723331624917</v>
      </c>
      <c r="S53" s="689">
        <v>19000</v>
      </c>
      <c r="U53" s="679">
        <f t="shared" si="3"/>
        <v>0</v>
      </c>
      <c r="V53" s="679">
        <f t="shared" si="4"/>
        <v>0</v>
      </c>
      <c r="W53" s="679">
        <f t="shared" si="5"/>
        <v>0</v>
      </c>
      <c r="X53" s="679">
        <f t="shared" si="6"/>
        <v>0</v>
      </c>
      <c r="Y53" s="679">
        <f t="shared" si="7"/>
        <v>0</v>
      </c>
      <c r="Z53" s="679">
        <f t="shared" si="8"/>
        <v>0</v>
      </c>
      <c r="AA53" s="679">
        <f t="shared" si="9"/>
        <v>57000</v>
      </c>
      <c r="AB53" s="679">
        <f t="shared" si="10"/>
        <v>0</v>
      </c>
      <c r="AC53" s="679">
        <f t="shared" si="11"/>
        <v>0</v>
      </c>
      <c r="AD53" s="679">
        <f t="shared" si="12"/>
        <v>0</v>
      </c>
      <c r="AE53" s="610"/>
    </row>
    <row r="54" spans="1:31" ht="24.95" customHeight="1" x14ac:dyDescent="0.2">
      <c r="A54" s="667">
        <v>47</v>
      </c>
      <c r="B54" s="692"/>
      <c r="C54" s="680" t="s">
        <v>489</v>
      </c>
      <c r="D54" s="682"/>
      <c r="E54" s="683"/>
      <c r="F54" s="682"/>
      <c r="G54" s="683">
        <v>1</v>
      </c>
      <c r="H54" s="682">
        <v>1</v>
      </c>
      <c r="I54" s="683">
        <v>1</v>
      </c>
      <c r="J54" s="682"/>
      <c r="K54" s="683"/>
      <c r="L54" s="682"/>
      <c r="M54" s="684"/>
      <c r="N54" s="673">
        <f t="shared" si="0"/>
        <v>3</v>
      </c>
      <c r="O54" s="674">
        <f t="shared" si="1"/>
        <v>75000</v>
      </c>
      <c r="P54" s="686">
        <f>(O54/O112)*100</f>
        <v>0.27380756804118067</v>
      </c>
      <c r="Q54" s="676">
        <f>'FOOD COST PRODUCT'!G53</f>
        <v>0.32937232719441811</v>
      </c>
      <c r="R54" s="677">
        <f t="shared" si="2"/>
        <v>9.0184635889167655E-2</v>
      </c>
      <c r="S54" s="689">
        <v>25000</v>
      </c>
      <c r="U54" s="679">
        <f t="shared" si="3"/>
        <v>0</v>
      </c>
      <c r="V54" s="679">
        <f t="shared" si="4"/>
        <v>0</v>
      </c>
      <c r="W54" s="679">
        <f t="shared" si="5"/>
        <v>0</v>
      </c>
      <c r="X54" s="679">
        <f t="shared" si="6"/>
        <v>25000</v>
      </c>
      <c r="Y54" s="679">
        <f t="shared" si="7"/>
        <v>25000</v>
      </c>
      <c r="Z54" s="679">
        <f t="shared" si="8"/>
        <v>25000</v>
      </c>
      <c r="AA54" s="679">
        <f t="shared" si="9"/>
        <v>0</v>
      </c>
      <c r="AB54" s="679">
        <f t="shared" si="10"/>
        <v>0</v>
      </c>
      <c r="AC54" s="679">
        <f t="shared" si="11"/>
        <v>0</v>
      </c>
      <c r="AD54" s="679">
        <f t="shared" si="12"/>
        <v>0</v>
      </c>
      <c r="AE54" s="610"/>
    </row>
    <row r="55" spans="1:31" ht="24.95" customHeight="1" x14ac:dyDescent="0.2">
      <c r="A55" s="667">
        <v>48</v>
      </c>
      <c r="B55" s="692" t="s">
        <v>490</v>
      </c>
      <c r="C55" s="681"/>
      <c r="D55" s="682"/>
      <c r="E55" s="683"/>
      <c r="F55" s="682"/>
      <c r="G55" s="683"/>
      <c r="H55" s="682"/>
      <c r="I55" s="683"/>
      <c r="J55" s="682"/>
      <c r="K55" s="683"/>
      <c r="L55" s="682"/>
      <c r="M55" s="684"/>
      <c r="N55" s="673"/>
      <c r="O55" s="674">
        <f t="shared" si="1"/>
        <v>0</v>
      </c>
      <c r="P55" s="686">
        <f>(O55/O112)*100</f>
        <v>0</v>
      </c>
      <c r="Q55" s="676"/>
      <c r="R55" s="677">
        <f t="shared" si="2"/>
        <v>0</v>
      </c>
      <c r="S55" s="688"/>
      <c r="U55" s="679">
        <f t="shared" si="3"/>
        <v>0</v>
      </c>
      <c r="V55" s="679">
        <f t="shared" si="4"/>
        <v>0</v>
      </c>
      <c r="W55" s="679">
        <f t="shared" si="5"/>
        <v>0</v>
      </c>
      <c r="X55" s="679">
        <f t="shared" si="6"/>
        <v>0</v>
      </c>
      <c r="Y55" s="679">
        <f t="shared" si="7"/>
        <v>0</v>
      </c>
      <c r="Z55" s="679">
        <f t="shared" si="8"/>
        <v>0</v>
      </c>
      <c r="AA55" s="679">
        <f t="shared" si="9"/>
        <v>0</v>
      </c>
      <c r="AB55" s="679">
        <f t="shared" si="10"/>
        <v>0</v>
      </c>
      <c r="AC55" s="679">
        <f t="shared" si="11"/>
        <v>0</v>
      </c>
      <c r="AD55" s="679">
        <f t="shared" si="12"/>
        <v>0</v>
      </c>
      <c r="AE55" s="610"/>
    </row>
    <row r="56" spans="1:31" ht="24.95" customHeight="1" x14ac:dyDescent="0.2">
      <c r="A56" s="667">
        <v>49</v>
      </c>
      <c r="B56" s="692" t="s">
        <v>491</v>
      </c>
      <c r="C56" s="681" t="s">
        <v>492</v>
      </c>
      <c r="D56" s="682"/>
      <c r="E56" s="683"/>
      <c r="F56" s="682"/>
      <c r="G56" s="683"/>
      <c r="H56" s="682"/>
      <c r="I56" s="683"/>
      <c r="J56" s="682"/>
      <c r="K56" s="683"/>
      <c r="L56" s="682"/>
      <c r="M56" s="684"/>
      <c r="N56" s="673">
        <f t="shared" si="0"/>
        <v>0</v>
      </c>
      <c r="O56" s="674">
        <f t="shared" si="1"/>
        <v>0</v>
      </c>
      <c r="P56" s="686">
        <f>(O56/O112)*100</f>
        <v>0</v>
      </c>
      <c r="Q56" s="676">
        <f>'FOOD COST PRODUCT'!G55</f>
        <v>0.69645136233794791</v>
      </c>
      <c r="R56" s="677">
        <f t="shared" si="2"/>
        <v>0</v>
      </c>
      <c r="S56" s="688">
        <v>13000</v>
      </c>
      <c r="U56" s="679">
        <f t="shared" si="3"/>
        <v>0</v>
      </c>
      <c r="V56" s="679">
        <f t="shared" si="4"/>
        <v>0</v>
      </c>
      <c r="W56" s="679">
        <f t="shared" si="5"/>
        <v>0</v>
      </c>
      <c r="X56" s="679">
        <f t="shared" si="6"/>
        <v>0</v>
      </c>
      <c r="Y56" s="679">
        <f t="shared" si="7"/>
        <v>0</v>
      </c>
      <c r="Z56" s="679">
        <f t="shared" si="8"/>
        <v>0</v>
      </c>
      <c r="AA56" s="679">
        <f t="shared" si="9"/>
        <v>0</v>
      </c>
      <c r="AB56" s="679">
        <f t="shared" si="10"/>
        <v>0</v>
      </c>
      <c r="AC56" s="679">
        <f t="shared" si="11"/>
        <v>0</v>
      </c>
      <c r="AD56" s="679">
        <f t="shared" si="12"/>
        <v>0</v>
      </c>
      <c r="AE56" s="610"/>
    </row>
    <row r="57" spans="1:31" ht="24.95" customHeight="1" x14ac:dyDescent="0.2">
      <c r="A57" s="667">
        <v>50</v>
      </c>
      <c r="B57" s="692" t="s">
        <v>493</v>
      </c>
      <c r="C57" s="681" t="s">
        <v>494</v>
      </c>
      <c r="D57" s="682"/>
      <c r="E57" s="683"/>
      <c r="F57" s="682"/>
      <c r="G57" s="683"/>
      <c r="H57" s="682"/>
      <c r="I57" s="683"/>
      <c r="J57" s="682"/>
      <c r="K57" s="683"/>
      <c r="L57" s="682"/>
      <c r="M57" s="684"/>
      <c r="N57" s="673">
        <f t="shared" si="0"/>
        <v>0</v>
      </c>
      <c r="O57" s="674">
        <f t="shared" si="1"/>
        <v>0</v>
      </c>
      <c r="P57" s="686">
        <f>(O57/O112)*100</f>
        <v>0</v>
      </c>
      <c r="Q57" s="676">
        <f>'FOOD COST PRODUCT'!G56</f>
        <v>2.271828135027254</v>
      </c>
      <c r="R57" s="677">
        <f t="shared" si="2"/>
        <v>0</v>
      </c>
      <c r="S57" s="688">
        <v>15000</v>
      </c>
      <c r="U57" s="679">
        <f t="shared" si="3"/>
        <v>0</v>
      </c>
      <c r="V57" s="679">
        <f t="shared" si="4"/>
        <v>0</v>
      </c>
      <c r="W57" s="679">
        <f t="shared" si="5"/>
        <v>0</v>
      </c>
      <c r="X57" s="679">
        <f t="shared" si="6"/>
        <v>0</v>
      </c>
      <c r="Y57" s="679">
        <f t="shared" si="7"/>
        <v>0</v>
      </c>
      <c r="Z57" s="679">
        <f t="shared" si="8"/>
        <v>0</v>
      </c>
      <c r="AA57" s="679">
        <f t="shared" si="9"/>
        <v>0</v>
      </c>
      <c r="AB57" s="679">
        <f t="shared" si="10"/>
        <v>0</v>
      </c>
      <c r="AC57" s="679">
        <f t="shared" si="11"/>
        <v>0</v>
      </c>
      <c r="AD57" s="679">
        <f t="shared" si="12"/>
        <v>0</v>
      </c>
      <c r="AE57" s="610"/>
    </row>
    <row r="58" spans="1:31" ht="24.95" customHeight="1" x14ac:dyDescent="0.2">
      <c r="A58" s="667">
        <v>51</v>
      </c>
      <c r="B58" s="692" t="s">
        <v>495</v>
      </c>
      <c r="C58" s="681" t="s">
        <v>496</v>
      </c>
      <c r="D58" s="682"/>
      <c r="E58" s="683"/>
      <c r="F58" s="682"/>
      <c r="G58" s="683"/>
      <c r="H58" s="682"/>
      <c r="I58" s="683"/>
      <c r="J58" s="682"/>
      <c r="K58" s="683"/>
      <c r="L58" s="682"/>
      <c r="M58" s="684"/>
      <c r="N58" s="673">
        <f t="shared" si="0"/>
        <v>0</v>
      </c>
      <c r="O58" s="674">
        <f t="shared" si="1"/>
        <v>0</v>
      </c>
      <c r="P58" s="686">
        <f>(O58/O112)*100</f>
        <v>0</v>
      </c>
      <c r="Q58" s="676">
        <f>'FOOD COST PRODUCT'!G57</f>
        <v>0.65072275459061057</v>
      </c>
      <c r="R58" s="677">
        <f t="shared" si="2"/>
        <v>0</v>
      </c>
      <c r="S58" s="688">
        <v>17000</v>
      </c>
      <c r="U58" s="679">
        <f t="shared" si="3"/>
        <v>0</v>
      </c>
      <c r="V58" s="679">
        <f t="shared" si="4"/>
        <v>0</v>
      </c>
      <c r="W58" s="679">
        <f t="shared" si="5"/>
        <v>0</v>
      </c>
      <c r="X58" s="679">
        <f t="shared" si="6"/>
        <v>0</v>
      </c>
      <c r="Y58" s="679">
        <f t="shared" si="7"/>
        <v>0</v>
      </c>
      <c r="Z58" s="679">
        <f t="shared" si="8"/>
        <v>0</v>
      </c>
      <c r="AA58" s="679">
        <f t="shared" si="9"/>
        <v>0</v>
      </c>
      <c r="AB58" s="679">
        <f t="shared" si="10"/>
        <v>0</v>
      </c>
      <c r="AC58" s="679">
        <f t="shared" si="11"/>
        <v>0</v>
      </c>
      <c r="AD58" s="679">
        <f t="shared" si="12"/>
        <v>0</v>
      </c>
      <c r="AE58" s="610"/>
    </row>
    <row r="59" spans="1:31" ht="24.95" customHeight="1" x14ac:dyDescent="0.2">
      <c r="A59" s="667">
        <v>52</v>
      </c>
      <c r="B59" s="692" t="s">
        <v>497</v>
      </c>
      <c r="C59" s="681" t="s">
        <v>1041</v>
      </c>
      <c r="D59" s="682">
        <v>1</v>
      </c>
      <c r="E59" s="683">
        <v>1</v>
      </c>
      <c r="F59" s="682"/>
      <c r="G59" s="683"/>
      <c r="H59" s="682"/>
      <c r="I59" s="683">
        <v>2</v>
      </c>
      <c r="J59" s="682"/>
      <c r="K59" s="683"/>
      <c r="L59" s="682"/>
      <c r="M59" s="684"/>
      <c r="N59" s="673">
        <f>SUM(D59:L59)</f>
        <v>4</v>
      </c>
      <c r="O59" s="674">
        <f t="shared" si="1"/>
        <v>60000</v>
      </c>
      <c r="P59" s="686">
        <f>(O59/O112)*100</f>
        <v>0.21904605443294453</v>
      </c>
      <c r="Q59" s="676"/>
      <c r="R59" s="677">
        <f t="shared" si="2"/>
        <v>0</v>
      </c>
      <c r="S59" s="688">
        <v>15000</v>
      </c>
      <c r="U59" s="679">
        <f t="shared" si="3"/>
        <v>15000</v>
      </c>
      <c r="V59" s="679">
        <f t="shared" si="4"/>
        <v>15000</v>
      </c>
      <c r="W59" s="679">
        <f t="shared" si="5"/>
        <v>0</v>
      </c>
      <c r="X59" s="679">
        <f t="shared" si="6"/>
        <v>0</v>
      </c>
      <c r="Y59" s="679">
        <f t="shared" si="7"/>
        <v>0</v>
      </c>
      <c r="Z59" s="679">
        <f t="shared" si="8"/>
        <v>30000</v>
      </c>
      <c r="AA59" s="679">
        <f t="shared" si="9"/>
        <v>0</v>
      </c>
      <c r="AB59" s="679">
        <f t="shared" si="10"/>
        <v>0</v>
      </c>
      <c r="AC59" s="679">
        <f t="shared" si="11"/>
        <v>0</v>
      </c>
      <c r="AD59" s="679">
        <f t="shared" si="12"/>
        <v>0</v>
      </c>
      <c r="AE59" s="610"/>
    </row>
    <row r="60" spans="1:31" ht="24.95" customHeight="1" x14ac:dyDescent="0.2">
      <c r="A60" s="667">
        <v>53</v>
      </c>
      <c r="B60" s="692" t="s">
        <v>498</v>
      </c>
      <c r="C60" s="681" t="s">
        <v>499</v>
      </c>
      <c r="D60" s="682"/>
      <c r="E60" s="683">
        <v>1</v>
      </c>
      <c r="F60" s="682"/>
      <c r="G60" s="683"/>
      <c r="H60" s="682">
        <v>1</v>
      </c>
      <c r="I60" s="683"/>
      <c r="J60" s="682"/>
      <c r="K60" s="683"/>
      <c r="L60" s="682"/>
      <c r="M60" s="684"/>
      <c r="N60" s="673">
        <f t="shared" si="0"/>
        <v>2</v>
      </c>
      <c r="O60" s="674">
        <f t="shared" si="1"/>
        <v>150000</v>
      </c>
      <c r="P60" s="686">
        <f>(O60/O112)*100</f>
        <v>0.54761513608236134</v>
      </c>
      <c r="Q60" s="676">
        <f>'FOOD COST PRODUCT'!G59</f>
        <v>0.49456999119009648</v>
      </c>
      <c r="R60" s="677">
        <f t="shared" si="2"/>
        <v>0.27083401302781696</v>
      </c>
      <c r="S60" s="688">
        <v>75000</v>
      </c>
      <c r="U60" s="679">
        <f t="shared" si="3"/>
        <v>0</v>
      </c>
      <c r="V60" s="679">
        <f t="shared" si="4"/>
        <v>75000</v>
      </c>
      <c r="W60" s="679">
        <f t="shared" si="5"/>
        <v>0</v>
      </c>
      <c r="X60" s="679">
        <f t="shared" si="6"/>
        <v>0</v>
      </c>
      <c r="Y60" s="679">
        <f t="shared" si="7"/>
        <v>75000</v>
      </c>
      <c r="Z60" s="679">
        <f t="shared" si="8"/>
        <v>0</v>
      </c>
      <c r="AA60" s="679">
        <f t="shared" si="9"/>
        <v>0</v>
      </c>
      <c r="AB60" s="679">
        <f t="shared" si="10"/>
        <v>0</v>
      </c>
      <c r="AC60" s="679">
        <f t="shared" si="11"/>
        <v>0</v>
      </c>
      <c r="AD60" s="679">
        <f t="shared" si="12"/>
        <v>0</v>
      </c>
      <c r="AE60" s="610"/>
    </row>
    <row r="61" spans="1:31" ht="24.95" customHeight="1" x14ac:dyDescent="0.2">
      <c r="A61" s="667">
        <v>54</v>
      </c>
      <c r="B61" s="692" t="s">
        <v>500</v>
      </c>
      <c r="C61" s="681" t="s">
        <v>501</v>
      </c>
      <c r="D61" s="682"/>
      <c r="E61" s="683"/>
      <c r="F61" s="682"/>
      <c r="G61" s="683"/>
      <c r="H61" s="682"/>
      <c r="I61" s="683"/>
      <c r="J61" s="682"/>
      <c r="K61" s="683"/>
      <c r="L61" s="682"/>
      <c r="M61" s="684"/>
      <c r="N61" s="673">
        <f t="shared" si="0"/>
        <v>0</v>
      </c>
      <c r="O61" s="674">
        <f t="shared" si="1"/>
        <v>0</v>
      </c>
      <c r="P61" s="686">
        <f>(O61/O112)*100</f>
        <v>0</v>
      </c>
      <c r="Q61" s="676">
        <f>'FOOD COST PRODUCT'!G60</f>
        <v>0.72374837457949692</v>
      </c>
      <c r="R61" s="677">
        <f t="shared" si="2"/>
        <v>0</v>
      </c>
      <c r="S61" s="689">
        <v>85000</v>
      </c>
      <c r="U61" s="679">
        <f t="shared" si="3"/>
        <v>0</v>
      </c>
      <c r="V61" s="679">
        <f t="shared" si="4"/>
        <v>0</v>
      </c>
      <c r="W61" s="679">
        <f t="shared" si="5"/>
        <v>0</v>
      </c>
      <c r="X61" s="679">
        <f t="shared" si="6"/>
        <v>0</v>
      </c>
      <c r="Y61" s="679">
        <f t="shared" si="7"/>
        <v>0</v>
      </c>
      <c r="Z61" s="679">
        <f t="shared" si="8"/>
        <v>0</v>
      </c>
      <c r="AA61" s="679">
        <f t="shared" si="9"/>
        <v>0</v>
      </c>
      <c r="AB61" s="679">
        <f t="shared" si="10"/>
        <v>0</v>
      </c>
      <c r="AC61" s="679">
        <f t="shared" si="11"/>
        <v>0</v>
      </c>
      <c r="AD61" s="679">
        <f t="shared" si="12"/>
        <v>0</v>
      </c>
      <c r="AE61" s="610"/>
    </row>
    <row r="62" spans="1:31" ht="24.95" customHeight="1" x14ac:dyDescent="0.2">
      <c r="A62" s="667">
        <v>55</v>
      </c>
      <c r="B62" s="692"/>
      <c r="C62" s="680" t="s">
        <v>502</v>
      </c>
      <c r="D62" s="682"/>
      <c r="E62" s="683">
        <v>2</v>
      </c>
      <c r="F62" s="682">
        <v>1</v>
      </c>
      <c r="G62" s="683"/>
      <c r="H62" s="682">
        <v>1</v>
      </c>
      <c r="I62" s="683">
        <v>1</v>
      </c>
      <c r="J62" s="682"/>
      <c r="K62" s="683"/>
      <c r="L62" s="682"/>
      <c r="M62" s="684"/>
      <c r="N62" s="673">
        <f t="shared" si="0"/>
        <v>5</v>
      </c>
      <c r="O62" s="674">
        <f t="shared" si="1"/>
        <v>450000</v>
      </c>
      <c r="P62" s="686">
        <f>(O62/O112)*100</f>
        <v>1.6428454082470838</v>
      </c>
      <c r="Q62" s="676">
        <f>'FOOD COST PRODUCT'!G61</f>
        <v>0.60072907329269176</v>
      </c>
      <c r="R62" s="677">
        <f t="shared" si="2"/>
        <v>0.98690499965942458</v>
      </c>
      <c r="S62" s="689">
        <v>90000</v>
      </c>
      <c r="U62" s="679">
        <f t="shared" si="3"/>
        <v>0</v>
      </c>
      <c r="V62" s="679">
        <f t="shared" si="4"/>
        <v>180000</v>
      </c>
      <c r="W62" s="679">
        <f t="shared" si="5"/>
        <v>90000</v>
      </c>
      <c r="X62" s="679">
        <f t="shared" si="6"/>
        <v>0</v>
      </c>
      <c r="Y62" s="679">
        <f t="shared" si="7"/>
        <v>90000</v>
      </c>
      <c r="Z62" s="679">
        <f t="shared" si="8"/>
        <v>90000</v>
      </c>
      <c r="AA62" s="679">
        <f t="shared" si="9"/>
        <v>0</v>
      </c>
      <c r="AB62" s="679">
        <f t="shared" si="10"/>
        <v>0</v>
      </c>
      <c r="AC62" s="679">
        <f t="shared" si="11"/>
        <v>0</v>
      </c>
      <c r="AD62" s="679">
        <f t="shared" si="12"/>
        <v>0</v>
      </c>
      <c r="AE62" s="610"/>
    </row>
    <row r="63" spans="1:31" ht="24.95" customHeight="1" x14ac:dyDescent="0.2">
      <c r="A63" s="667">
        <v>56</v>
      </c>
      <c r="B63" s="692" t="s">
        <v>503</v>
      </c>
      <c r="C63" s="681" t="s">
        <v>504</v>
      </c>
      <c r="D63" s="682">
        <v>2</v>
      </c>
      <c r="E63" s="683"/>
      <c r="F63" s="682"/>
      <c r="G63" s="683"/>
      <c r="H63" s="682"/>
      <c r="I63" s="683"/>
      <c r="J63" s="682"/>
      <c r="K63" s="683"/>
      <c r="L63" s="682"/>
      <c r="M63" s="684"/>
      <c r="N63" s="673">
        <f t="shared" si="0"/>
        <v>2</v>
      </c>
      <c r="O63" s="674">
        <f t="shared" si="1"/>
        <v>200000</v>
      </c>
      <c r="P63" s="686">
        <f>(O63/O112)*100</f>
        <v>0.73015351477648172</v>
      </c>
      <c r="Q63" s="676">
        <f>'FOOD COST PRODUCT'!G62</f>
        <v>0.78491479096342254</v>
      </c>
      <c r="R63" s="677">
        <f t="shared" si="2"/>
        <v>0.57310829342199043</v>
      </c>
      <c r="S63" s="693">
        <v>100000</v>
      </c>
      <c r="U63" s="679">
        <f t="shared" si="3"/>
        <v>200000</v>
      </c>
      <c r="V63" s="679">
        <f t="shared" si="4"/>
        <v>0</v>
      </c>
      <c r="W63" s="679">
        <f t="shared" si="5"/>
        <v>0</v>
      </c>
      <c r="X63" s="679">
        <f t="shared" si="6"/>
        <v>0</v>
      </c>
      <c r="Y63" s="679">
        <f t="shared" si="7"/>
        <v>0</v>
      </c>
      <c r="Z63" s="679">
        <f t="shared" si="8"/>
        <v>0</v>
      </c>
      <c r="AA63" s="679">
        <f t="shared" si="9"/>
        <v>0</v>
      </c>
      <c r="AB63" s="679">
        <f t="shared" si="10"/>
        <v>0</v>
      </c>
      <c r="AC63" s="679">
        <f t="shared" si="11"/>
        <v>0</v>
      </c>
      <c r="AD63" s="679">
        <f t="shared" si="12"/>
        <v>0</v>
      </c>
      <c r="AE63" s="610"/>
    </row>
    <row r="64" spans="1:31" ht="24.95" customHeight="1" x14ac:dyDescent="0.2">
      <c r="A64" s="667">
        <v>57</v>
      </c>
      <c r="B64" s="692" t="s">
        <v>505</v>
      </c>
      <c r="C64" s="681" t="s">
        <v>1040</v>
      </c>
      <c r="D64" s="682">
        <v>1</v>
      </c>
      <c r="E64" s="683"/>
      <c r="F64" s="682"/>
      <c r="G64" s="683"/>
      <c r="H64" s="682"/>
      <c r="I64" s="683"/>
      <c r="J64" s="682"/>
      <c r="K64" s="683"/>
      <c r="L64" s="682"/>
      <c r="M64" s="684"/>
      <c r="N64" s="673">
        <f>D64</f>
        <v>1</v>
      </c>
      <c r="O64" s="674">
        <f t="shared" si="1"/>
        <v>21000</v>
      </c>
      <c r="P64" s="686">
        <f>(O64/O112)*100</f>
        <v>7.666611905153059E-2</v>
      </c>
      <c r="Q64" s="676"/>
      <c r="R64" s="677">
        <f t="shared" si="2"/>
        <v>0</v>
      </c>
      <c r="S64" s="688">
        <v>21000</v>
      </c>
      <c r="U64" s="679">
        <f t="shared" si="3"/>
        <v>21000</v>
      </c>
      <c r="V64" s="679">
        <f t="shared" si="4"/>
        <v>0</v>
      </c>
      <c r="W64" s="679">
        <f t="shared" si="5"/>
        <v>0</v>
      </c>
      <c r="X64" s="679">
        <f t="shared" si="6"/>
        <v>0</v>
      </c>
      <c r="Y64" s="679">
        <f t="shared" si="7"/>
        <v>0</v>
      </c>
      <c r="Z64" s="679">
        <f t="shared" si="8"/>
        <v>0</v>
      </c>
      <c r="AA64" s="679">
        <f t="shared" si="9"/>
        <v>0</v>
      </c>
      <c r="AB64" s="679">
        <f t="shared" si="10"/>
        <v>0</v>
      </c>
      <c r="AC64" s="679">
        <f t="shared" si="11"/>
        <v>0</v>
      </c>
      <c r="AD64" s="679">
        <f t="shared" si="12"/>
        <v>0</v>
      </c>
      <c r="AE64" s="610"/>
    </row>
    <row r="65" spans="1:33" ht="24.95" customHeight="1" x14ac:dyDescent="0.2">
      <c r="A65" s="667">
        <v>58</v>
      </c>
      <c r="B65" s="692" t="s">
        <v>506</v>
      </c>
      <c r="C65" s="681" t="s">
        <v>507</v>
      </c>
      <c r="D65" s="682"/>
      <c r="E65" s="683"/>
      <c r="F65" s="682"/>
      <c r="G65" s="683"/>
      <c r="H65" s="682"/>
      <c r="I65" s="683"/>
      <c r="J65" s="682"/>
      <c r="K65" s="683"/>
      <c r="L65" s="682"/>
      <c r="M65" s="684"/>
      <c r="N65" s="673">
        <f t="shared" si="0"/>
        <v>0</v>
      </c>
      <c r="O65" s="674">
        <f t="shared" si="1"/>
        <v>0</v>
      </c>
      <c r="P65" s="686">
        <f>(O65/O112)*100</f>
        <v>0</v>
      </c>
      <c r="Q65" s="676">
        <f>'FOOD COST PRODUCT'!G64</f>
        <v>0.69922388804178282</v>
      </c>
      <c r="R65" s="677">
        <f t="shared" si="2"/>
        <v>0</v>
      </c>
      <c r="S65" s="688">
        <v>11000</v>
      </c>
      <c r="U65" s="679">
        <f t="shared" si="3"/>
        <v>0</v>
      </c>
      <c r="V65" s="679">
        <f t="shared" si="4"/>
        <v>0</v>
      </c>
      <c r="W65" s="679">
        <f t="shared" si="5"/>
        <v>0</v>
      </c>
      <c r="X65" s="679">
        <f t="shared" si="6"/>
        <v>0</v>
      </c>
      <c r="Y65" s="679">
        <f t="shared" si="7"/>
        <v>0</v>
      </c>
      <c r="Z65" s="679">
        <f t="shared" si="8"/>
        <v>0</v>
      </c>
      <c r="AA65" s="679">
        <f t="shared" si="9"/>
        <v>0</v>
      </c>
      <c r="AB65" s="679">
        <f t="shared" si="10"/>
        <v>0</v>
      </c>
      <c r="AC65" s="679">
        <f t="shared" si="11"/>
        <v>0</v>
      </c>
      <c r="AD65" s="679">
        <f t="shared" si="12"/>
        <v>0</v>
      </c>
      <c r="AE65" s="610"/>
    </row>
    <row r="66" spans="1:33" ht="24.95" customHeight="1" x14ac:dyDescent="0.2">
      <c r="A66" s="667">
        <v>59</v>
      </c>
      <c r="B66" s="692"/>
      <c r="C66" s="681" t="s">
        <v>508</v>
      </c>
      <c r="D66" s="682">
        <v>2</v>
      </c>
      <c r="E66" s="683"/>
      <c r="F66" s="682"/>
      <c r="G66" s="683"/>
      <c r="H66" s="682"/>
      <c r="I66" s="683"/>
      <c r="J66" s="682"/>
      <c r="K66" s="683"/>
      <c r="L66" s="682"/>
      <c r="M66" s="684"/>
      <c r="N66" s="673">
        <f t="shared" si="0"/>
        <v>2</v>
      </c>
      <c r="O66" s="674">
        <f t="shared" si="1"/>
        <v>24000</v>
      </c>
      <c r="P66" s="686">
        <f>(O66/O112)*100</f>
        <v>8.7618421773177815E-2</v>
      </c>
      <c r="Q66" s="676">
        <f>'FOOD COST PRODUCT'!G65</f>
        <v>0.70762189737163428</v>
      </c>
      <c r="R66" s="677">
        <f t="shared" si="2"/>
        <v>6.2000713859844202E-2</v>
      </c>
      <c r="S66" s="688">
        <v>12000</v>
      </c>
      <c r="U66" s="679">
        <f t="shared" si="3"/>
        <v>24000</v>
      </c>
      <c r="V66" s="679">
        <f t="shared" si="4"/>
        <v>0</v>
      </c>
      <c r="W66" s="679">
        <f t="shared" si="5"/>
        <v>0</v>
      </c>
      <c r="X66" s="679">
        <f t="shared" si="6"/>
        <v>0</v>
      </c>
      <c r="Y66" s="679">
        <f t="shared" si="7"/>
        <v>0</v>
      </c>
      <c r="Z66" s="679">
        <f t="shared" si="8"/>
        <v>0</v>
      </c>
      <c r="AA66" s="679">
        <f t="shared" si="9"/>
        <v>0</v>
      </c>
      <c r="AB66" s="679">
        <f t="shared" si="10"/>
        <v>0</v>
      </c>
      <c r="AC66" s="679">
        <f t="shared" si="11"/>
        <v>0</v>
      </c>
      <c r="AD66" s="679">
        <f t="shared" si="12"/>
        <v>0</v>
      </c>
      <c r="AE66" s="610"/>
    </row>
    <row r="67" spans="1:33" ht="24.95" customHeight="1" x14ac:dyDescent="0.2">
      <c r="A67" s="667">
        <v>60</v>
      </c>
      <c r="B67" s="692"/>
      <c r="C67" s="681" t="s">
        <v>509</v>
      </c>
      <c r="D67" s="682"/>
      <c r="E67" s="683"/>
      <c r="F67" s="682"/>
      <c r="G67" s="683"/>
      <c r="H67" s="682"/>
      <c r="I67" s="683"/>
      <c r="J67" s="682"/>
      <c r="K67" s="683"/>
      <c r="L67" s="682"/>
      <c r="M67" s="684"/>
      <c r="N67" s="673">
        <f t="shared" si="0"/>
        <v>0</v>
      </c>
      <c r="O67" s="674">
        <f t="shared" si="1"/>
        <v>0</v>
      </c>
      <c r="P67" s="686">
        <f>(O67/O112)*100</f>
        <v>0</v>
      </c>
      <c r="Q67" s="676">
        <f>'FOOD COST PRODUCT'!G66</f>
        <v>0.7485740591122777</v>
      </c>
      <c r="R67" s="677">
        <f t="shared" si="2"/>
        <v>0</v>
      </c>
      <c r="S67" s="693">
        <v>13000</v>
      </c>
      <c r="U67" s="679">
        <f t="shared" si="3"/>
        <v>0</v>
      </c>
      <c r="V67" s="679">
        <f t="shared" si="4"/>
        <v>0</v>
      </c>
      <c r="W67" s="679">
        <f t="shared" si="5"/>
        <v>0</v>
      </c>
      <c r="X67" s="679">
        <f t="shared" si="6"/>
        <v>0</v>
      </c>
      <c r="Y67" s="679">
        <f t="shared" si="7"/>
        <v>0</v>
      </c>
      <c r="Z67" s="679">
        <f t="shared" si="8"/>
        <v>0</v>
      </c>
      <c r="AA67" s="679">
        <f t="shared" si="9"/>
        <v>0</v>
      </c>
      <c r="AB67" s="679">
        <f t="shared" si="10"/>
        <v>0</v>
      </c>
      <c r="AC67" s="679">
        <f t="shared" si="11"/>
        <v>0</v>
      </c>
      <c r="AD67" s="679">
        <f t="shared" si="12"/>
        <v>0</v>
      </c>
      <c r="AE67" s="610"/>
    </row>
    <row r="68" spans="1:33" ht="24.95" customHeight="1" x14ac:dyDescent="0.2">
      <c r="A68" s="667">
        <v>61</v>
      </c>
      <c r="B68" s="692"/>
      <c r="C68" s="681" t="s">
        <v>510</v>
      </c>
      <c r="D68" s="682"/>
      <c r="E68" s="683"/>
      <c r="F68" s="682"/>
      <c r="G68" s="683"/>
      <c r="H68" s="682"/>
      <c r="I68" s="683"/>
      <c r="J68" s="682"/>
      <c r="K68" s="683"/>
      <c r="L68" s="682"/>
      <c r="M68" s="684"/>
      <c r="N68" s="673">
        <f t="shared" si="0"/>
        <v>0</v>
      </c>
      <c r="O68" s="674">
        <f t="shared" si="1"/>
        <v>0</v>
      </c>
      <c r="P68" s="686">
        <f>(O68/O112)*100</f>
        <v>0</v>
      </c>
      <c r="Q68" s="676">
        <f>'FOOD COST PRODUCT'!G67</f>
        <v>0.6474308512306407</v>
      </c>
      <c r="R68" s="677">
        <f t="shared" si="2"/>
        <v>0</v>
      </c>
      <c r="S68" s="695">
        <v>15000</v>
      </c>
      <c r="U68" s="679">
        <f t="shared" si="3"/>
        <v>0</v>
      </c>
      <c r="V68" s="679">
        <f t="shared" si="4"/>
        <v>0</v>
      </c>
      <c r="W68" s="679">
        <f t="shared" si="5"/>
        <v>0</v>
      </c>
      <c r="X68" s="679">
        <f t="shared" si="6"/>
        <v>0</v>
      </c>
      <c r="Y68" s="679">
        <f t="shared" si="7"/>
        <v>0</v>
      </c>
      <c r="Z68" s="679">
        <f t="shared" si="8"/>
        <v>0</v>
      </c>
      <c r="AA68" s="679">
        <f t="shared" si="9"/>
        <v>0</v>
      </c>
      <c r="AB68" s="679">
        <f t="shared" si="10"/>
        <v>0</v>
      </c>
      <c r="AC68" s="679">
        <f t="shared" si="11"/>
        <v>0</v>
      </c>
      <c r="AD68" s="679">
        <f t="shared" si="12"/>
        <v>0</v>
      </c>
      <c r="AE68" s="610"/>
    </row>
    <row r="69" spans="1:33" ht="24.95" customHeight="1" thickBot="1" x14ac:dyDescent="0.25">
      <c r="A69" s="667">
        <v>62</v>
      </c>
      <c r="B69" s="696"/>
      <c r="C69" s="697" t="s">
        <v>1038</v>
      </c>
      <c r="D69" s="698"/>
      <c r="E69" s="699">
        <v>1</v>
      </c>
      <c r="F69" s="698">
        <v>2</v>
      </c>
      <c r="G69" s="699"/>
      <c r="H69" s="698"/>
      <c r="I69" s="699">
        <v>1</v>
      </c>
      <c r="J69" s="698"/>
      <c r="K69" s="699"/>
      <c r="L69" s="698"/>
      <c r="M69" s="700"/>
      <c r="N69" s="701">
        <f>SUM(D69:M69)</f>
        <v>4</v>
      </c>
      <c r="O69" s="702">
        <f t="shared" si="1"/>
        <v>88000</v>
      </c>
      <c r="P69" s="703">
        <f>(O69/O112)*100</f>
        <v>0.32126754650165196</v>
      </c>
      <c r="Q69" s="1113"/>
      <c r="R69" s="1114">
        <f t="shared" si="2"/>
        <v>0</v>
      </c>
      <c r="S69" s="705">
        <v>22000</v>
      </c>
      <c r="U69" s="679">
        <f t="shared" si="3"/>
        <v>0</v>
      </c>
      <c r="V69" s="679">
        <f t="shared" si="4"/>
        <v>22000</v>
      </c>
      <c r="W69" s="679">
        <f t="shared" si="5"/>
        <v>44000</v>
      </c>
      <c r="X69" s="679">
        <f t="shared" si="6"/>
        <v>0</v>
      </c>
      <c r="Y69" s="679">
        <f t="shared" si="7"/>
        <v>0</v>
      </c>
      <c r="Z69" s="679">
        <f t="shared" si="8"/>
        <v>22000</v>
      </c>
      <c r="AA69" s="679">
        <f t="shared" si="9"/>
        <v>0</v>
      </c>
      <c r="AB69" s="679">
        <f t="shared" si="10"/>
        <v>0</v>
      </c>
      <c r="AC69" s="679">
        <f t="shared" si="11"/>
        <v>0</v>
      </c>
      <c r="AD69" s="679">
        <f t="shared" si="12"/>
        <v>0</v>
      </c>
      <c r="AE69" s="610"/>
      <c r="AF69" s="1458"/>
      <c r="AG69" s="1458"/>
    </row>
    <row r="70" spans="1:33" ht="24.95" customHeight="1" x14ac:dyDescent="0.2">
      <c r="A70" s="667">
        <v>63</v>
      </c>
      <c r="B70" s="706"/>
      <c r="C70" s="706" t="s">
        <v>987</v>
      </c>
      <c r="D70" s="670">
        <v>1</v>
      </c>
      <c r="E70" s="671">
        <v>3</v>
      </c>
      <c r="F70" s="670">
        <v>2</v>
      </c>
      <c r="G70" s="671">
        <v>3</v>
      </c>
      <c r="H70" s="670">
        <v>12</v>
      </c>
      <c r="I70" s="671">
        <v>7</v>
      </c>
      <c r="J70" s="670">
        <v>4</v>
      </c>
      <c r="K70" s="671"/>
      <c r="L70" s="670"/>
      <c r="M70" s="672"/>
      <c r="N70" s="673">
        <f t="shared" si="0"/>
        <v>32</v>
      </c>
      <c r="O70" s="674">
        <f t="shared" si="1"/>
        <v>1760000</v>
      </c>
      <c r="P70" s="675">
        <f>(O70/O112)*100</f>
        <v>6.4253509300330398</v>
      </c>
      <c r="Q70" s="694"/>
      <c r="R70" s="675">
        <f t="shared" si="2"/>
        <v>0</v>
      </c>
      <c r="S70" s="708">
        <v>55000</v>
      </c>
      <c r="U70" s="679">
        <f t="shared" si="3"/>
        <v>55000</v>
      </c>
      <c r="V70" s="679">
        <f t="shared" si="4"/>
        <v>165000</v>
      </c>
      <c r="W70" s="679">
        <f t="shared" si="5"/>
        <v>110000</v>
      </c>
      <c r="X70" s="679">
        <f t="shared" si="6"/>
        <v>165000</v>
      </c>
      <c r="Y70" s="679">
        <f t="shared" si="7"/>
        <v>660000</v>
      </c>
      <c r="Z70" s="679">
        <f t="shared" si="8"/>
        <v>385000</v>
      </c>
      <c r="AA70" s="679">
        <f t="shared" si="9"/>
        <v>220000</v>
      </c>
      <c r="AB70" s="679">
        <f t="shared" si="10"/>
        <v>0</v>
      </c>
      <c r="AC70" s="679">
        <f t="shared" si="11"/>
        <v>0</v>
      </c>
      <c r="AD70" s="679">
        <f t="shared" si="12"/>
        <v>0</v>
      </c>
      <c r="AE70" s="610"/>
    </row>
    <row r="71" spans="1:33" ht="24.95" customHeight="1" x14ac:dyDescent="0.2">
      <c r="A71" s="667">
        <v>64</v>
      </c>
      <c r="B71" s="692"/>
      <c r="C71" s="706" t="s">
        <v>988</v>
      </c>
      <c r="D71" s="682">
        <v>2</v>
      </c>
      <c r="E71" s="683">
        <v>1</v>
      </c>
      <c r="F71" s="682">
        <v>4</v>
      </c>
      <c r="G71" s="683">
        <v>4</v>
      </c>
      <c r="H71" s="682">
        <v>3</v>
      </c>
      <c r="I71" s="683">
        <v>2</v>
      </c>
      <c r="J71" s="682">
        <v>5</v>
      </c>
      <c r="K71" s="683"/>
      <c r="L71" s="682"/>
      <c r="M71" s="684"/>
      <c r="N71" s="673">
        <f t="shared" si="0"/>
        <v>21</v>
      </c>
      <c r="O71" s="674">
        <f t="shared" si="1"/>
        <v>1260000</v>
      </c>
      <c r="P71" s="686">
        <f>(O71/O112)*100</f>
        <v>4.5999671430918347</v>
      </c>
      <c r="Q71" s="690"/>
      <c r="R71" s="677">
        <f t="shared" si="2"/>
        <v>0</v>
      </c>
      <c r="S71" s="695">
        <v>60000</v>
      </c>
      <c r="U71" s="679">
        <f t="shared" si="3"/>
        <v>120000</v>
      </c>
      <c r="V71" s="679">
        <f t="shared" si="4"/>
        <v>60000</v>
      </c>
      <c r="W71" s="679">
        <f t="shared" si="5"/>
        <v>240000</v>
      </c>
      <c r="X71" s="679">
        <f t="shared" si="6"/>
        <v>240000</v>
      </c>
      <c r="Y71" s="679">
        <f t="shared" si="7"/>
        <v>180000</v>
      </c>
      <c r="Z71" s="679">
        <f t="shared" si="8"/>
        <v>120000</v>
      </c>
      <c r="AA71" s="679">
        <f t="shared" si="9"/>
        <v>300000</v>
      </c>
      <c r="AB71" s="679">
        <f t="shared" si="10"/>
        <v>0</v>
      </c>
      <c r="AC71" s="679">
        <f t="shared" si="11"/>
        <v>0</v>
      </c>
      <c r="AD71" s="679">
        <f t="shared" si="12"/>
        <v>0</v>
      </c>
      <c r="AE71" s="610"/>
    </row>
    <row r="72" spans="1:33" ht="24.95" customHeight="1" x14ac:dyDescent="0.2">
      <c r="A72" s="667">
        <v>65</v>
      </c>
      <c r="B72" s="692"/>
      <c r="C72" s="706" t="s">
        <v>989</v>
      </c>
      <c r="D72" s="682">
        <v>3</v>
      </c>
      <c r="E72" s="683">
        <v>6</v>
      </c>
      <c r="F72" s="682">
        <v>1</v>
      </c>
      <c r="G72" s="683"/>
      <c r="H72" s="682">
        <v>2</v>
      </c>
      <c r="I72" s="683">
        <v>1</v>
      </c>
      <c r="J72" s="682">
        <v>3</v>
      </c>
      <c r="K72" s="683"/>
      <c r="L72" s="682"/>
      <c r="M72" s="684"/>
      <c r="N72" s="673">
        <f t="shared" si="0"/>
        <v>16</v>
      </c>
      <c r="O72" s="674">
        <f t="shared" si="1"/>
        <v>1040000</v>
      </c>
      <c r="P72" s="686">
        <f>(O72/O112)*100</f>
        <v>3.7967982768377055</v>
      </c>
      <c r="Q72" s="690"/>
      <c r="R72" s="677">
        <f t="shared" si="2"/>
        <v>0</v>
      </c>
      <c r="S72" s="695">
        <v>65000</v>
      </c>
      <c r="U72" s="679">
        <f t="shared" si="3"/>
        <v>195000</v>
      </c>
      <c r="V72" s="679">
        <f t="shared" si="4"/>
        <v>390000</v>
      </c>
      <c r="W72" s="679">
        <f t="shared" si="5"/>
        <v>65000</v>
      </c>
      <c r="X72" s="679">
        <f t="shared" si="6"/>
        <v>0</v>
      </c>
      <c r="Y72" s="679">
        <f t="shared" si="7"/>
        <v>130000</v>
      </c>
      <c r="Z72" s="679">
        <f t="shared" si="8"/>
        <v>65000</v>
      </c>
      <c r="AA72" s="679">
        <f t="shared" si="9"/>
        <v>195000</v>
      </c>
      <c r="AB72" s="679">
        <f t="shared" si="10"/>
        <v>0</v>
      </c>
      <c r="AC72" s="679">
        <f t="shared" si="11"/>
        <v>0</v>
      </c>
      <c r="AD72" s="679">
        <f t="shared" si="12"/>
        <v>0</v>
      </c>
      <c r="AE72" s="610">
        <f>N72*2</f>
        <v>32</v>
      </c>
    </row>
    <row r="73" spans="1:33" ht="24.95" customHeight="1" x14ac:dyDescent="0.2">
      <c r="A73" s="667">
        <v>66</v>
      </c>
      <c r="B73" s="692"/>
      <c r="C73" s="706" t="s">
        <v>990</v>
      </c>
      <c r="D73" s="682"/>
      <c r="E73" s="683">
        <v>2</v>
      </c>
      <c r="F73" s="682">
        <v>1</v>
      </c>
      <c r="G73" s="683">
        <v>3</v>
      </c>
      <c r="H73" s="682"/>
      <c r="I73" s="683">
        <v>2</v>
      </c>
      <c r="J73" s="682"/>
      <c r="K73" s="683"/>
      <c r="L73" s="682"/>
      <c r="M73" s="684"/>
      <c r="N73" s="673">
        <f t="shared" si="0"/>
        <v>8</v>
      </c>
      <c r="O73" s="674">
        <f t="shared" si="1"/>
        <v>560000</v>
      </c>
      <c r="P73" s="686">
        <f>(O73/O112)*100</f>
        <v>2.0444298413741491</v>
      </c>
      <c r="Q73" s="690"/>
      <c r="R73" s="677">
        <f t="shared" si="2"/>
        <v>0</v>
      </c>
      <c r="S73" s="695">
        <v>70000</v>
      </c>
      <c r="U73" s="679">
        <f t="shared" si="3"/>
        <v>0</v>
      </c>
      <c r="V73" s="679">
        <f t="shared" si="4"/>
        <v>140000</v>
      </c>
      <c r="W73" s="679">
        <f t="shared" si="5"/>
        <v>70000</v>
      </c>
      <c r="X73" s="679">
        <f t="shared" si="6"/>
        <v>210000</v>
      </c>
      <c r="Y73" s="679">
        <f t="shared" si="7"/>
        <v>0</v>
      </c>
      <c r="Z73" s="679">
        <f t="shared" si="8"/>
        <v>140000</v>
      </c>
      <c r="AA73" s="679">
        <f t="shared" si="9"/>
        <v>0</v>
      </c>
      <c r="AB73" s="679">
        <f t="shared" si="10"/>
        <v>0</v>
      </c>
      <c r="AC73" s="679">
        <f t="shared" si="11"/>
        <v>0</v>
      </c>
      <c r="AD73" s="679">
        <f t="shared" si="12"/>
        <v>0</v>
      </c>
      <c r="AE73" s="610">
        <f>N73*2</f>
        <v>16</v>
      </c>
    </row>
    <row r="74" spans="1:33" ht="24.95" customHeight="1" x14ac:dyDescent="0.2">
      <c r="A74" s="667">
        <v>67</v>
      </c>
      <c r="B74" s="692"/>
      <c r="C74" s="706" t="s">
        <v>991</v>
      </c>
      <c r="D74" s="682"/>
      <c r="E74" s="683"/>
      <c r="F74" s="682"/>
      <c r="G74" s="683"/>
      <c r="H74" s="682">
        <v>1</v>
      </c>
      <c r="I74" s="683"/>
      <c r="J74" s="682">
        <v>3</v>
      </c>
      <c r="K74" s="683"/>
      <c r="L74" s="682"/>
      <c r="M74" s="684"/>
      <c r="N74" s="673">
        <f>SUM(D74:M74)*2</f>
        <v>8</v>
      </c>
      <c r="O74" s="674">
        <f t="shared" si="1"/>
        <v>960000</v>
      </c>
      <c r="P74" s="686">
        <f>(O74/O112)*100</f>
        <v>3.5047368709271125</v>
      </c>
      <c r="Q74" s="690"/>
      <c r="R74" s="677">
        <f t="shared" si="2"/>
        <v>0</v>
      </c>
      <c r="S74" s="688">
        <v>120000</v>
      </c>
      <c r="U74" s="679">
        <f t="shared" si="3"/>
        <v>0</v>
      </c>
      <c r="V74" s="679">
        <f t="shared" si="4"/>
        <v>0</v>
      </c>
      <c r="W74" s="679">
        <f t="shared" si="5"/>
        <v>0</v>
      </c>
      <c r="X74" s="679">
        <f t="shared" si="6"/>
        <v>0</v>
      </c>
      <c r="Y74" s="679">
        <f t="shared" si="7"/>
        <v>120000</v>
      </c>
      <c r="Z74" s="679">
        <f t="shared" si="8"/>
        <v>0</v>
      </c>
      <c r="AA74" s="679">
        <f t="shared" si="9"/>
        <v>360000</v>
      </c>
      <c r="AB74" s="679">
        <f t="shared" si="10"/>
        <v>0</v>
      </c>
      <c r="AC74" s="679">
        <f t="shared" si="11"/>
        <v>0</v>
      </c>
      <c r="AD74" s="679">
        <f t="shared" si="12"/>
        <v>0</v>
      </c>
      <c r="AE74" s="610">
        <f>N74*2</f>
        <v>16</v>
      </c>
    </row>
    <row r="75" spans="1:33" ht="24.95" customHeight="1" x14ac:dyDescent="0.2">
      <c r="A75" s="667">
        <v>68</v>
      </c>
      <c r="B75" s="692"/>
      <c r="C75" s="706" t="s">
        <v>992</v>
      </c>
      <c r="D75" s="682"/>
      <c r="E75" s="683"/>
      <c r="F75" s="682">
        <v>1</v>
      </c>
      <c r="G75" s="683">
        <v>1</v>
      </c>
      <c r="H75" s="682"/>
      <c r="I75" s="683"/>
      <c r="J75" s="682"/>
      <c r="K75" s="683"/>
      <c r="L75" s="682"/>
      <c r="M75" s="684"/>
      <c r="N75" s="673">
        <f>SUM(D75:M75)*2</f>
        <v>4</v>
      </c>
      <c r="O75" s="674">
        <f t="shared" si="1"/>
        <v>520000</v>
      </c>
      <c r="P75" s="686">
        <f>(O75/O112)*100</f>
        <v>1.8983991384188528</v>
      </c>
      <c r="Q75" s="690"/>
      <c r="R75" s="677">
        <f t="shared" si="2"/>
        <v>0</v>
      </c>
      <c r="S75" s="688">
        <v>130000</v>
      </c>
      <c r="U75" s="679">
        <f t="shared" si="3"/>
        <v>0</v>
      </c>
      <c r="V75" s="679">
        <f t="shared" si="4"/>
        <v>0</v>
      </c>
      <c r="W75" s="679">
        <f t="shared" si="5"/>
        <v>130000</v>
      </c>
      <c r="X75" s="679">
        <f t="shared" si="6"/>
        <v>130000</v>
      </c>
      <c r="Y75" s="679">
        <f t="shared" si="7"/>
        <v>0</v>
      </c>
      <c r="Z75" s="679">
        <f t="shared" si="8"/>
        <v>0</v>
      </c>
      <c r="AA75" s="679">
        <f t="shared" si="9"/>
        <v>0</v>
      </c>
      <c r="AB75" s="679">
        <f t="shared" si="10"/>
        <v>0</v>
      </c>
      <c r="AC75" s="679">
        <f t="shared" si="11"/>
        <v>0</v>
      </c>
      <c r="AD75" s="679">
        <f t="shared" si="12"/>
        <v>0</v>
      </c>
      <c r="AE75" s="610">
        <f>N75*2</f>
        <v>8</v>
      </c>
    </row>
    <row r="76" spans="1:33" ht="24.95" customHeight="1" x14ac:dyDescent="0.2">
      <c r="A76" s="667">
        <v>69</v>
      </c>
      <c r="B76" s="692"/>
      <c r="C76" s="709" t="s">
        <v>979</v>
      </c>
      <c r="D76" s="682">
        <v>6</v>
      </c>
      <c r="E76" s="683"/>
      <c r="F76" s="682">
        <v>3</v>
      </c>
      <c r="G76" s="683"/>
      <c r="H76" s="682"/>
      <c r="I76" s="683">
        <v>2</v>
      </c>
      <c r="J76" s="682"/>
      <c r="K76" s="683"/>
      <c r="L76" s="682"/>
      <c r="M76" s="684"/>
      <c r="N76" s="673">
        <f t="shared" si="0"/>
        <v>11</v>
      </c>
      <c r="O76" s="674">
        <f t="shared" si="1"/>
        <v>253000</v>
      </c>
      <c r="P76" s="686">
        <f>(O76/O112)*100</f>
        <v>0.92364419619224947</v>
      </c>
      <c r="Q76" s="690"/>
      <c r="R76" s="677">
        <f t="shared" si="2"/>
        <v>0</v>
      </c>
      <c r="S76" s="688">
        <v>23000</v>
      </c>
      <c r="U76" s="679">
        <f t="shared" ref="U76:U82" si="15">D76*S76</f>
        <v>138000</v>
      </c>
      <c r="V76" s="679">
        <f t="shared" ref="V76:V82" si="16">E76*S76</f>
        <v>0</v>
      </c>
      <c r="W76" s="679">
        <f t="shared" ref="W76:W82" si="17">F76*S76</f>
        <v>69000</v>
      </c>
      <c r="X76" s="679">
        <f t="shared" ref="X76:X82" si="18">G76*S76</f>
        <v>0</v>
      </c>
      <c r="Y76" s="679">
        <f t="shared" ref="Y76:Y82" si="19">H76*S76</f>
        <v>0</v>
      </c>
      <c r="Z76" s="679">
        <f t="shared" ref="Z76:Z82" si="20">I76*S76</f>
        <v>46000</v>
      </c>
      <c r="AA76" s="679">
        <f t="shared" ref="AA76:AA82" si="21">J76*S76</f>
        <v>0</v>
      </c>
      <c r="AB76" s="679">
        <f t="shared" ref="AB76:AB82" si="22">K76*S76</f>
        <v>0</v>
      </c>
      <c r="AC76" s="679">
        <f t="shared" ref="AC76:AC82" si="23">L76*S76</f>
        <v>0</v>
      </c>
      <c r="AD76" s="679">
        <f t="shared" ref="AD76:AD82" si="24">M76*S76</f>
        <v>0</v>
      </c>
      <c r="AE76" s="610"/>
    </row>
    <row r="77" spans="1:33" ht="24.95" customHeight="1" x14ac:dyDescent="0.2">
      <c r="A77" s="667">
        <v>70</v>
      </c>
      <c r="B77" s="692"/>
      <c r="C77" s="709" t="s">
        <v>980</v>
      </c>
      <c r="D77" s="682">
        <v>2</v>
      </c>
      <c r="E77" s="683"/>
      <c r="F77" s="682"/>
      <c r="G77" s="683"/>
      <c r="H77" s="682"/>
      <c r="I77" s="683"/>
      <c r="J77" s="682"/>
      <c r="K77" s="683"/>
      <c r="L77" s="682"/>
      <c r="M77" s="684"/>
      <c r="N77" s="673">
        <f t="shared" si="0"/>
        <v>2</v>
      </c>
      <c r="O77" s="674">
        <f t="shared" si="1"/>
        <v>42000</v>
      </c>
      <c r="P77" s="686">
        <f>(O77/O112)*100</f>
        <v>0.15333223810306118</v>
      </c>
      <c r="Q77" s="690"/>
      <c r="R77" s="677">
        <f t="shared" si="2"/>
        <v>0</v>
      </c>
      <c r="S77" s="688">
        <v>21000</v>
      </c>
      <c r="U77" s="679">
        <f t="shared" si="15"/>
        <v>42000</v>
      </c>
      <c r="V77" s="679">
        <f t="shared" si="16"/>
        <v>0</v>
      </c>
      <c r="W77" s="679">
        <f t="shared" si="17"/>
        <v>0</v>
      </c>
      <c r="X77" s="679">
        <f t="shared" si="18"/>
        <v>0</v>
      </c>
      <c r="Y77" s="679">
        <f t="shared" si="19"/>
        <v>0</v>
      </c>
      <c r="Z77" s="679">
        <f t="shared" si="20"/>
        <v>0</v>
      </c>
      <c r="AA77" s="679">
        <f t="shared" si="21"/>
        <v>0</v>
      </c>
      <c r="AB77" s="679">
        <f t="shared" si="22"/>
        <v>0</v>
      </c>
      <c r="AC77" s="679">
        <f t="shared" si="23"/>
        <v>0</v>
      </c>
      <c r="AD77" s="679">
        <f t="shared" si="24"/>
        <v>0</v>
      </c>
      <c r="AE77" s="610"/>
    </row>
    <row r="78" spans="1:33" ht="24.95" customHeight="1" x14ac:dyDescent="0.2">
      <c r="A78" s="667">
        <v>71</v>
      </c>
      <c r="B78" s="692"/>
      <c r="C78" s="709" t="s">
        <v>1006</v>
      </c>
      <c r="D78" s="682">
        <v>3</v>
      </c>
      <c r="E78" s="683">
        <v>4</v>
      </c>
      <c r="F78" s="682">
        <v>4</v>
      </c>
      <c r="G78" s="683">
        <v>4</v>
      </c>
      <c r="H78" s="682">
        <v>4</v>
      </c>
      <c r="I78" s="683">
        <v>1</v>
      </c>
      <c r="J78" s="682">
        <v>3</v>
      </c>
      <c r="K78" s="683"/>
      <c r="L78" s="682"/>
      <c r="M78" s="684"/>
      <c r="N78" s="673">
        <f t="shared" si="0"/>
        <v>23</v>
      </c>
      <c r="O78" s="674">
        <f t="shared" si="1"/>
        <v>345000</v>
      </c>
      <c r="P78" s="686">
        <f>(O78/O112)*100</f>
        <v>1.2595148129894311</v>
      </c>
      <c r="Q78" s="690"/>
      <c r="R78" s="677">
        <f t="shared" si="2"/>
        <v>0</v>
      </c>
      <c r="S78" s="688">
        <v>15000</v>
      </c>
      <c r="U78" s="679">
        <f t="shared" si="15"/>
        <v>45000</v>
      </c>
      <c r="V78" s="679">
        <f t="shared" si="16"/>
        <v>60000</v>
      </c>
      <c r="W78" s="679">
        <f t="shared" si="17"/>
        <v>60000</v>
      </c>
      <c r="X78" s="679">
        <f t="shared" si="18"/>
        <v>60000</v>
      </c>
      <c r="Y78" s="679">
        <f t="shared" si="19"/>
        <v>60000</v>
      </c>
      <c r="Z78" s="679">
        <f t="shared" si="20"/>
        <v>15000</v>
      </c>
      <c r="AA78" s="679">
        <f t="shared" si="21"/>
        <v>45000</v>
      </c>
      <c r="AB78" s="679">
        <f t="shared" si="22"/>
        <v>0</v>
      </c>
      <c r="AC78" s="679">
        <f t="shared" si="23"/>
        <v>0</v>
      </c>
      <c r="AD78" s="679">
        <f t="shared" si="24"/>
        <v>0</v>
      </c>
      <c r="AE78" s="610"/>
    </row>
    <row r="79" spans="1:33" ht="24.95" customHeight="1" x14ac:dyDescent="0.2">
      <c r="A79" s="667">
        <v>72</v>
      </c>
      <c r="B79" s="692"/>
      <c r="C79" s="709" t="s">
        <v>985</v>
      </c>
      <c r="D79" s="682">
        <v>13</v>
      </c>
      <c r="E79" s="683">
        <v>8</v>
      </c>
      <c r="F79" s="682">
        <v>8</v>
      </c>
      <c r="G79" s="683">
        <v>12</v>
      </c>
      <c r="H79" s="682">
        <v>7</v>
      </c>
      <c r="I79" s="683">
        <v>17</v>
      </c>
      <c r="J79" s="682">
        <v>8</v>
      </c>
      <c r="K79" s="683"/>
      <c r="L79" s="682"/>
      <c r="M79" s="684"/>
      <c r="N79" s="673">
        <f>SUM(D79:M79)</f>
        <v>73</v>
      </c>
      <c r="O79" s="674">
        <f t="shared" ref="O79:O82" si="25">N79*S79</f>
        <v>876000</v>
      </c>
      <c r="P79" s="686">
        <f>(O79/O112)*100</f>
        <v>3.1980723947209904</v>
      </c>
      <c r="Q79" s="690"/>
      <c r="R79" s="677">
        <f>P79*Q79</f>
        <v>0</v>
      </c>
      <c r="S79" s="688">
        <v>12000</v>
      </c>
      <c r="U79" s="679">
        <f t="shared" si="15"/>
        <v>156000</v>
      </c>
      <c r="V79" s="679">
        <f t="shared" si="16"/>
        <v>96000</v>
      </c>
      <c r="W79" s="679">
        <f t="shared" si="17"/>
        <v>96000</v>
      </c>
      <c r="X79" s="679">
        <f t="shared" si="18"/>
        <v>144000</v>
      </c>
      <c r="Y79" s="679">
        <f t="shared" si="19"/>
        <v>84000</v>
      </c>
      <c r="Z79" s="679">
        <f t="shared" si="20"/>
        <v>204000</v>
      </c>
      <c r="AA79" s="679">
        <f t="shared" si="21"/>
        <v>96000</v>
      </c>
      <c r="AB79" s="679">
        <f t="shared" si="22"/>
        <v>0</v>
      </c>
      <c r="AC79" s="679">
        <f t="shared" si="23"/>
        <v>0</v>
      </c>
      <c r="AD79" s="679">
        <f t="shared" si="24"/>
        <v>0</v>
      </c>
      <c r="AE79" s="610"/>
    </row>
    <row r="80" spans="1:33" ht="24.95" customHeight="1" x14ac:dyDescent="0.2">
      <c r="A80" s="667">
        <v>73</v>
      </c>
      <c r="B80" s="692"/>
      <c r="C80" s="709" t="s">
        <v>986</v>
      </c>
      <c r="D80" s="682">
        <v>9</v>
      </c>
      <c r="E80" s="710">
        <v>11</v>
      </c>
      <c r="F80" s="687">
        <v>9</v>
      </c>
      <c r="G80" s="710">
        <v>12</v>
      </c>
      <c r="H80" s="687">
        <v>19</v>
      </c>
      <c r="I80" s="710">
        <v>8</v>
      </c>
      <c r="J80" s="687">
        <v>14</v>
      </c>
      <c r="K80" s="710"/>
      <c r="L80" s="687"/>
      <c r="M80" s="711"/>
      <c r="N80" s="712">
        <f>SUM(D80:M80)</f>
        <v>82</v>
      </c>
      <c r="O80" s="674">
        <f t="shared" si="25"/>
        <v>1230000</v>
      </c>
      <c r="P80" s="686">
        <f>(O80/O112)*100</f>
        <v>4.4904441158753627</v>
      </c>
      <c r="Q80" s="694"/>
      <c r="R80" s="677">
        <f>P80*Q80</f>
        <v>0</v>
      </c>
      <c r="S80" s="713">
        <v>15000</v>
      </c>
      <c r="U80" s="679">
        <f t="shared" si="15"/>
        <v>135000</v>
      </c>
      <c r="V80" s="679">
        <f t="shared" si="16"/>
        <v>165000</v>
      </c>
      <c r="W80" s="679">
        <f t="shared" si="17"/>
        <v>135000</v>
      </c>
      <c r="X80" s="679">
        <f t="shared" si="18"/>
        <v>180000</v>
      </c>
      <c r="Y80" s="679">
        <f t="shared" si="19"/>
        <v>285000</v>
      </c>
      <c r="Z80" s="679">
        <f t="shared" si="20"/>
        <v>120000</v>
      </c>
      <c r="AA80" s="679">
        <f t="shared" si="21"/>
        <v>210000</v>
      </c>
      <c r="AB80" s="679">
        <f t="shared" si="22"/>
        <v>0</v>
      </c>
      <c r="AC80" s="679">
        <f t="shared" si="23"/>
        <v>0</v>
      </c>
      <c r="AD80" s="679">
        <f t="shared" si="24"/>
        <v>0</v>
      </c>
      <c r="AE80" s="610"/>
    </row>
    <row r="81" spans="1:31" ht="24.95" customHeight="1" x14ac:dyDescent="0.2">
      <c r="A81" s="667">
        <v>74</v>
      </c>
      <c r="B81" s="706"/>
      <c r="C81" s="714" t="s">
        <v>1005</v>
      </c>
      <c r="D81" s="670">
        <v>1</v>
      </c>
      <c r="E81" s="683"/>
      <c r="F81" s="682"/>
      <c r="G81" s="683">
        <v>1</v>
      </c>
      <c r="H81" s="682">
        <v>3</v>
      </c>
      <c r="I81" s="683">
        <v>1</v>
      </c>
      <c r="J81" s="682">
        <v>4</v>
      </c>
      <c r="K81" s="683"/>
      <c r="L81" s="682"/>
      <c r="M81" s="684"/>
      <c r="N81" s="715">
        <f>SUM(D81:M81)</f>
        <v>10</v>
      </c>
      <c r="O81" s="674">
        <f t="shared" si="25"/>
        <v>110000</v>
      </c>
      <c r="P81" s="686">
        <f>(O81/O112)*100</f>
        <v>0.40158443312706499</v>
      </c>
      <c r="Q81" s="690"/>
      <c r="R81" s="677">
        <f>P81*Q81</f>
        <v>0</v>
      </c>
      <c r="S81" s="716">
        <v>11000</v>
      </c>
      <c r="U81" s="679">
        <f t="shared" si="15"/>
        <v>11000</v>
      </c>
      <c r="V81" s="679">
        <f t="shared" si="16"/>
        <v>0</v>
      </c>
      <c r="W81" s="679">
        <f t="shared" si="17"/>
        <v>0</v>
      </c>
      <c r="X81" s="679">
        <f t="shared" si="18"/>
        <v>11000</v>
      </c>
      <c r="Y81" s="679">
        <f t="shared" si="19"/>
        <v>33000</v>
      </c>
      <c r="Z81" s="679">
        <f t="shared" si="20"/>
        <v>11000</v>
      </c>
      <c r="AA81" s="679">
        <f t="shared" si="21"/>
        <v>44000</v>
      </c>
      <c r="AB81" s="679">
        <f t="shared" si="22"/>
        <v>0</v>
      </c>
      <c r="AC81" s="679">
        <f t="shared" si="23"/>
        <v>0</v>
      </c>
      <c r="AD81" s="679">
        <f t="shared" si="24"/>
        <v>0</v>
      </c>
      <c r="AE81" s="610"/>
    </row>
    <row r="82" spans="1:31" ht="24.95" customHeight="1" thickBot="1" x14ac:dyDescent="0.25">
      <c r="A82" s="667">
        <v>75</v>
      </c>
      <c r="B82" s="692"/>
      <c r="C82" s="692" t="s">
        <v>1007</v>
      </c>
      <c r="D82" s="682">
        <v>5</v>
      </c>
      <c r="E82" s="683">
        <v>5</v>
      </c>
      <c r="F82" s="682">
        <v>2</v>
      </c>
      <c r="G82" s="683">
        <v>4</v>
      </c>
      <c r="H82" s="682">
        <v>12</v>
      </c>
      <c r="I82" s="683">
        <v>5</v>
      </c>
      <c r="J82" s="682">
        <v>4</v>
      </c>
      <c r="K82" s="683"/>
      <c r="L82" s="682"/>
      <c r="M82" s="684"/>
      <c r="N82" s="673">
        <f>SUM(D82:M82)</f>
        <v>37</v>
      </c>
      <c r="O82" s="674">
        <f t="shared" si="25"/>
        <v>740000</v>
      </c>
      <c r="P82" s="686">
        <f>(O82/O112)*100</f>
        <v>2.7015680046729824</v>
      </c>
      <c r="Q82" s="717"/>
      <c r="R82" s="704">
        <f>P82*Q82</f>
        <v>0</v>
      </c>
      <c r="S82" s="689">
        <v>20000</v>
      </c>
      <c r="U82" s="679">
        <f t="shared" si="15"/>
        <v>100000</v>
      </c>
      <c r="V82" s="679">
        <f t="shared" si="16"/>
        <v>100000</v>
      </c>
      <c r="W82" s="679">
        <f t="shared" si="17"/>
        <v>40000</v>
      </c>
      <c r="X82" s="679">
        <f t="shared" si="18"/>
        <v>80000</v>
      </c>
      <c r="Y82" s="679">
        <f t="shared" si="19"/>
        <v>240000</v>
      </c>
      <c r="Z82" s="679">
        <f t="shared" si="20"/>
        <v>100000</v>
      </c>
      <c r="AA82" s="679">
        <f t="shared" si="21"/>
        <v>80000</v>
      </c>
      <c r="AB82" s="679">
        <f t="shared" si="22"/>
        <v>0</v>
      </c>
      <c r="AC82" s="679">
        <f t="shared" si="23"/>
        <v>0</v>
      </c>
      <c r="AD82" s="679">
        <f t="shared" si="24"/>
        <v>0</v>
      </c>
      <c r="AE82" s="610"/>
    </row>
    <row r="83" spans="1:31" ht="99.95" customHeight="1" thickBot="1" x14ac:dyDescent="0.25">
      <c r="A83" s="718"/>
      <c r="B83" s="459" t="s">
        <v>340</v>
      </c>
      <c r="C83" s="719" t="str">
        <f>B83</f>
        <v>TOTAL FOOD</v>
      </c>
      <c r="D83" s="720">
        <f t="shared" ref="D83:M83" si="26">U83</f>
        <v>4308000</v>
      </c>
      <c r="E83" s="720">
        <f t="shared" si="26"/>
        <v>3471000</v>
      </c>
      <c r="F83" s="720">
        <f>W83</f>
        <v>3141500</v>
      </c>
      <c r="G83" s="720">
        <f t="shared" si="26"/>
        <v>3371000</v>
      </c>
      <c r="H83" s="720">
        <f t="shared" si="26"/>
        <v>4822500</v>
      </c>
      <c r="I83" s="720">
        <f t="shared" si="26"/>
        <v>3918000</v>
      </c>
      <c r="J83" s="720">
        <f t="shared" si="26"/>
        <v>3591500</v>
      </c>
      <c r="K83" s="720">
        <f t="shared" si="26"/>
        <v>0</v>
      </c>
      <c r="L83" s="720">
        <f t="shared" si="26"/>
        <v>0</v>
      </c>
      <c r="M83" s="720">
        <f t="shared" si="26"/>
        <v>0</v>
      </c>
      <c r="N83" s="721"/>
      <c r="O83" s="722">
        <f>SUM(D83:M83)</f>
        <v>26623500</v>
      </c>
      <c r="P83" s="723">
        <f>SUM(P8:P82)/100</f>
        <v>0.9989777850793129</v>
      </c>
      <c r="Q83" s="724"/>
      <c r="R83" s="725">
        <f>SUM(R8:R82)/100</f>
        <v>0.58610976576143781</v>
      </c>
      <c r="S83" s="726"/>
      <c r="U83" s="727">
        <f t="shared" ref="U83:AD83" si="27">SUM(U8:U82)</f>
        <v>4308000</v>
      </c>
      <c r="V83" s="727">
        <f t="shared" si="27"/>
        <v>3471000</v>
      </c>
      <c r="W83" s="727">
        <f t="shared" si="27"/>
        <v>3141500</v>
      </c>
      <c r="X83" s="727">
        <f t="shared" si="27"/>
        <v>3371000</v>
      </c>
      <c r="Y83" s="727">
        <f t="shared" si="27"/>
        <v>4822500</v>
      </c>
      <c r="Z83" s="727">
        <f t="shared" si="27"/>
        <v>3918000</v>
      </c>
      <c r="AA83" s="727">
        <f t="shared" si="27"/>
        <v>3591500</v>
      </c>
      <c r="AB83" s="727">
        <f t="shared" si="27"/>
        <v>0</v>
      </c>
      <c r="AC83" s="727">
        <f t="shared" si="27"/>
        <v>0</v>
      </c>
      <c r="AD83" s="727">
        <f t="shared" si="27"/>
        <v>0</v>
      </c>
      <c r="AE83" s="610"/>
    </row>
    <row r="84" spans="1:31" ht="45" customHeight="1" thickBot="1" x14ac:dyDescent="0.25">
      <c r="A84" s="162"/>
      <c r="B84" s="162"/>
      <c r="C84" s="162"/>
      <c r="D84" s="728"/>
      <c r="E84" s="728"/>
      <c r="F84" s="728"/>
      <c r="G84" s="728"/>
      <c r="H84" s="728"/>
      <c r="I84" s="728"/>
      <c r="J84" s="728"/>
      <c r="K84" s="729"/>
      <c r="L84" s="729"/>
      <c r="M84" s="729"/>
      <c r="N84" s="729"/>
      <c r="O84" s="729"/>
      <c r="P84" s="658"/>
      <c r="Q84" s="730"/>
      <c r="R84" s="731"/>
      <c r="S84" s="729"/>
      <c r="U84" s="732"/>
      <c r="V84" s="732"/>
      <c r="W84" s="732"/>
      <c r="X84" s="732"/>
      <c r="Y84" s="732"/>
      <c r="Z84" s="732"/>
      <c r="AA84" s="732"/>
      <c r="AB84" s="610"/>
      <c r="AC84" s="610"/>
      <c r="AD84" s="610"/>
      <c r="AE84" s="610"/>
    </row>
    <row r="85" spans="1:31" ht="45" customHeight="1" thickBot="1" x14ac:dyDescent="0.35">
      <c r="A85" s="459" t="s">
        <v>89</v>
      </c>
      <c r="B85" s="459" t="s">
        <v>511</v>
      </c>
      <c r="C85" s="719" t="str">
        <f>B85</f>
        <v>BEVERAGES</v>
      </c>
      <c r="D85" s="733">
        <v>1</v>
      </c>
      <c r="E85" s="733">
        <v>2</v>
      </c>
      <c r="F85" s="733">
        <v>3</v>
      </c>
      <c r="G85" s="733">
        <v>4</v>
      </c>
      <c r="H85" s="733">
        <v>5</v>
      </c>
      <c r="I85" s="733">
        <v>6</v>
      </c>
      <c r="J85" s="733">
        <v>7</v>
      </c>
      <c r="K85" s="733"/>
      <c r="L85" s="733"/>
      <c r="M85" s="733"/>
      <c r="N85" s="734"/>
      <c r="O85" s="734"/>
      <c r="P85" s="735"/>
      <c r="Q85" s="736"/>
      <c r="R85" s="737"/>
      <c r="S85" s="734"/>
      <c r="U85" s="732"/>
      <c r="V85" s="732"/>
      <c r="W85" s="732"/>
      <c r="X85" s="732"/>
      <c r="Y85" s="732"/>
      <c r="Z85" s="732"/>
      <c r="AA85" s="732"/>
      <c r="AB85" s="732"/>
      <c r="AC85" s="610"/>
      <c r="AD85" s="610"/>
      <c r="AE85" s="610"/>
    </row>
    <row r="86" spans="1:31" ht="24.95" customHeight="1" x14ac:dyDescent="0.3">
      <c r="A86" s="738">
        <v>1</v>
      </c>
      <c r="B86" s="739" t="s">
        <v>512</v>
      </c>
      <c r="C86" s="740" t="str">
        <f>B86</f>
        <v xml:space="preserve">Air Mineral Botol </v>
      </c>
      <c r="D86" s="741">
        <v>5</v>
      </c>
      <c r="E86" s="742">
        <v>1</v>
      </c>
      <c r="F86" s="743">
        <v>3</v>
      </c>
      <c r="G86" s="742">
        <v>2</v>
      </c>
      <c r="H86" s="743">
        <v>2</v>
      </c>
      <c r="I86" s="742">
        <v>5</v>
      </c>
      <c r="J86" s="743">
        <v>4</v>
      </c>
      <c r="K86" s="742"/>
      <c r="L86" s="743"/>
      <c r="M86" s="742"/>
      <c r="N86" s="744">
        <f>SUM(D86:M86)</f>
        <v>22</v>
      </c>
      <c r="O86" s="745">
        <f t="shared" ref="O86:O110" si="28">N86*S86</f>
        <v>88000</v>
      </c>
      <c r="P86" s="746">
        <f>(O86/O112)*100</f>
        <v>0.32126754650165196</v>
      </c>
      <c r="Q86" s="747">
        <f>'FOOD COST PRODUCT'!G76</f>
        <v>0.4375</v>
      </c>
      <c r="R86" s="707">
        <f>P86*Q86</f>
        <v>0.14055455159447272</v>
      </c>
      <c r="S86" s="741">
        <v>4000</v>
      </c>
      <c r="U86" s="679">
        <f>D86*S86</f>
        <v>20000</v>
      </c>
      <c r="V86" s="679">
        <f>E86*S86</f>
        <v>4000</v>
      </c>
      <c r="W86" s="679">
        <f>F86*S86</f>
        <v>12000</v>
      </c>
      <c r="X86" s="679">
        <f>G86*S86</f>
        <v>8000</v>
      </c>
      <c r="Y86" s="679">
        <f>H86*S86</f>
        <v>8000</v>
      </c>
      <c r="Z86" s="679">
        <f>I86*S86</f>
        <v>20000</v>
      </c>
      <c r="AA86" s="679">
        <f>J86*S86</f>
        <v>16000</v>
      </c>
      <c r="AB86" s="748">
        <f>K86*S86</f>
        <v>0</v>
      </c>
      <c r="AC86" s="679">
        <f>L86*S86</f>
        <v>0</v>
      </c>
      <c r="AD86" s="679">
        <f>M86*S86</f>
        <v>0</v>
      </c>
      <c r="AE86" s="610"/>
    </row>
    <row r="87" spans="1:31" ht="24.95" customHeight="1" x14ac:dyDescent="0.3">
      <c r="A87" s="749">
        <v>2</v>
      </c>
      <c r="B87" s="750" t="s">
        <v>513</v>
      </c>
      <c r="C87" s="740" t="str">
        <f>B87</f>
        <v>Air Mineral Cup</v>
      </c>
      <c r="D87" s="741"/>
      <c r="E87" s="742"/>
      <c r="F87" s="743"/>
      <c r="G87" s="742"/>
      <c r="H87" s="743"/>
      <c r="I87" s="742"/>
      <c r="J87" s="743"/>
      <c r="K87" s="742"/>
      <c r="L87" s="743"/>
      <c r="M87" s="742"/>
      <c r="N87" s="744">
        <f t="shared" ref="N87:N110" si="29">SUM(D87:M87)</f>
        <v>0</v>
      </c>
      <c r="O87" s="745">
        <f t="shared" si="28"/>
        <v>0</v>
      </c>
      <c r="P87" s="746">
        <f>(O87/O112)*100</f>
        <v>0</v>
      </c>
      <c r="Q87" s="747">
        <f>'FOOD COST PRODUCT'!G77</f>
        <v>0</v>
      </c>
      <c r="R87" s="677">
        <f>P87*Q87</f>
        <v>0</v>
      </c>
      <c r="S87" s="752">
        <v>2000</v>
      </c>
      <c r="T87" s="63" t="s">
        <v>112</v>
      </c>
      <c r="U87" s="679">
        <f t="shared" ref="U87:U110" si="30">D87*S87</f>
        <v>0</v>
      </c>
      <c r="V87" s="679">
        <f t="shared" ref="V87:V110" si="31">E87*S87</f>
        <v>0</v>
      </c>
      <c r="W87" s="679">
        <f t="shared" ref="W87:W110" si="32">F87*S87</f>
        <v>0</v>
      </c>
      <c r="X87" s="679">
        <f t="shared" ref="X87:X110" si="33">G87*S87</f>
        <v>0</v>
      </c>
      <c r="Y87" s="679">
        <f t="shared" ref="Y87:Y110" si="34">H87*S87</f>
        <v>0</v>
      </c>
      <c r="Z87" s="679">
        <f t="shared" ref="Z87:Z110" si="35">I87*S87</f>
        <v>0</v>
      </c>
      <c r="AA87" s="679">
        <f t="shared" ref="AA87:AA110" si="36">J87*S87</f>
        <v>0</v>
      </c>
      <c r="AB87" s="679">
        <f t="shared" ref="AB87:AB110" si="37">K87*S87</f>
        <v>0</v>
      </c>
      <c r="AC87" s="679">
        <f t="shared" ref="AC87:AC110" si="38">L87*S87</f>
        <v>0</v>
      </c>
      <c r="AD87" s="679">
        <f t="shared" ref="AD87:AD110" si="39">M87*S87</f>
        <v>0</v>
      </c>
      <c r="AE87" s="610"/>
    </row>
    <row r="88" spans="1:31" ht="24.95" customHeight="1" x14ac:dyDescent="0.3">
      <c r="A88" s="749">
        <v>3</v>
      </c>
      <c r="B88" s="750" t="s">
        <v>514</v>
      </c>
      <c r="C88" s="740" t="str">
        <f>B88</f>
        <v>Teh Botol</v>
      </c>
      <c r="D88" s="741">
        <v>2</v>
      </c>
      <c r="E88" s="742"/>
      <c r="F88" s="743"/>
      <c r="G88" s="742">
        <v>1</v>
      </c>
      <c r="H88" s="743"/>
      <c r="I88" s="742"/>
      <c r="J88" s="743">
        <v>4</v>
      </c>
      <c r="K88" s="742"/>
      <c r="L88" s="743"/>
      <c r="M88" s="742"/>
      <c r="N88" s="744">
        <f t="shared" si="29"/>
        <v>7</v>
      </c>
      <c r="O88" s="745">
        <f t="shared" si="28"/>
        <v>49000</v>
      </c>
      <c r="P88" s="746">
        <f>(O88/O112)*100</f>
        <v>0.17888761112023802</v>
      </c>
      <c r="Q88" s="747">
        <f>'FOOD COST PRODUCT'!G78</f>
        <v>0.35714285714285715</v>
      </c>
      <c r="R88" s="677">
        <f t="shared" ref="R88:R110" si="40">P88*Q88</f>
        <v>6.3888432542942145E-2</v>
      </c>
      <c r="S88" s="753">
        <v>7000</v>
      </c>
      <c r="U88" s="679">
        <f t="shared" si="30"/>
        <v>14000</v>
      </c>
      <c r="V88" s="679">
        <f t="shared" si="31"/>
        <v>0</v>
      </c>
      <c r="W88" s="679">
        <f t="shared" si="32"/>
        <v>0</v>
      </c>
      <c r="X88" s="679">
        <f t="shared" si="33"/>
        <v>7000</v>
      </c>
      <c r="Y88" s="679">
        <f t="shared" si="34"/>
        <v>0</v>
      </c>
      <c r="Z88" s="679">
        <f t="shared" si="35"/>
        <v>0</v>
      </c>
      <c r="AA88" s="679">
        <f t="shared" si="36"/>
        <v>28000</v>
      </c>
      <c r="AB88" s="679">
        <f t="shared" si="37"/>
        <v>0</v>
      </c>
      <c r="AC88" s="679">
        <f t="shared" si="38"/>
        <v>0</v>
      </c>
      <c r="AD88" s="679">
        <f t="shared" si="39"/>
        <v>0</v>
      </c>
      <c r="AE88" s="610"/>
    </row>
    <row r="89" spans="1:31" ht="24.95" customHeight="1" x14ac:dyDescent="0.3">
      <c r="A89" s="749">
        <v>4</v>
      </c>
      <c r="B89" s="750" t="s">
        <v>515</v>
      </c>
      <c r="C89" s="740" t="str">
        <f>B89</f>
        <v>Teh Sosro Genggam</v>
      </c>
      <c r="D89" s="741"/>
      <c r="E89" s="742"/>
      <c r="F89" s="743"/>
      <c r="G89" s="742"/>
      <c r="H89" s="743"/>
      <c r="I89" s="742"/>
      <c r="J89" s="743"/>
      <c r="K89" s="742"/>
      <c r="L89" s="743"/>
      <c r="M89" s="742"/>
      <c r="N89" s="744">
        <f t="shared" si="29"/>
        <v>0</v>
      </c>
      <c r="O89" s="745">
        <f t="shared" si="28"/>
        <v>0</v>
      </c>
      <c r="P89" s="746">
        <f>(O89/O112)*100</f>
        <v>0</v>
      </c>
      <c r="Q89" s="747">
        <f>'FOOD COST PRODUCT'!G79</f>
        <v>0.35714285714285715</v>
      </c>
      <c r="R89" s="677">
        <f t="shared" si="40"/>
        <v>0</v>
      </c>
      <c r="S89" s="753">
        <v>7000</v>
      </c>
      <c r="U89" s="679">
        <f t="shared" si="30"/>
        <v>0</v>
      </c>
      <c r="V89" s="679">
        <f t="shared" si="31"/>
        <v>0</v>
      </c>
      <c r="W89" s="679">
        <f t="shared" si="32"/>
        <v>0</v>
      </c>
      <c r="X89" s="679">
        <f t="shared" si="33"/>
        <v>0</v>
      </c>
      <c r="Y89" s="679">
        <f t="shared" si="34"/>
        <v>0</v>
      </c>
      <c r="Z89" s="679">
        <f t="shared" si="35"/>
        <v>0</v>
      </c>
      <c r="AA89" s="679">
        <f t="shared" si="36"/>
        <v>0</v>
      </c>
      <c r="AB89" s="679">
        <f t="shared" si="37"/>
        <v>0</v>
      </c>
      <c r="AC89" s="679">
        <f t="shared" si="38"/>
        <v>0</v>
      </c>
      <c r="AD89" s="679">
        <f t="shared" si="39"/>
        <v>0</v>
      </c>
      <c r="AE89" s="610"/>
    </row>
    <row r="90" spans="1:31" ht="24.95" customHeight="1" x14ac:dyDescent="0.3">
      <c r="A90" s="749">
        <v>5</v>
      </c>
      <c r="B90" s="750" t="s">
        <v>516</v>
      </c>
      <c r="C90" s="740"/>
      <c r="D90" s="754"/>
      <c r="E90" s="755"/>
      <c r="F90" s="753"/>
      <c r="G90" s="755"/>
      <c r="H90" s="753"/>
      <c r="I90" s="755"/>
      <c r="J90" s="753"/>
      <c r="K90" s="755"/>
      <c r="L90" s="753"/>
      <c r="M90" s="755"/>
      <c r="N90" s="744">
        <f t="shared" si="29"/>
        <v>0</v>
      </c>
      <c r="O90" s="745">
        <f t="shared" si="28"/>
        <v>0</v>
      </c>
      <c r="P90" s="756">
        <f>(O90/O112)*100</f>
        <v>0</v>
      </c>
      <c r="Q90" s="747">
        <f>'FOOD COST PRODUCT'!G80</f>
        <v>0</v>
      </c>
      <c r="R90" s="677">
        <f t="shared" si="40"/>
        <v>0</v>
      </c>
      <c r="S90" s="743"/>
      <c r="U90" s="679">
        <f t="shared" si="30"/>
        <v>0</v>
      </c>
      <c r="V90" s="679">
        <f t="shared" si="31"/>
        <v>0</v>
      </c>
      <c r="W90" s="679">
        <f t="shared" si="32"/>
        <v>0</v>
      </c>
      <c r="X90" s="679">
        <f t="shared" si="33"/>
        <v>0</v>
      </c>
      <c r="Y90" s="679">
        <f t="shared" si="34"/>
        <v>0</v>
      </c>
      <c r="Z90" s="679">
        <f t="shared" si="35"/>
        <v>0</v>
      </c>
      <c r="AA90" s="679">
        <f t="shared" si="36"/>
        <v>0</v>
      </c>
      <c r="AB90" s="679">
        <f t="shared" si="37"/>
        <v>0</v>
      </c>
      <c r="AC90" s="679">
        <f t="shared" si="38"/>
        <v>0</v>
      </c>
      <c r="AD90" s="679">
        <f t="shared" si="39"/>
        <v>0</v>
      </c>
      <c r="AE90" s="610"/>
    </row>
    <row r="91" spans="1:31" ht="24.95" customHeight="1" x14ac:dyDescent="0.3">
      <c r="A91" s="749">
        <v>6</v>
      </c>
      <c r="B91" s="750" t="s">
        <v>518</v>
      </c>
      <c r="C91" s="740" t="s">
        <v>519</v>
      </c>
      <c r="D91" s="754"/>
      <c r="E91" s="755"/>
      <c r="F91" s="753"/>
      <c r="G91" s="755"/>
      <c r="H91" s="753"/>
      <c r="I91" s="755"/>
      <c r="J91" s="753"/>
      <c r="K91" s="755"/>
      <c r="L91" s="753"/>
      <c r="M91" s="755"/>
      <c r="N91" s="744">
        <f t="shared" si="29"/>
        <v>0</v>
      </c>
      <c r="O91" s="745">
        <f t="shared" si="28"/>
        <v>0</v>
      </c>
      <c r="P91" s="756">
        <f>(O91/O112)*100</f>
        <v>0</v>
      </c>
      <c r="Q91" s="747">
        <f>'FOOD COST PRODUCT'!G81</f>
        <v>0</v>
      </c>
      <c r="R91" s="677">
        <f t="shared" si="40"/>
        <v>0</v>
      </c>
      <c r="S91" s="743">
        <v>6000</v>
      </c>
      <c r="U91" s="679">
        <f t="shared" si="30"/>
        <v>0</v>
      </c>
      <c r="V91" s="679">
        <f t="shared" si="31"/>
        <v>0</v>
      </c>
      <c r="W91" s="679">
        <f t="shared" si="32"/>
        <v>0</v>
      </c>
      <c r="X91" s="679">
        <f t="shared" si="33"/>
        <v>0</v>
      </c>
      <c r="Y91" s="679">
        <f t="shared" si="34"/>
        <v>0</v>
      </c>
      <c r="Z91" s="679">
        <f t="shared" si="35"/>
        <v>0</v>
      </c>
      <c r="AA91" s="679">
        <f t="shared" si="36"/>
        <v>0</v>
      </c>
      <c r="AB91" s="679">
        <f t="shared" si="37"/>
        <v>0</v>
      </c>
      <c r="AC91" s="679">
        <f t="shared" si="38"/>
        <v>0</v>
      </c>
      <c r="AD91" s="679">
        <f t="shared" si="39"/>
        <v>0</v>
      </c>
      <c r="AE91" s="610"/>
    </row>
    <row r="92" spans="1:31" ht="24.95" customHeight="1" x14ac:dyDescent="0.3">
      <c r="A92" s="749"/>
      <c r="B92" s="750" t="s">
        <v>520</v>
      </c>
      <c r="C92" s="740"/>
      <c r="D92" s="754"/>
      <c r="E92" s="755"/>
      <c r="F92" s="753"/>
      <c r="G92" s="755"/>
      <c r="H92" s="753"/>
      <c r="I92" s="755"/>
      <c r="J92" s="753"/>
      <c r="K92" s="755"/>
      <c r="L92" s="753"/>
      <c r="M92" s="755"/>
      <c r="N92" s="744"/>
      <c r="O92" s="745">
        <f t="shared" si="28"/>
        <v>0</v>
      </c>
      <c r="P92" s="756">
        <f>(O92/O112)*100</f>
        <v>0</v>
      </c>
      <c r="Q92" s="747"/>
      <c r="R92" s="677">
        <f t="shared" si="40"/>
        <v>0</v>
      </c>
      <c r="S92" s="757"/>
      <c r="U92" s="679">
        <f t="shared" si="30"/>
        <v>0</v>
      </c>
      <c r="V92" s="679">
        <f t="shared" si="31"/>
        <v>0</v>
      </c>
      <c r="W92" s="679">
        <f t="shared" si="32"/>
        <v>0</v>
      </c>
      <c r="X92" s="679">
        <f t="shared" si="33"/>
        <v>0</v>
      </c>
      <c r="Y92" s="679">
        <f t="shared" si="34"/>
        <v>0</v>
      </c>
      <c r="Z92" s="679">
        <f t="shared" si="35"/>
        <v>0</v>
      </c>
      <c r="AA92" s="679">
        <f t="shared" si="36"/>
        <v>0</v>
      </c>
      <c r="AB92" s="679">
        <f t="shared" si="37"/>
        <v>0</v>
      </c>
      <c r="AC92" s="679">
        <f t="shared" si="38"/>
        <v>0</v>
      </c>
      <c r="AD92" s="679">
        <f t="shared" si="39"/>
        <v>0</v>
      </c>
      <c r="AE92" s="610"/>
    </row>
    <row r="93" spans="1:31" ht="24.95" customHeight="1" x14ac:dyDescent="0.3">
      <c r="A93" s="749">
        <v>7</v>
      </c>
      <c r="B93" s="750" t="s">
        <v>521</v>
      </c>
      <c r="C93" s="740" t="s">
        <v>522</v>
      </c>
      <c r="D93" s="754">
        <v>3</v>
      </c>
      <c r="E93" s="755">
        <v>6</v>
      </c>
      <c r="F93" s="753"/>
      <c r="G93" s="755">
        <v>6</v>
      </c>
      <c r="H93" s="753">
        <v>4</v>
      </c>
      <c r="I93" s="755">
        <v>1</v>
      </c>
      <c r="J93" s="753">
        <v>2</v>
      </c>
      <c r="K93" s="755"/>
      <c r="L93" s="753"/>
      <c r="M93" s="755"/>
      <c r="N93" s="744">
        <f t="shared" si="29"/>
        <v>22</v>
      </c>
      <c r="O93" s="745">
        <f t="shared" si="28"/>
        <v>220000</v>
      </c>
      <c r="P93" s="756">
        <f>(O93/O112)*100</f>
        <v>0.80316886625412998</v>
      </c>
      <c r="Q93" s="747">
        <f>'FOOD COST PRODUCT'!G83</f>
        <v>0.38346838596491228</v>
      </c>
      <c r="R93" s="677">
        <f t="shared" si="40"/>
        <v>0.30798986879973972</v>
      </c>
      <c r="S93" s="753">
        <v>10000</v>
      </c>
      <c r="U93" s="679">
        <f t="shared" si="30"/>
        <v>30000</v>
      </c>
      <c r="V93" s="679">
        <f t="shared" si="31"/>
        <v>60000</v>
      </c>
      <c r="W93" s="679">
        <f t="shared" si="32"/>
        <v>0</v>
      </c>
      <c r="X93" s="679">
        <f t="shared" si="33"/>
        <v>60000</v>
      </c>
      <c r="Y93" s="679">
        <f t="shared" si="34"/>
        <v>40000</v>
      </c>
      <c r="Z93" s="679">
        <f t="shared" si="35"/>
        <v>10000</v>
      </c>
      <c r="AA93" s="679">
        <f t="shared" si="36"/>
        <v>20000</v>
      </c>
      <c r="AB93" s="679">
        <f t="shared" si="37"/>
        <v>0</v>
      </c>
      <c r="AC93" s="679">
        <f t="shared" si="38"/>
        <v>0</v>
      </c>
      <c r="AD93" s="679">
        <f t="shared" si="39"/>
        <v>0</v>
      </c>
      <c r="AE93" s="610"/>
    </row>
    <row r="94" spans="1:31" ht="24.95" customHeight="1" x14ac:dyDescent="0.3">
      <c r="A94" s="749">
        <v>8</v>
      </c>
      <c r="B94" s="750"/>
      <c r="C94" s="739" t="s">
        <v>523</v>
      </c>
      <c r="D94" s="754"/>
      <c r="E94" s="755"/>
      <c r="F94" s="753"/>
      <c r="G94" s="755"/>
      <c r="H94" s="753"/>
      <c r="I94" s="755"/>
      <c r="J94" s="753">
        <v>1</v>
      </c>
      <c r="K94" s="755"/>
      <c r="L94" s="753"/>
      <c r="M94" s="755"/>
      <c r="N94" s="744">
        <f t="shared" si="29"/>
        <v>1</v>
      </c>
      <c r="O94" s="745">
        <f t="shared" si="28"/>
        <v>8000</v>
      </c>
      <c r="P94" s="756">
        <f>(O94/O112)*100</f>
        <v>2.9206140591059273E-2</v>
      </c>
      <c r="Q94" s="747">
        <f>'FOOD COST PRODUCT'!G84</f>
        <v>0.35128858995893991</v>
      </c>
      <c r="R94" s="677">
        <f t="shared" si="40"/>
        <v>1.0259783946375773E-2</v>
      </c>
      <c r="S94" s="753">
        <v>8000</v>
      </c>
      <c r="U94" s="679">
        <f t="shared" si="30"/>
        <v>0</v>
      </c>
      <c r="V94" s="679">
        <f t="shared" si="31"/>
        <v>0</v>
      </c>
      <c r="W94" s="679">
        <f t="shared" si="32"/>
        <v>0</v>
      </c>
      <c r="X94" s="679">
        <f t="shared" si="33"/>
        <v>0</v>
      </c>
      <c r="Y94" s="679">
        <f t="shared" si="34"/>
        <v>0</v>
      </c>
      <c r="Z94" s="679">
        <f t="shared" si="35"/>
        <v>0</v>
      </c>
      <c r="AA94" s="679">
        <f t="shared" si="36"/>
        <v>8000</v>
      </c>
      <c r="AB94" s="679">
        <f t="shared" si="37"/>
        <v>0</v>
      </c>
      <c r="AC94" s="679">
        <f t="shared" si="38"/>
        <v>0</v>
      </c>
      <c r="AD94" s="679">
        <f t="shared" si="39"/>
        <v>0</v>
      </c>
      <c r="AE94" s="610"/>
    </row>
    <row r="95" spans="1:31" ht="24.95" customHeight="1" x14ac:dyDescent="0.3">
      <c r="A95" s="749">
        <v>9</v>
      </c>
      <c r="B95" s="750" t="s">
        <v>524</v>
      </c>
      <c r="C95" s="740" t="s">
        <v>525</v>
      </c>
      <c r="D95" s="754"/>
      <c r="E95" s="755"/>
      <c r="F95" s="753"/>
      <c r="G95" s="755">
        <v>1</v>
      </c>
      <c r="H95" s="753"/>
      <c r="I95" s="755"/>
      <c r="J95" s="753">
        <v>1</v>
      </c>
      <c r="K95" s="755"/>
      <c r="L95" s="753"/>
      <c r="M95" s="755"/>
      <c r="N95" s="744">
        <f t="shared" si="29"/>
        <v>2</v>
      </c>
      <c r="O95" s="745">
        <f t="shared" si="28"/>
        <v>16000</v>
      </c>
      <c r="P95" s="756">
        <f>(O95/O112)*100</f>
        <v>5.8412281182118546E-2</v>
      </c>
      <c r="Q95" s="747">
        <f>'FOOD COST PRODUCT'!G85</f>
        <v>0.37093291353383456</v>
      </c>
      <c r="R95" s="677">
        <f t="shared" si="40"/>
        <v>2.1667037645040809E-2</v>
      </c>
      <c r="S95" s="753">
        <v>8000</v>
      </c>
      <c r="U95" s="679">
        <f t="shared" si="30"/>
        <v>0</v>
      </c>
      <c r="V95" s="679">
        <f t="shared" si="31"/>
        <v>0</v>
      </c>
      <c r="W95" s="679">
        <f t="shared" si="32"/>
        <v>0</v>
      </c>
      <c r="X95" s="679">
        <f t="shared" si="33"/>
        <v>8000</v>
      </c>
      <c r="Y95" s="679">
        <f t="shared" si="34"/>
        <v>0</v>
      </c>
      <c r="Z95" s="679">
        <f t="shared" si="35"/>
        <v>0</v>
      </c>
      <c r="AA95" s="679">
        <f t="shared" si="36"/>
        <v>8000</v>
      </c>
      <c r="AB95" s="679">
        <f t="shared" si="37"/>
        <v>0</v>
      </c>
      <c r="AC95" s="679">
        <f t="shared" si="38"/>
        <v>0</v>
      </c>
      <c r="AD95" s="679">
        <f t="shared" si="39"/>
        <v>0</v>
      </c>
      <c r="AE95" s="610"/>
    </row>
    <row r="96" spans="1:31" ht="24.95" customHeight="1" x14ac:dyDescent="0.3">
      <c r="A96" s="749">
        <v>10</v>
      </c>
      <c r="B96" s="750" t="s">
        <v>526</v>
      </c>
      <c r="C96" s="740" t="s">
        <v>527</v>
      </c>
      <c r="D96" s="754"/>
      <c r="E96" s="755"/>
      <c r="F96" s="753"/>
      <c r="G96" s="755"/>
      <c r="H96" s="753"/>
      <c r="I96" s="755"/>
      <c r="J96" s="753"/>
      <c r="K96" s="755"/>
      <c r="L96" s="753"/>
      <c r="M96" s="755"/>
      <c r="N96" s="744">
        <f t="shared" si="29"/>
        <v>0</v>
      </c>
      <c r="O96" s="745">
        <f t="shared" si="28"/>
        <v>0</v>
      </c>
      <c r="P96" s="756">
        <f>(O96/O112)*100</f>
        <v>0</v>
      </c>
      <c r="Q96" s="747">
        <f>'FOOD COST PRODUCT'!G86</f>
        <v>0</v>
      </c>
      <c r="R96" s="677">
        <f t="shared" si="40"/>
        <v>0</v>
      </c>
      <c r="S96" s="753">
        <v>9000</v>
      </c>
      <c r="U96" s="679">
        <f t="shared" si="30"/>
        <v>0</v>
      </c>
      <c r="V96" s="679">
        <f t="shared" si="31"/>
        <v>0</v>
      </c>
      <c r="W96" s="679">
        <f t="shared" si="32"/>
        <v>0</v>
      </c>
      <c r="X96" s="679">
        <f t="shared" si="33"/>
        <v>0</v>
      </c>
      <c r="Y96" s="679">
        <f t="shared" si="34"/>
        <v>0</v>
      </c>
      <c r="Z96" s="679">
        <f t="shared" si="35"/>
        <v>0</v>
      </c>
      <c r="AA96" s="679">
        <f t="shared" si="36"/>
        <v>0</v>
      </c>
      <c r="AB96" s="679">
        <f t="shared" si="37"/>
        <v>0</v>
      </c>
      <c r="AC96" s="679">
        <f t="shared" si="38"/>
        <v>0</v>
      </c>
      <c r="AD96" s="679">
        <f t="shared" si="39"/>
        <v>0</v>
      </c>
      <c r="AE96" s="610"/>
    </row>
    <row r="97" spans="1:31" ht="24.95" customHeight="1" x14ac:dyDescent="0.3">
      <c r="A97" s="749">
        <v>11</v>
      </c>
      <c r="B97" s="750" t="s">
        <v>528</v>
      </c>
      <c r="C97" s="740" t="s">
        <v>529</v>
      </c>
      <c r="D97" s="754">
        <v>2</v>
      </c>
      <c r="E97" s="755"/>
      <c r="F97" s="753"/>
      <c r="G97" s="755"/>
      <c r="H97" s="753"/>
      <c r="I97" s="755"/>
      <c r="J97" s="753">
        <v>1</v>
      </c>
      <c r="K97" s="755"/>
      <c r="L97" s="753"/>
      <c r="M97" s="755"/>
      <c r="N97" s="744">
        <f t="shared" si="29"/>
        <v>3</v>
      </c>
      <c r="O97" s="745">
        <f t="shared" si="28"/>
        <v>45000</v>
      </c>
      <c r="P97" s="756">
        <f>(O97/O112)*100</f>
        <v>0.16428454082470839</v>
      </c>
      <c r="Q97" s="747">
        <f>'FOOD COST PRODUCT'!G87</f>
        <v>0</v>
      </c>
      <c r="R97" s="677">
        <f t="shared" si="40"/>
        <v>0</v>
      </c>
      <c r="S97" s="753">
        <v>15000</v>
      </c>
      <c r="U97" s="679">
        <f t="shared" si="30"/>
        <v>30000</v>
      </c>
      <c r="V97" s="679">
        <f t="shared" si="31"/>
        <v>0</v>
      </c>
      <c r="W97" s="679">
        <f t="shared" si="32"/>
        <v>0</v>
      </c>
      <c r="X97" s="679">
        <f t="shared" si="33"/>
        <v>0</v>
      </c>
      <c r="Y97" s="679">
        <f t="shared" si="34"/>
        <v>0</v>
      </c>
      <c r="Z97" s="679">
        <f t="shared" si="35"/>
        <v>0</v>
      </c>
      <c r="AA97" s="679">
        <f t="shared" si="36"/>
        <v>15000</v>
      </c>
      <c r="AB97" s="679">
        <f t="shared" si="37"/>
        <v>0</v>
      </c>
      <c r="AC97" s="679">
        <f t="shared" si="38"/>
        <v>0</v>
      </c>
      <c r="AD97" s="679">
        <f t="shared" si="39"/>
        <v>0</v>
      </c>
      <c r="AE97" s="610"/>
    </row>
    <row r="98" spans="1:31" ht="24.95" customHeight="1" x14ac:dyDescent="0.3">
      <c r="A98" s="749">
        <v>12</v>
      </c>
      <c r="B98" s="750" t="s">
        <v>530</v>
      </c>
      <c r="C98" s="740"/>
      <c r="D98" s="754"/>
      <c r="E98" s="755"/>
      <c r="F98" s="753"/>
      <c r="G98" s="755"/>
      <c r="H98" s="753"/>
      <c r="I98" s="755"/>
      <c r="J98" s="753"/>
      <c r="K98" s="755"/>
      <c r="L98" s="753"/>
      <c r="M98" s="755"/>
      <c r="N98" s="744">
        <f t="shared" si="29"/>
        <v>0</v>
      </c>
      <c r="O98" s="745">
        <f t="shared" si="28"/>
        <v>0</v>
      </c>
      <c r="P98" s="756">
        <f>(O98/O112)*100</f>
        <v>0</v>
      </c>
      <c r="Q98" s="747">
        <f>'FOOD COST PRODUCT'!G88</f>
        <v>0</v>
      </c>
      <c r="R98" s="677">
        <f t="shared" si="40"/>
        <v>0</v>
      </c>
      <c r="S98" s="753"/>
      <c r="U98" s="679">
        <f t="shared" si="30"/>
        <v>0</v>
      </c>
      <c r="V98" s="679">
        <f t="shared" si="31"/>
        <v>0</v>
      </c>
      <c r="W98" s="679">
        <f t="shared" si="32"/>
        <v>0</v>
      </c>
      <c r="X98" s="679">
        <f t="shared" si="33"/>
        <v>0</v>
      </c>
      <c r="Y98" s="679">
        <f t="shared" si="34"/>
        <v>0</v>
      </c>
      <c r="Z98" s="679">
        <f t="shared" si="35"/>
        <v>0</v>
      </c>
      <c r="AA98" s="679">
        <f t="shared" si="36"/>
        <v>0</v>
      </c>
      <c r="AB98" s="679">
        <f t="shared" si="37"/>
        <v>0</v>
      </c>
      <c r="AC98" s="679">
        <f t="shared" si="38"/>
        <v>0</v>
      </c>
      <c r="AD98" s="679">
        <f t="shared" si="39"/>
        <v>0</v>
      </c>
      <c r="AE98" s="610"/>
    </row>
    <row r="99" spans="1:31" ht="24.95" customHeight="1" x14ac:dyDescent="0.3">
      <c r="A99" s="749">
        <v>13</v>
      </c>
      <c r="B99" s="750" t="s">
        <v>532</v>
      </c>
      <c r="C99" s="740" t="s">
        <v>870</v>
      </c>
      <c r="D99" s="754">
        <v>7</v>
      </c>
      <c r="E99" s="755">
        <v>4</v>
      </c>
      <c r="F99" s="753"/>
      <c r="G99" s="755">
        <v>3</v>
      </c>
      <c r="H99" s="753">
        <v>5</v>
      </c>
      <c r="I99" s="755">
        <v>2</v>
      </c>
      <c r="J99" s="753">
        <v>3</v>
      </c>
      <c r="K99" s="755"/>
      <c r="L99" s="753"/>
      <c r="M99" s="755"/>
      <c r="N99" s="744">
        <f t="shared" si="29"/>
        <v>24</v>
      </c>
      <c r="O99" s="745">
        <f t="shared" si="28"/>
        <v>120000</v>
      </c>
      <c r="P99" s="756">
        <f>(O99/O112)*100</f>
        <v>0.43809210886588906</v>
      </c>
      <c r="Q99" s="747">
        <f>'FOOD COST PRODUCT'!G89</f>
        <v>0.38336813157894734</v>
      </c>
      <c r="R99" s="677">
        <f t="shared" si="40"/>
        <v>0.16795055323539668</v>
      </c>
      <c r="S99" s="753">
        <v>5000</v>
      </c>
      <c r="U99" s="679">
        <f t="shared" si="30"/>
        <v>35000</v>
      </c>
      <c r="V99" s="679">
        <f t="shared" si="31"/>
        <v>20000</v>
      </c>
      <c r="W99" s="679">
        <f t="shared" si="32"/>
        <v>0</v>
      </c>
      <c r="X99" s="679">
        <f t="shared" si="33"/>
        <v>15000</v>
      </c>
      <c r="Y99" s="679">
        <f t="shared" si="34"/>
        <v>25000</v>
      </c>
      <c r="Z99" s="679">
        <f t="shared" si="35"/>
        <v>10000</v>
      </c>
      <c r="AA99" s="679">
        <f t="shared" si="36"/>
        <v>15000</v>
      </c>
      <c r="AB99" s="679">
        <f t="shared" si="37"/>
        <v>0</v>
      </c>
      <c r="AC99" s="679">
        <f t="shared" si="38"/>
        <v>0</v>
      </c>
      <c r="AD99" s="679">
        <f t="shared" si="39"/>
        <v>0</v>
      </c>
      <c r="AE99" s="610"/>
    </row>
    <row r="100" spans="1:31" ht="24.95" customHeight="1" x14ac:dyDescent="0.3">
      <c r="A100" s="749">
        <v>14</v>
      </c>
      <c r="B100" s="750" t="s">
        <v>534</v>
      </c>
      <c r="C100" s="740" t="s">
        <v>984</v>
      </c>
      <c r="D100" s="754"/>
      <c r="E100" s="755"/>
      <c r="F100" s="753"/>
      <c r="G100" s="755"/>
      <c r="H100" s="753"/>
      <c r="I100" s="755"/>
      <c r="J100" s="753"/>
      <c r="K100" s="755"/>
      <c r="L100" s="753"/>
      <c r="M100" s="755"/>
      <c r="N100" s="744">
        <f t="shared" si="29"/>
        <v>0</v>
      </c>
      <c r="O100" s="745">
        <f t="shared" si="28"/>
        <v>0</v>
      </c>
      <c r="P100" s="756">
        <f>(O100/O112)*100</f>
        <v>0</v>
      </c>
      <c r="Q100" s="747">
        <f>'FOOD COST PRODUCT'!G90</f>
        <v>0</v>
      </c>
      <c r="R100" s="677">
        <f t="shared" si="40"/>
        <v>0</v>
      </c>
      <c r="S100" s="753">
        <v>6500</v>
      </c>
      <c r="U100" s="679">
        <f t="shared" si="30"/>
        <v>0</v>
      </c>
      <c r="V100" s="679">
        <f t="shared" si="31"/>
        <v>0</v>
      </c>
      <c r="W100" s="679">
        <f t="shared" si="32"/>
        <v>0</v>
      </c>
      <c r="X100" s="679">
        <f t="shared" si="33"/>
        <v>0</v>
      </c>
      <c r="Y100" s="679">
        <f t="shared" si="34"/>
        <v>0</v>
      </c>
      <c r="Z100" s="679">
        <f t="shared" si="35"/>
        <v>0</v>
      </c>
      <c r="AA100" s="679">
        <f t="shared" si="36"/>
        <v>0</v>
      </c>
      <c r="AB100" s="679">
        <f t="shared" si="37"/>
        <v>0</v>
      </c>
      <c r="AC100" s="679">
        <f t="shared" si="38"/>
        <v>0</v>
      </c>
      <c r="AD100" s="679">
        <f t="shared" si="39"/>
        <v>0</v>
      </c>
      <c r="AE100" s="610"/>
    </row>
    <row r="101" spans="1:31" ht="24.95" customHeight="1" x14ac:dyDescent="0.3">
      <c r="A101" s="749">
        <v>15</v>
      </c>
      <c r="B101" s="750" t="s">
        <v>536</v>
      </c>
      <c r="C101" s="740"/>
      <c r="D101" s="758"/>
      <c r="E101" s="759"/>
      <c r="F101" s="752"/>
      <c r="G101" s="759"/>
      <c r="H101" s="752"/>
      <c r="I101" s="759"/>
      <c r="J101" s="752"/>
      <c r="K101" s="759"/>
      <c r="L101" s="752"/>
      <c r="M101" s="759"/>
      <c r="N101" s="744">
        <f t="shared" si="29"/>
        <v>0</v>
      </c>
      <c r="O101" s="745">
        <f t="shared" si="28"/>
        <v>0</v>
      </c>
      <c r="P101" s="760">
        <f>(O101/O112)*100</f>
        <v>0</v>
      </c>
      <c r="Q101" s="761"/>
      <c r="R101" s="677">
        <f t="shared" si="40"/>
        <v>0</v>
      </c>
      <c r="S101" s="753"/>
      <c r="U101" s="679">
        <f t="shared" si="30"/>
        <v>0</v>
      </c>
      <c r="V101" s="679">
        <f t="shared" si="31"/>
        <v>0</v>
      </c>
      <c r="W101" s="679">
        <f t="shared" si="32"/>
        <v>0</v>
      </c>
      <c r="X101" s="679">
        <f t="shared" si="33"/>
        <v>0</v>
      </c>
      <c r="Y101" s="679">
        <f t="shared" si="34"/>
        <v>0</v>
      </c>
      <c r="Z101" s="679">
        <f t="shared" si="35"/>
        <v>0</v>
      </c>
      <c r="AA101" s="679">
        <f t="shared" si="36"/>
        <v>0</v>
      </c>
      <c r="AB101" s="679">
        <f t="shared" si="37"/>
        <v>0</v>
      </c>
      <c r="AC101" s="679">
        <f t="shared" si="38"/>
        <v>0</v>
      </c>
      <c r="AD101" s="679">
        <f t="shared" si="39"/>
        <v>0</v>
      </c>
      <c r="AE101" s="610"/>
    </row>
    <row r="102" spans="1:31" ht="24.95" customHeight="1" x14ac:dyDescent="0.3">
      <c r="A102" s="749">
        <v>16</v>
      </c>
      <c r="B102" s="750" t="s">
        <v>537</v>
      </c>
      <c r="C102" s="740" t="s">
        <v>993</v>
      </c>
      <c r="D102" s="758">
        <v>1</v>
      </c>
      <c r="E102" s="759"/>
      <c r="F102" s="752">
        <v>4</v>
      </c>
      <c r="G102" s="759">
        <v>3</v>
      </c>
      <c r="H102" s="752">
        <v>5</v>
      </c>
      <c r="I102" s="759">
        <v>7</v>
      </c>
      <c r="J102" s="752">
        <v>2</v>
      </c>
      <c r="K102" s="759"/>
      <c r="L102" s="752"/>
      <c r="M102" s="759"/>
      <c r="N102" s="744">
        <f t="shared" si="29"/>
        <v>22</v>
      </c>
      <c r="O102" s="745">
        <f t="shared" si="28"/>
        <v>110000</v>
      </c>
      <c r="P102" s="760">
        <f>(O102/O112)*100</f>
        <v>0.40158443312706499</v>
      </c>
      <c r="Q102" s="761"/>
      <c r="R102" s="677">
        <f t="shared" si="40"/>
        <v>0</v>
      </c>
      <c r="S102" s="753">
        <v>5000</v>
      </c>
      <c r="U102" s="679">
        <f t="shared" si="30"/>
        <v>5000</v>
      </c>
      <c r="V102" s="679">
        <f t="shared" si="31"/>
        <v>0</v>
      </c>
      <c r="W102" s="679">
        <f t="shared" si="32"/>
        <v>20000</v>
      </c>
      <c r="X102" s="679">
        <f t="shared" si="33"/>
        <v>15000</v>
      </c>
      <c r="Y102" s="679">
        <f t="shared" si="34"/>
        <v>25000</v>
      </c>
      <c r="Z102" s="679">
        <f t="shared" si="35"/>
        <v>35000</v>
      </c>
      <c r="AA102" s="679">
        <f t="shared" si="36"/>
        <v>10000</v>
      </c>
      <c r="AB102" s="679">
        <f t="shared" si="37"/>
        <v>0</v>
      </c>
      <c r="AC102" s="679">
        <f t="shared" si="38"/>
        <v>0</v>
      </c>
      <c r="AD102" s="679">
        <f t="shared" si="39"/>
        <v>0</v>
      </c>
      <c r="AE102" s="610"/>
    </row>
    <row r="103" spans="1:31" ht="24.95" customHeight="1" x14ac:dyDescent="0.3">
      <c r="A103" s="749">
        <v>17</v>
      </c>
      <c r="B103" s="750" t="s">
        <v>538</v>
      </c>
      <c r="C103" s="740" t="s">
        <v>994</v>
      </c>
      <c r="D103" s="758">
        <v>1</v>
      </c>
      <c r="E103" s="759">
        <v>7</v>
      </c>
      <c r="F103" s="752"/>
      <c r="G103" s="759"/>
      <c r="H103" s="752"/>
      <c r="I103" s="759"/>
      <c r="J103" s="752"/>
      <c r="K103" s="759"/>
      <c r="L103" s="752"/>
      <c r="M103" s="759"/>
      <c r="N103" s="744">
        <f t="shared" si="29"/>
        <v>8</v>
      </c>
      <c r="O103" s="745">
        <f t="shared" si="28"/>
        <v>96000</v>
      </c>
      <c r="P103" s="760">
        <f>(O103/O112)*100</f>
        <v>0.35047368709271126</v>
      </c>
      <c r="Q103" s="761"/>
      <c r="R103" s="677">
        <f t="shared" si="40"/>
        <v>0</v>
      </c>
      <c r="S103" s="753">
        <v>12000</v>
      </c>
      <c r="U103" s="679">
        <f t="shared" si="30"/>
        <v>12000</v>
      </c>
      <c r="V103" s="679">
        <f t="shared" si="31"/>
        <v>84000</v>
      </c>
      <c r="W103" s="679">
        <f t="shared" si="32"/>
        <v>0</v>
      </c>
      <c r="X103" s="679">
        <f t="shared" si="33"/>
        <v>0</v>
      </c>
      <c r="Y103" s="679">
        <f t="shared" si="34"/>
        <v>0</v>
      </c>
      <c r="Z103" s="679">
        <f t="shared" si="35"/>
        <v>0</v>
      </c>
      <c r="AA103" s="679">
        <f t="shared" si="36"/>
        <v>0</v>
      </c>
      <c r="AB103" s="679">
        <f t="shared" si="37"/>
        <v>0</v>
      </c>
      <c r="AC103" s="679">
        <f t="shared" si="38"/>
        <v>0</v>
      </c>
      <c r="AD103" s="679">
        <f t="shared" si="39"/>
        <v>0</v>
      </c>
      <c r="AE103" s="610"/>
    </row>
    <row r="104" spans="1:31" ht="24.95" customHeight="1" x14ac:dyDescent="0.3">
      <c r="A104" s="749">
        <v>18</v>
      </c>
      <c r="B104" s="750" t="s">
        <v>539</v>
      </c>
      <c r="C104" s="740" t="s">
        <v>995</v>
      </c>
      <c r="D104" s="754"/>
      <c r="E104" s="755"/>
      <c r="F104" s="753"/>
      <c r="G104" s="755"/>
      <c r="H104" s="753"/>
      <c r="I104" s="755">
        <v>2</v>
      </c>
      <c r="J104" s="753"/>
      <c r="K104" s="755"/>
      <c r="L104" s="753"/>
      <c r="M104" s="755"/>
      <c r="N104" s="744">
        <f t="shared" si="29"/>
        <v>2</v>
      </c>
      <c r="O104" s="745">
        <f t="shared" si="28"/>
        <v>16000</v>
      </c>
      <c r="P104" s="756">
        <f>(O104/O112)*100</f>
        <v>5.8412281182118546E-2</v>
      </c>
      <c r="Q104" s="751"/>
      <c r="R104" s="677">
        <f t="shared" si="40"/>
        <v>0</v>
      </c>
      <c r="S104" s="753">
        <v>8000</v>
      </c>
      <c r="U104" s="679">
        <f t="shared" si="30"/>
        <v>0</v>
      </c>
      <c r="V104" s="679">
        <f t="shared" si="31"/>
        <v>0</v>
      </c>
      <c r="W104" s="679">
        <f t="shared" si="32"/>
        <v>0</v>
      </c>
      <c r="X104" s="679">
        <f t="shared" si="33"/>
        <v>0</v>
      </c>
      <c r="Y104" s="679">
        <f t="shared" si="34"/>
        <v>0</v>
      </c>
      <c r="Z104" s="679">
        <f t="shared" si="35"/>
        <v>16000</v>
      </c>
      <c r="AA104" s="679">
        <f t="shared" si="36"/>
        <v>0</v>
      </c>
      <c r="AB104" s="679">
        <f t="shared" si="37"/>
        <v>0</v>
      </c>
      <c r="AC104" s="679">
        <f t="shared" si="38"/>
        <v>0</v>
      </c>
      <c r="AD104" s="679">
        <f t="shared" si="39"/>
        <v>0</v>
      </c>
      <c r="AE104" s="610"/>
    </row>
    <row r="105" spans="1:31" ht="24.95" customHeight="1" x14ac:dyDescent="0.3">
      <c r="A105" s="749">
        <v>19</v>
      </c>
      <c r="B105" s="750" t="s">
        <v>540</v>
      </c>
      <c r="C105" s="740" t="s">
        <v>996</v>
      </c>
      <c r="D105" s="754"/>
      <c r="E105" s="755"/>
      <c r="F105" s="753"/>
      <c r="G105" s="755"/>
      <c r="H105" s="753"/>
      <c r="I105" s="755"/>
      <c r="J105" s="753"/>
      <c r="K105" s="755"/>
      <c r="L105" s="753"/>
      <c r="M105" s="755"/>
      <c r="N105" s="744">
        <f t="shared" si="29"/>
        <v>0</v>
      </c>
      <c r="O105" s="745">
        <f t="shared" si="28"/>
        <v>0</v>
      </c>
      <c r="P105" s="756">
        <f>(O105/O112)*100</f>
        <v>0</v>
      </c>
      <c r="Q105" s="751"/>
      <c r="R105" s="677">
        <f t="shared" si="40"/>
        <v>0</v>
      </c>
      <c r="S105" s="753">
        <v>10000</v>
      </c>
      <c r="U105" s="679">
        <f t="shared" si="30"/>
        <v>0</v>
      </c>
      <c r="V105" s="679">
        <f t="shared" si="31"/>
        <v>0</v>
      </c>
      <c r="W105" s="679">
        <f t="shared" si="32"/>
        <v>0</v>
      </c>
      <c r="X105" s="679">
        <f t="shared" si="33"/>
        <v>0</v>
      </c>
      <c r="Y105" s="679">
        <f t="shared" si="34"/>
        <v>0</v>
      </c>
      <c r="Z105" s="679">
        <f t="shared" si="35"/>
        <v>0</v>
      </c>
      <c r="AA105" s="679">
        <f t="shared" si="36"/>
        <v>0</v>
      </c>
      <c r="AB105" s="679">
        <f t="shared" si="37"/>
        <v>0</v>
      </c>
      <c r="AC105" s="679">
        <f t="shared" si="38"/>
        <v>0</v>
      </c>
      <c r="AD105" s="679">
        <f t="shared" si="39"/>
        <v>0</v>
      </c>
      <c r="AE105" s="610"/>
    </row>
    <row r="106" spans="1:31" ht="24.95" customHeight="1" x14ac:dyDescent="0.3">
      <c r="A106" s="749">
        <v>20</v>
      </c>
      <c r="B106" s="750" t="s">
        <v>541</v>
      </c>
      <c r="C106" s="740"/>
      <c r="D106" s="754"/>
      <c r="E106" s="755"/>
      <c r="F106" s="753"/>
      <c r="G106" s="755"/>
      <c r="H106" s="753"/>
      <c r="I106" s="755"/>
      <c r="J106" s="753"/>
      <c r="K106" s="755"/>
      <c r="L106" s="753"/>
      <c r="M106" s="755"/>
      <c r="N106" s="744">
        <f t="shared" si="29"/>
        <v>0</v>
      </c>
      <c r="O106" s="745">
        <f t="shared" si="28"/>
        <v>0</v>
      </c>
      <c r="P106" s="756">
        <f>(O106/O112)*100</f>
        <v>0</v>
      </c>
      <c r="Q106" s="751"/>
      <c r="R106" s="677">
        <f t="shared" si="40"/>
        <v>0</v>
      </c>
      <c r="S106" s="753"/>
      <c r="U106" s="679">
        <f t="shared" si="30"/>
        <v>0</v>
      </c>
      <c r="V106" s="679">
        <f t="shared" si="31"/>
        <v>0</v>
      </c>
      <c r="W106" s="679">
        <f t="shared" si="32"/>
        <v>0</v>
      </c>
      <c r="X106" s="679">
        <f t="shared" si="33"/>
        <v>0</v>
      </c>
      <c r="Y106" s="679">
        <f t="shared" si="34"/>
        <v>0</v>
      </c>
      <c r="Z106" s="679">
        <f t="shared" si="35"/>
        <v>0</v>
      </c>
      <c r="AA106" s="679">
        <f t="shared" si="36"/>
        <v>0</v>
      </c>
      <c r="AB106" s="679">
        <f t="shared" si="37"/>
        <v>0</v>
      </c>
      <c r="AC106" s="679">
        <f t="shared" si="38"/>
        <v>0</v>
      </c>
      <c r="AD106" s="679">
        <f t="shared" si="39"/>
        <v>0</v>
      </c>
      <c r="AE106" s="610"/>
    </row>
    <row r="107" spans="1:31" ht="24.95" customHeight="1" x14ac:dyDescent="0.3">
      <c r="A107" s="749"/>
      <c r="B107" s="750"/>
      <c r="C107" s="739"/>
      <c r="D107" s="754"/>
      <c r="E107" s="755"/>
      <c r="F107" s="753"/>
      <c r="G107" s="755"/>
      <c r="H107" s="753"/>
      <c r="I107" s="755"/>
      <c r="J107" s="753"/>
      <c r="K107" s="755"/>
      <c r="L107" s="753"/>
      <c r="M107" s="755"/>
      <c r="N107" s="744">
        <f t="shared" si="29"/>
        <v>0</v>
      </c>
      <c r="O107" s="745">
        <f t="shared" si="28"/>
        <v>0</v>
      </c>
      <c r="P107" s="756">
        <f>(O107/O112)*100</f>
        <v>0</v>
      </c>
      <c r="Q107" s="751"/>
      <c r="R107" s="677">
        <f t="shared" si="40"/>
        <v>0</v>
      </c>
      <c r="S107" s="753"/>
      <c r="U107" s="679">
        <f t="shared" si="30"/>
        <v>0</v>
      </c>
      <c r="V107" s="679">
        <f t="shared" si="31"/>
        <v>0</v>
      </c>
      <c r="W107" s="679">
        <f t="shared" si="32"/>
        <v>0</v>
      </c>
      <c r="X107" s="679">
        <f t="shared" si="33"/>
        <v>0</v>
      </c>
      <c r="Y107" s="679">
        <f t="shared" si="34"/>
        <v>0</v>
      </c>
      <c r="Z107" s="679">
        <f t="shared" si="35"/>
        <v>0</v>
      </c>
      <c r="AA107" s="679">
        <f t="shared" si="36"/>
        <v>0</v>
      </c>
      <c r="AB107" s="679">
        <f t="shared" si="37"/>
        <v>0</v>
      </c>
      <c r="AC107" s="679">
        <f t="shared" si="38"/>
        <v>0</v>
      </c>
      <c r="AD107" s="679">
        <f t="shared" si="39"/>
        <v>0</v>
      </c>
      <c r="AE107" s="610"/>
    </row>
    <row r="108" spans="1:31" ht="24.95" customHeight="1" x14ac:dyDescent="0.3">
      <c r="A108" s="749"/>
      <c r="B108" s="750" t="s">
        <v>542</v>
      </c>
      <c r="C108" s="740"/>
      <c r="D108" s="754"/>
      <c r="E108" s="755"/>
      <c r="F108" s="753"/>
      <c r="G108" s="755"/>
      <c r="H108" s="753"/>
      <c r="I108" s="755"/>
      <c r="J108" s="753"/>
      <c r="K108" s="755"/>
      <c r="L108" s="753"/>
      <c r="M108" s="755"/>
      <c r="N108" s="744">
        <f t="shared" si="29"/>
        <v>0</v>
      </c>
      <c r="O108" s="745">
        <f t="shared" si="28"/>
        <v>0</v>
      </c>
      <c r="P108" s="756">
        <f>(O108/O112)*100</f>
        <v>0</v>
      </c>
      <c r="Q108" s="751"/>
      <c r="R108" s="677">
        <f t="shared" si="40"/>
        <v>0</v>
      </c>
      <c r="S108" s="753"/>
      <c r="U108" s="679">
        <f t="shared" si="30"/>
        <v>0</v>
      </c>
      <c r="V108" s="679">
        <f t="shared" si="31"/>
        <v>0</v>
      </c>
      <c r="W108" s="679">
        <f t="shared" si="32"/>
        <v>0</v>
      </c>
      <c r="X108" s="679">
        <f t="shared" si="33"/>
        <v>0</v>
      </c>
      <c r="Y108" s="679">
        <f t="shared" si="34"/>
        <v>0</v>
      </c>
      <c r="Z108" s="679">
        <f t="shared" si="35"/>
        <v>0</v>
      </c>
      <c r="AA108" s="679">
        <f t="shared" si="36"/>
        <v>0</v>
      </c>
      <c r="AB108" s="679">
        <f t="shared" si="37"/>
        <v>0</v>
      </c>
      <c r="AC108" s="679">
        <f t="shared" si="38"/>
        <v>0</v>
      </c>
      <c r="AD108" s="679">
        <f t="shared" si="39"/>
        <v>0</v>
      </c>
      <c r="AE108" s="610"/>
    </row>
    <row r="109" spans="1:31" ht="24.95" customHeight="1" x14ac:dyDescent="0.3">
      <c r="A109" s="749"/>
      <c r="B109" s="750" t="s">
        <v>543</v>
      </c>
      <c r="C109" s="740"/>
      <c r="D109" s="754"/>
      <c r="E109" s="755"/>
      <c r="F109" s="753"/>
      <c r="G109" s="755"/>
      <c r="H109" s="753"/>
      <c r="I109" s="755"/>
      <c r="J109" s="753"/>
      <c r="K109" s="755"/>
      <c r="L109" s="753"/>
      <c r="M109" s="755"/>
      <c r="N109" s="744">
        <f t="shared" si="29"/>
        <v>0</v>
      </c>
      <c r="O109" s="745">
        <f t="shared" si="28"/>
        <v>0</v>
      </c>
      <c r="P109" s="756">
        <f>(O109/O112)*100</f>
        <v>0</v>
      </c>
      <c r="Q109" s="751"/>
      <c r="R109" s="677">
        <f t="shared" si="40"/>
        <v>0</v>
      </c>
      <c r="S109" s="753"/>
      <c r="U109" s="679">
        <f t="shared" si="30"/>
        <v>0</v>
      </c>
      <c r="V109" s="679">
        <f t="shared" si="31"/>
        <v>0</v>
      </c>
      <c r="W109" s="679">
        <f t="shared" si="32"/>
        <v>0</v>
      </c>
      <c r="X109" s="679">
        <f t="shared" si="33"/>
        <v>0</v>
      </c>
      <c r="Y109" s="679">
        <f t="shared" si="34"/>
        <v>0</v>
      </c>
      <c r="Z109" s="679">
        <f t="shared" si="35"/>
        <v>0</v>
      </c>
      <c r="AA109" s="679">
        <f t="shared" si="36"/>
        <v>0</v>
      </c>
      <c r="AB109" s="679">
        <f t="shared" si="37"/>
        <v>0</v>
      </c>
      <c r="AC109" s="679">
        <f t="shared" si="38"/>
        <v>0</v>
      </c>
      <c r="AD109" s="679">
        <f t="shared" si="39"/>
        <v>0</v>
      </c>
      <c r="AE109" s="610"/>
    </row>
    <row r="110" spans="1:31" ht="24.95" customHeight="1" thickBot="1" x14ac:dyDescent="0.35">
      <c r="A110" s="762"/>
      <c r="B110" s="763"/>
      <c r="C110" s="763"/>
      <c r="D110" s="764"/>
      <c r="E110" s="765"/>
      <c r="F110" s="766"/>
      <c r="G110" s="765"/>
      <c r="H110" s="767"/>
      <c r="I110" s="765"/>
      <c r="J110" s="766"/>
      <c r="K110" s="765"/>
      <c r="L110" s="766"/>
      <c r="M110" s="768"/>
      <c r="N110" s="744">
        <f t="shared" si="29"/>
        <v>0</v>
      </c>
      <c r="O110" s="745">
        <f t="shared" si="28"/>
        <v>0</v>
      </c>
      <c r="P110" s="769">
        <f>(O110/O112)*100</f>
        <v>0</v>
      </c>
      <c r="Q110" s="770"/>
      <c r="R110" s="677">
        <f t="shared" si="40"/>
        <v>0</v>
      </c>
      <c r="S110" s="767"/>
      <c r="U110" s="679">
        <f t="shared" si="30"/>
        <v>0</v>
      </c>
      <c r="V110" s="679">
        <f t="shared" si="31"/>
        <v>0</v>
      </c>
      <c r="W110" s="679">
        <f t="shared" si="32"/>
        <v>0</v>
      </c>
      <c r="X110" s="679">
        <f t="shared" si="33"/>
        <v>0</v>
      </c>
      <c r="Y110" s="679">
        <f t="shared" si="34"/>
        <v>0</v>
      </c>
      <c r="Z110" s="679">
        <f t="shared" si="35"/>
        <v>0</v>
      </c>
      <c r="AA110" s="679">
        <f t="shared" si="36"/>
        <v>0</v>
      </c>
      <c r="AB110" s="679">
        <f t="shared" si="37"/>
        <v>0</v>
      </c>
      <c r="AC110" s="679">
        <f t="shared" si="38"/>
        <v>0</v>
      </c>
      <c r="AD110" s="679">
        <f t="shared" si="39"/>
        <v>0</v>
      </c>
      <c r="AE110" s="610"/>
    </row>
    <row r="111" spans="1:31" ht="99.95" customHeight="1" thickBot="1" x14ac:dyDescent="0.25">
      <c r="A111" s="1459" t="s">
        <v>544</v>
      </c>
      <c r="B111" s="1460"/>
      <c r="C111" s="771" t="str">
        <f>A111</f>
        <v>TOTAL BEVERAGES</v>
      </c>
      <c r="D111" s="772">
        <f>U111</f>
        <v>146000</v>
      </c>
      <c r="E111" s="773">
        <f>V111</f>
        <v>168000</v>
      </c>
      <c r="F111" s="774">
        <f>W111</f>
        <v>32000</v>
      </c>
      <c r="G111" s="775">
        <f t="shared" ref="G111:M111" si="41">X111</f>
        <v>113000</v>
      </c>
      <c r="H111" s="774">
        <f t="shared" si="41"/>
        <v>98000</v>
      </c>
      <c r="I111" s="775">
        <f t="shared" si="41"/>
        <v>91000</v>
      </c>
      <c r="J111" s="774">
        <f t="shared" si="41"/>
        <v>120000</v>
      </c>
      <c r="K111" s="774">
        <f t="shared" si="41"/>
        <v>0</v>
      </c>
      <c r="L111" s="774">
        <f t="shared" si="41"/>
        <v>0</v>
      </c>
      <c r="M111" s="775">
        <f t="shared" si="41"/>
        <v>0</v>
      </c>
      <c r="N111" s="776"/>
      <c r="O111" s="777">
        <f>SUM(D111:M111)</f>
        <v>768000</v>
      </c>
      <c r="P111" s="778">
        <f>SUM(P86:P110)/100</f>
        <v>2.8037894967416901E-2</v>
      </c>
      <c r="Q111" s="779"/>
      <c r="R111" s="780">
        <f>SUM(R86:R110)/100</f>
        <v>7.1231022776396778E-3</v>
      </c>
      <c r="S111" s="781"/>
      <c r="U111" s="679">
        <f t="shared" ref="U111:AD111" si="42">SUM(U86:U110)</f>
        <v>146000</v>
      </c>
      <c r="V111" s="679">
        <f t="shared" si="42"/>
        <v>168000</v>
      </c>
      <c r="W111" s="679">
        <f t="shared" si="42"/>
        <v>32000</v>
      </c>
      <c r="X111" s="679">
        <f t="shared" si="42"/>
        <v>113000</v>
      </c>
      <c r="Y111" s="679">
        <f t="shared" si="42"/>
        <v>98000</v>
      </c>
      <c r="Z111" s="679">
        <f t="shared" si="42"/>
        <v>91000</v>
      </c>
      <c r="AA111" s="679">
        <f t="shared" si="42"/>
        <v>120000</v>
      </c>
      <c r="AB111" s="679">
        <f t="shared" si="42"/>
        <v>0</v>
      </c>
      <c r="AC111" s="679">
        <f t="shared" si="42"/>
        <v>0</v>
      </c>
      <c r="AD111" s="679">
        <f t="shared" si="42"/>
        <v>0</v>
      </c>
      <c r="AE111" s="610"/>
    </row>
    <row r="112" spans="1:31" ht="99.95" customHeight="1" thickBot="1" x14ac:dyDescent="0.25">
      <c r="A112" s="1459" t="s">
        <v>545</v>
      </c>
      <c r="B112" s="1460"/>
      <c r="C112" s="771" t="str">
        <f>A112</f>
        <v>TOTAL SALES</v>
      </c>
      <c r="D112" s="782">
        <f t="shared" ref="D112:P112" si="43">D83+D111</f>
        <v>4454000</v>
      </c>
      <c r="E112" s="782">
        <f t="shared" si="43"/>
        <v>3639000</v>
      </c>
      <c r="F112" s="782">
        <f>F83+F111</f>
        <v>3173500</v>
      </c>
      <c r="G112" s="782">
        <f t="shared" si="43"/>
        <v>3484000</v>
      </c>
      <c r="H112" s="782">
        <f t="shared" si="43"/>
        <v>4920500</v>
      </c>
      <c r="I112" s="782">
        <f t="shared" si="43"/>
        <v>4009000</v>
      </c>
      <c r="J112" s="782">
        <f t="shared" si="43"/>
        <v>3711500</v>
      </c>
      <c r="K112" s="782">
        <f t="shared" si="43"/>
        <v>0</v>
      </c>
      <c r="L112" s="782">
        <f t="shared" si="43"/>
        <v>0</v>
      </c>
      <c r="M112" s="772">
        <f t="shared" si="43"/>
        <v>0</v>
      </c>
      <c r="N112" s="772">
        <f t="shared" si="43"/>
        <v>0</v>
      </c>
      <c r="O112" s="783">
        <f t="shared" si="43"/>
        <v>27391500</v>
      </c>
      <c r="P112" s="778">
        <f t="shared" si="43"/>
        <v>1.0270156800467298</v>
      </c>
      <c r="Q112" s="779"/>
      <c r="R112" s="784">
        <f>R83+R111</f>
        <v>0.59323286803907749</v>
      </c>
      <c r="S112" s="781"/>
      <c r="U112" s="610"/>
      <c r="V112" s="610"/>
      <c r="W112" s="610"/>
      <c r="X112" s="610"/>
      <c r="Y112" s="610"/>
      <c r="Z112" s="610"/>
      <c r="AA112" s="610"/>
      <c r="AB112" s="610"/>
      <c r="AC112" s="610"/>
      <c r="AD112" s="610"/>
      <c r="AE112" s="610"/>
    </row>
    <row r="113" spans="1:31" ht="30" customHeight="1" thickBot="1" x14ac:dyDescent="0.25">
      <c r="A113" s="1461" t="s">
        <v>546</v>
      </c>
      <c r="B113" s="1462"/>
      <c r="C113" s="785" t="str">
        <f>A113</f>
        <v>TOTAL CUSTOMER</v>
      </c>
      <c r="D113" s="786">
        <v>81</v>
      </c>
      <c r="E113" s="787">
        <v>90</v>
      </c>
      <c r="F113" s="787">
        <v>87</v>
      </c>
      <c r="G113" s="787">
        <v>85</v>
      </c>
      <c r="H113" s="788">
        <v>96</v>
      </c>
      <c r="I113" s="789">
        <v>111</v>
      </c>
      <c r="J113" s="790">
        <v>96</v>
      </c>
      <c r="K113" s="787"/>
      <c r="L113" s="787"/>
      <c r="M113" s="789"/>
      <c r="N113" s="791">
        <f>SUM(D113:M113)</f>
        <v>646</v>
      </c>
      <c r="O113" s="792"/>
      <c r="P113" s="793"/>
      <c r="Q113" s="794"/>
      <c r="R113" s="795"/>
      <c r="S113" s="792"/>
      <c r="U113" s="729"/>
      <c r="V113" s="729"/>
      <c r="W113" s="729"/>
      <c r="X113" s="729"/>
      <c r="Y113" s="729"/>
      <c r="Z113" s="610"/>
      <c r="AA113" s="610"/>
      <c r="AB113" s="610"/>
      <c r="AC113" s="610"/>
      <c r="AD113" s="610"/>
      <c r="AE113" s="610"/>
    </row>
    <row r="114" spans="1:31" ht="18" customHeight="1" x14ac:dyDescent="0.25">
      <c r="A114" s="77"/>
      <c r="N114" s="1463" t="s">
        <v>20</v>
      </c>
      <c r="O114" s="1463"/>
      <c r="U114" s="148"/>
    </row>
    <row r="115" spans="1:31" ht="32.25" customHeight="1" x14ac:dyDescent="0.2">
      <c r="A115" s="1464"/>
      <c r="B115" s="1465"/>
      <c r="C115" s="1465"/>
      <c r="D115" s="1465"/>
      <c r="E115" s="1465"/>
      <c r="F115" s="1465"/>
      <c r="G115" s="1465"/>
      <c r="H115" s="1465"/>
      <c r="I115" s="1465"/>
      <c r="J115" s="567"/>
      <c r="K115" s="567"/>
      <c r="L115" s="567"/>
      <c r="M115" s="567"/>
      <c r="U115" s="148"/>
      <c r="V115" s="796"/>
      <c r="W115" s="796"/>
      <c r="X115" s="796"/>
    </row>
    <row r="116" spans="1:31" ht="18" customHeight="1" x14ac:dyDescent="0.2">
      <c r="A116" s="1464"/>
      <c r="B116" s="1465"/>
      <c r="C116" s="1465"/>
      <c r="D116" s="1465"/>
      <c r="E116" s="1465"/>
      <c r="F116" s="1465"/>
      <c r="G116" s="1465"/>
      <c r="H116" s="1465"/>
      <c r="I116" s="1465"/>
      <c r="J116" s="567"/>
      <c r="K116" s="567"/>
      <c r="L116" s="567"/>
      <c r="M116" s="567"/>
      <c r="U116" s="148"/>
    </row>
    <row r="117" spans="1:31" ht="18" customHeight="1" x14ac:dyDescent="0.2">
      <c r="A117" s="1466"/>
      <c r="B117" s="1466"/>
      <c r="C117" s="1466"/>
      <c r="D117" s="1466"/>
      <c r="E117" s="1466"/>
      <c r="F117" s="1466"/>
      <c r="G117" s="1466"/>
      <c r="H117" s="1466"/>
      <c r="I117" s="1466"/>
      <c r="J117" s="567"/>
      <c r="K117" s="567"/>
      <c r="L117" s="567"/>
      <c r="M117" s="567"/>
      <c r="V117" s="656"/>
      <c r="W117" s="796"/>
      <c r="X117" s="796"/>
    </row>
    <row r="118" spans="1:31" ht="18" customHeight="1" x14ac:dyDescent="0.2">
      <c r="A118" s="1467"/>
      <c r="B118" s="1467"/>
      <c r="C118" s="1467"/>
      <c r="D118" s="1467"/>
      <c r="E118" s="1467"/>
      <c r="F118" s="1467"/>
      <c r="G118" s="1467"/>
      <c r="H118" s="1467"/>
      <c r="I118" s="1467"/>
      <c r="J118" s="567"/>
      <c r="K118" s="567"/>
      <c r="L118" s="567"/>
      <c r="M118" s="567"/>
      <c r="P118" s="797"/>
    </row>
    <row r="119" spans="1:31" ht="18" customHeight="1" x14ac:dyDescent="0.2">
      <c r="A119" s="1468"/>
      <c r="B119" s="1468"/>
      <c r="C119" s="1468"/>
      <c r="D119" s="1468"/>
      <c r="E119" s="1468"/>
      <c r="F119" s="1468"/>
      <c r="G119" s="1468"/>
      <c r="H119" s="1468"/>
      <c r="I119" s="1468"/>
      <c r="J119" s="567"/>
      <c r="K119" s="567"/>
      <c r="L119" s="567"/>
      <c r="M119" s="567"/>
      <c r="N119" s="1413"/>
      <c r="O119" s="1413"/>
      <c r="P119" s="798"/>
    </row>
    <row r="120" spans="1:31" ht="18" customHeight="1" x14ac:dyDescent="0.2">
      <c r="B120" s="567"/>
      <c r="C120" s="567"/>
      <c r="D120" s="567"/>
      <c r="E120" s="567"/>
      <c r="F120" s="567"/>
      <c r="G120" s="567"/>
      <c r="H120" s="567"/>
      <c r="I120" s="567"/>
      <c r="J120" s="567"/>
      <c r="K120" s="567"/>
      <c r="L120" s="567"/>
      <c r="M120" s="567"/>
      <c r="N120" s="64"/>
      <c r="O120" s="64"/>
      <c r="P120" s="798"/>
    </row>
    <row r="121" spans="1:31" ht="18" customHeight="1" x14ac:dyDescent="0.2">
      <c r="A121" s="513"/>
      <c r="B121" s="513"/>
      <c r="C121" s="513"/>
    </row>
    <row r="122" spans="1:31" ht="18" customHeight="1" x14ac:dyDescent="0.2">
      <c r="A122" s="148"/>
      <c r="B122" s="148"/>
      <c r="C122" s="148"/>
    </row>
    <row r="123" spans="1:31" ht="18" customHeight="1" x14ac:dyDescent="0.2">
      <c r="A123" s="148"/>
      <c r="B123" s="148"/>
      <c r="C123" s="148"/>
    </row>
    <row r="124" spans="1:31" ht="18" customHeight="1" x14ac:dyDescent="0.2">
      <c r="A124" s="148"/>
      <c r="B124" s="148"/>
      <c r="C124" s="148"/>
    </row>
    <row r="125" spans="1:31" ht="18" customHeight="1" x14ac:dyDescent="0.2">
      <c r="A125" s="148"/>
      <c r="B125" s="148"/>
      <c r="C125" s="148"/>
    </row>
    <row r="126" spans="1:31" ht="18" customHeight="1" x14ac:dyDescent="0.2">
      <c r="A126" s="148"/>
      <c r="B126" s="148"/>
      <c r="C126" s="148"/>
    </row>
    <row r="127" spans="1:31" ht="18" customHeight="1" x14ac:dyDescent="0.2">
      <c r="A127" s="148"/>
      <c r="B127" s="148"/>
      <c r="C127" s="148"/>
    </row>
    <row r="128" spans="1:31" ht="18" customHeight="1" x14ac:dyDescent="0.2">
      <c r="A128" s="148"/>
      <c r="B128" s="148"/>
      <c r="C128" s="148"/>
    </row>
    <row r="129" spans="1:3" ht="18" customHeight="1" x14ac:dyDescent="0.2">
      <c r="A129" s="799"/>
      <c r="B129" s="799"/>
      <c r="C129" s="799"/>
    </row>
    <row r="130" spans="1:3" ht="18" customHeight="1" x14ac:dyDescent="0.2">
      <c r="A130" s="799"/>
      <c r="B130" s="799"/>
      <c r="C130" s="799"/>
    </row>
    <row r="131" spans="1:3" ht="18" customHeight="1" x14ac:dyDescent="0.2">
      <c r="A131" s="799"/>
      <c r="B131" s="799"/>
      <c r="C131" s="799"/>
    </row>
    <row r="132" spans="1:3" ht="18" customHeight="1" x14ac:dyDescent="0.2">
      <c r="A132" s="799"/>
      <c r="B132" s="799"/>
      <c r="C132" s="799"/>
    </row>
    <row r="133" spans="1:3" ht="18" customHeight="1" x14ac:dyDescent="0.2">
      <c r="A133" s="148"/>
      <c r="B133" s="148"/>
      <c r="C133" s="148"/>
    </row>
    <row r="134" spans="1:3" ht="18" customHeight="1" x14ac:dyDescent="0.2">
      <c r="A134" s="148"/>
      <c r="B134" s="148"/>
      <c r="C134" s="148"/>
    </row>
    <row r="135" spans="1:3" ht="18" customHeight="1" x14ac:dyDescent="0.2">
      <c r="A135" s="148"/>
      <c r="B135" s="148"/>
      <c r="C135" s="148"/>
    </row>
    <row r="136" spans="1:3" ht="18" customHeight="1" x14ac:dyDescent="0.2">
      <c r="A136" s="148"/>
      <c r="B136" s="148"/>
      <c r="C136" s="148"/>
    </row>
    <row r="137" spans="1:3" ht="18" customHeight="1" x14ac:dyDescent="0.2">
      <c r="A137" s="148"/>
      <c r="B137" s="148"/>
      <c r="C137" s="148"/>
    </row>
    <row r="138" spans="1:3" ht="18" customHeight="1" x14ac:dyDescent="0.2">
      <c r="A138" s="148"/>
      <c r="B138" s="148"/>
      <c r="C138" s="148"/>
    </row>
    <row r="139" spans="1:3" ht="18" customHeight="1" x14ac:dyDescent="0.2">
      <c r="A139" s="148"/>
      <c r="B139" s="148"/>
      <c r="C139" s="148"/>
    </row>
    <row r="140" spans="1:3" ht="18" customHeight="1" x14ac:dyDescent="0.2">
      <c r="A140" s="148"/>
      <c r="B140" s="148"/>
      <c r="C140" s="148"/>
    </row>
    <row r="141" spans="1:3" ht="18" customHeight="1" x14ac:dyDescent="0.2">
      <c r="A141" s="148"/>
      <c r="B141" s="148"/>
      <c r="C141" s="148"/>
    </row>
    <row r="142" spans="1:3" ht="18" customHeight="1" x14ac:dyDescent="0.2">
      <c r="A142" s="148"/>
      <c r="B142" s="148"/>
      <c r="C142" s="148"/>
    </row>
    <row r="143" spans="1:3" ht="18" customHeight="1" x14ac:dyDescent="0.2">
      <c r="A143" s="148"/>
      <c r="B143" s="148"/>
      <c r="C143" s="148"/>
    </row>
    <row r="144" spans="1:3" ht="18" customHeight="1" x14ac:dyDescent="0.2">
      <c r="A144" s="148"/>
      <c r="B144" s="148"/>
      <c r="C144" s="148"/>
    </row>
    <row r="145" spans="1:3" ht="18" customHeight="1" x14ac:dyDescent="0.2">
      <c r="A145" s="148"/>
      <c r="B145" s="148"/>
      <c r="C145" s="148"/>
    </row>
    <row r="146" spans="1:3" ht="18" customHeight="1" x14ac:dyDescent="0.2">
      <c r="A146" s="148"/>
      <c r="B146" s="148"/>
      <c r="C146" s="148"/>
    </row>
    <row r="147" spans="1:3" ht="18" customHeight="1" x14ac:dyDescent="0.2">
      <c r="A147" s="148"/>
      <c r="B147" s="148"/>
      <c r="C147" s="148"/>
    </row>
    <row r="148" spans="1:3" ht="18" customHeight="1" x14ac:dyDescent="0.2">
      <c r="A148" s="148"/>
      <c r="B148" s="148"/>
      <c r="C148" s="148"/>
    </row>
    <row r="149" spans="1:3" ht="18" customHeight="1" x14ac:dyDescent="0.2">
      <c r="A149" s="148"/>
      <c r="B149" s="148"/>
      <c r="C149" s="148"/>
    </row>
    <row r="150" spans="1:3" ht="18" customHeight="1" x14ac:dyDescent="0.2">
      <c r="A150" s="148"/>
      <c r="B150" s="148"/>
      <c r="C150" s="148"/>
    </row>
    <row r="151" spans="1:3" ht="18" customHeight="1" x14ac:dyDescent="0.2">
      <c r="A151" s="148"/>
      <c r="B151" s="148"/>
      <c r="C151" s="148"/>
    </row>
    <row r="152" spans="1:3" ht="18" customHeight="1" x14ac:dyDescent="0.2">
      <c r="A152" s="148"/>
      <c r="B152" s="148"/>
      <c r="C152" s="148"/>
    </row>
    <row r="153" spans="1:3" ht="18" customHeight="1" x14ac:dyDescent="0.2">
      <c r="A153" s="148"/>
      <c r="B153" s="148"/>
      <c r="C153" s="148"/>
    </row>
    <row r="154" spans="1:3" ht="32.25" customHeight="1" x14ac:dyDescent="0.2">
      <c r="A154" s="800"/>
      <c r="B154" s="148"/>
      <c r="C154" s="148"/>
    </row>
    <row r="155" spans="1:3" ht="18" customHeight="1" x14ac:dyDescent="0.2">
      <c r="A155" s="148"/>
      <c r="B155" s="148"/>
      <c r="C155" s="148"/>
    </row>
    <row r="156" spans="1:3" ht="18" customHeight="1" x14ac:dyDescent="0.2">
      <c r="A156" s="148"/>
      <c r="B156" s="148"/>
      <c r="C156" s="148"/>
    </row>
    <row r="157" spans="1:3" ht="18" customHeight="1" x14ac:dyDescent="0.2">
      <c r="A157" s="148"/>
      <c r="B157" s="148"/>
      <c r="C157" s="148"/>
    </row>
    <row r="158" spans="1:3" ht="18" customHeight="1" x14ac:dyDescent="0.2">
      <c r="A158" s="148"/>
      <c r="B158" s="148"/>
      <c r="C158" s="148"/>
    </row>
    <row r="159" spans="1:3" ht="18" customHeight="1" x14ac:dyDescent="0.2">
      <c r="A159" s="148"/>
      <c r="B159" s="148"/>
      <c r="C159" s="148"/>
    </row>
    <row r="160" spans="1:3" ht="18" customHeight="1" x14ac:dyDescent="0.2">
      <c r="A160" s="148"/>
      <c r="B160" s="148"/>
      <c r="C160" s="148"/>
    </row>
    <row r="161" ht="18" customHeight="1" x14ac:dyDescent="0.2"/>
    <row r="162" ht="18" customHeight="1" x14ac:dyDescent="0.2"/>
    <row r="163" ht="18" customHeight="1" x14ac:dyDescent="0.2"/>
    <row r="164" ht="18" customHeight="1" x14ac:dyDescent="0.2"/>
    <row r="165" ht="18" customHeight="1" x14ac:dyDescent="0.2"/>
    <row r="166" ht="18" customHeight="1" x14ac:dyDescent="0.2"/>
    <row r="167" ht="18" customHeight="1" x14ac:dyDescent="0.2"/>
    <row r="168" ht="18" customHeight="1" x14ac:dyDescent="0.2"/>
    <row r="169" ht="18" customHeight="1" x14ac:dyDescent="0.2"/>
    <row r="170" ht="18" customHeight="1" x14ac:dyDescent="0.2"/>
    <row r="171" ht="18" customHeight="1" x14ac:dyDescent="0.2"/>
    <row r="172" ht="18" customHeight="1" x14ac:dyDescent="0.2"/>
    <row r="173" ht="18" customHeight="1" x14ac:dyDescent="0.2"/>
    <row r="174" ht="18" customHeight="1" x14ac:dyDescent="0.2"/>
    <row r="175" ht="18" customHeight="1" x14ac:dyDescent="0.2"/>
    <row r="176" ht="18" customHeight="1" x14ac:dyDescent="0.2"/>
    <row r="177" ht="18" customHeight="1" x14ac:dyDescent="0.2"/>
    <row r="178" ht="18" customHeight="1" x14ac:dyDescent="0.2"/>
    <row r="179" ht="18" customHeight="1" x14ac:dyDescent="0.2"/>
    <row r="180" ht="18" customHeight="1" x14ac:dyDescent="0.2"/>
    <row r="181" ht="18" customHeight="1" x14ac:dyDescent="0.2"/>
    <row r="182" ht="18" customHeight="1" x14ac:dyDescent="0.2"/>
    <row r="183" ht="18" customHeight="1" x14ac:dyDescent="0.2"/>
    <row r="184" ht="18" customHeight="1" x14ac:dyDescent="0.2"/>
    <row r="185" ht="18" customHeight="1" x14ac:dyDescent="0.2"/>
    <row r="186" ht="18" customHeight="1" x14ac:dyDescent="0.2"/>
    <row r="187" ht="18" customHeight="1" x14ac:dyDescent="0.2"/>
    <row r="188" ht="18" customHeight="1" x14ac:dyDescent="0.2"/>
    <row r="189" ht="18" customHeight="1" x14ac:dyDescent="0.2"/>
    <row r="190" ht="18" customHeight="1" x14ac:dyDescent="0.2"/>
    <row r="191" ht="18" customHeight="1" x14ac:dyDescent="0.2"/>
    <row r="192" ht="18" customHeight="1" x14ac:dyDescent="0.2"/>
    <row r="193" ht="18" customHeight="1" x14ac:dyDescent="0.2"/>
    <row r="194" ht="18" customHeight="1" x14ac:dyDescent="0.2"/>
    <row r="195" ht="18" customHeight="1" x14ac:dyDescent="0.2"/>
    <row r="196" ht="18" customHeight="1" x14ac:dyDescent="0.2"/>
    <row r="197" ht="18" customHeight="1" x14ac:dyDescent="0.2"/>
    <row r="198" ht="18" customHeight="1" x14ac:dyDescent="0.2"/>
    <row r="199" ht="18" customHeight="1" x14ac:dyDescent="0.2"/>
    <row r="200" ht="18" customHeight="1" x14ac:dyDescent="0.2"/>
    <row r="201" ht="18" customHeight="1" x14ac:dyDescent="0.2"/>
    <row r="202" ht="18" customHeight="1" x14ac:dyDescent="0.2"/>
    <row r="203" ht="18" customHeight="1" x14ac:dyDescent="0.2"/>
    <row r="204" ht="18" customHeight="1" x14ac:dyDescent="0.2"/>
    <row r="205" ht="18" customHeight="1" x14ac:dyDescent="0.2"/>
    <row r="206" ht="18" customHeight="1" x14ac:dyDescent="0.2"/>
    <row r="207" ht="18" customHeight="1" x14ac:dyDescent="0.2"/>
    <row r="208" ht="18" customHeight="1" x14ac:dyDescent="0.2"/>
    <row r="209" ht="18" customHeight="1" x14ac:dyDescent="0.2"/>
    <row r="210" ht="18" customHeight="1" x14ac:dyDescent="0.2"/>
    <row r="211" ht="18" customHeight="1" x14ac:dyDescent="0.2"/>
    <row r="212" ht="18" customHeight="1" x14ac:dyDescent="0.2"/>
    <row r="213" ht="18" customHeight="1" x14ac:dyDescent="0.2"/>
    <row r="214" ht="18" customHeight="1" x14ac:dyDescent="0.2"/>
    <row r="215" ht="18" customHeight="1" x14ac:dyDescent="0.2"/>
    <row r="216" ht="18" customHeight="1" x14ac:dyDescent="0.2"/>
    <row r="217" ht="18" customHeight="1" x14ac:dyDescent="0.2"/>
    <row r="218" ht="18" customHeight="1" x14ac:dyDescent="0.2"/>
    <row r="219" ht="18" customHeight="1" x14ac:dyDescent="0.2"/>
    <row r="220" ht="18" customHeight="1" x14ac:dyDescent="0.2"/>
    <row r="221" ht="18" customHeight="1" x14ac:dyDescent="0.2"/>
    <row r="222" ht="18" customHeight="1" x14ac:dyDescent="0.2"/>
    <row r="223" ht="18" customHeight="1" x14ac:dyDescent="0.2"/>
    <row r="224" ht="18" customHeight="1" x14ac:dyDescent="0.2"/>
    <row r="225" ht="18" customHeight="1" x14ac:dyDescent="0.2"/>
    <row r="226" ht="18" customHeight="1" x14ac:dyDescent="0.2"/>
    <row r="227" ht="18" customHeight="1" x14ac:dyDescent="0.2"/>
    <row r="228" ht="18" customHeight="1" x14ac:dyDescent="0.2"/>
    <row r="229" ht="18" customHeight="1" x14ac:dyDescent="0.2"/>
    <row r="230" ht="18" customHeight="1" x14ac:dyDescent="0.2"/>
    <row r="231" ht="18" customHeight="1" x14ac:dyDescent="0.2"/>
    <row r="232" ht="18" customHeight="1" x14ac:dyDescent="0.2"/>
    <row r="233" ht="18" customHeight="1" x14ac:dyDescent="0.2"/>
    <row r="234" ht="18" customHeight="1" x14ac:dyDescent="0.2"/>
    <row r="235" ht="18" customHeight="1" x14ac:dyDescent="0.2"/>
    <row r="236" ht="18" customHeight="1" x14ac:dyDescent="0.2"/>
    <row r="237" ht="18" customHeight="1" x14ac:dyDescent="0.2"/>
    <row r="238" ht="18" customHeight="1" x14ac:dyDescent="0.2"/>
    <row r="239" ht="18" customHeight="1" x14ac:dyDescent="0.2"/>
    <row r="240" ht="18" customHeight="1" x14ac:dyDescent="0.2"/>
    <row r="241" ht="18" customHeight="1" x14ac:dyDescent="0.2"/>
    <row r="242" ht="18" customHeight="1" x14ac:dyDescent="0.2"/>
    <row r="243" ht="18" customHeight="1" x14ac:dyDescent="0.2"/>
    <row r="244" ht="18" customHeight="1" x14ac:dyDescent="0.2"/>
    <row r="245" ht="18" customHeight="1" x14ac:dyDescent="0.2"/>
    <row r="246" ht="18" customHeight="1" x14ac:dyDescent="0.2"/>
    <row r="247" ht="18" customHeight="1" x14ac:dyDescent="0.2"/>
    <row r="248" ht="18" customHeight="1" x14ac:dyDescent="0.2"/>
    <row r="249" ht="18" customHeight="1" x14ac:dyDescent="0.2"/>
    <row r="250" ht="18" customHeight="1" x14ac:dyDescent="0.2"/>
    <row r="251" ht="18" customHeight="1" x14ac:dyDescent="0.2"/>
    <row r="252" ht="18" customHeight="1" x14ac:dyDescent="0.2"/>
    <row r="253" ht="18" customHeight="1" x14ac:dyDescent="0.2"/>
    <row r="254" ht="18" customHeight="1" x14ac:dyDescent="0.2"/>
    <row r="255" ht="18" customHeight="1" x14ac:dyDescent="0.2"/>
    <row r="256" ht="18" customHeight="1" x14ac:dyDescent="0.2"/>
    <row r="257" ht="18" customHeight="1" x14ac:dyDescent="0.2"/>
    <row r="258" ht="18" customHeight="1" x14ac:dyDescent="0.2"/>
    <row r="259" ht="18" customHeight="1" x14ac:dyDescent="0.2"/>
    <row r="260" ht="18" customHeight="1" x14ac:dyDescent="0.2"/>
    <row r="261" ht="18" customHeight="1" x14ac:dyDescent="0.2"/>
    <row r="262" ht="18" customHeight="1" x14ac:dyDescent="0.2"/>
    <row r="263" ht="18" customHeight="1" x14ac:dyDescent="0.2"/>
    <row r="264" ht="18" customHeight="1" x14ac:dyDescent="0.2"/>
    <row r="265" ht="18" customHeight="1" x14ac:dyDescent="0.2"/>
    <row r="266" ht="18" customHeight="1" x14ac:dyDescent="0.2"/>
    <row r="267" ht="18" customHeight="1" x14ac:dyDescent="0.2"/>
    <row r="268" ht="18" customHeight="1" x14ac:dyDescent="0.2"/>
    <row r="269" ht="18" customHeight="1" x14ac:dyDescent="0.2"/>
    <row r="270" ht="18" customHeight="1" x14ac:dyDescent="0.2"/>
    <row r="271" ht="18" customHeight="1" x14ac:dyDescent="0.2"/>
    <row r="272" ht="18" customHeight="1" x14ac:dyDescent="0.2"/>
    <row r="273" ht="18" customHeight="1" x14ac:dyDescent="0.2"/>
    <row r="274" ht="18" customHeight="1" x14ac:dyDescent="0.2"/>
    <row r="275" ht="18" customHeight="1" x14ac:dyDescent="0.2"/>
    <row r="276" ht="18" customHeight="1" x14ac:dyDescent="0.2"/>
    <row r="277" ht="18" customHeight="1" x14ac:dyDescent="0.2"/>
    <row r="278" ht="18" customHeight="1" x14ac:dyDescent="0.2"/>
    <row r="279" ht="18" customHeight="1" x14ac:dyDescent="0.2"/>
    <row r="280" ht="18" customHeight="1" x14ac:dyDescent="0.2"/>
    <row r="281" ht="18" customHeight="1" x14ac:dyDescent="0.2"/>
    <row r="282" ht="18" customHeight="1" x14ac:dyDescent="0.2"/>
    <row r="283" ht="18" customHeight="1" x14ac:dyDescent="0.2"/>
    <row r="284" ht="18" customHeight="1" x14ac:dyDescent="0.2"/>
    <row r="285" ht="18" customHeight="1" x14ac:dyDescent="0.2"/>
    <row r="286" ht="18" customHeight="1" x14ac:dyDescent="0.2"/>
    <row r="287" ht="18" customHeight="1" x14ac:dyDescent="0.2"/>
    <row r="288" ht="18" customHeight="1" x14ac:dyDescent="0.2"/>
    <row r="289" ht="18" customHeight="1" x14ac:dyDescent="0.2"/>
    <row r="290" ht="18" customHeight="1" x14ac:dyDescent="0.2"/>
    <row r="291" ht="18" customHeight="1" x14ac:dyDescent="0.2"/>
    <row r="292" ht="18" customHeight="1" x14ac:dyDescent="0.2"/>
    <row r="293" ht="18" customHeight="1" x14ac:dyDescent="0.2"/>
    <row r="294" ht="18" customHeight="1" x14ac:dyDescent="0.2"/>
    <row r="295" ht="18" customHeight="1" x14ac:dyDescent="0.2"/>
    <row r="296" ht="18" customHeight="1" x14ac:dyDescent="0.2"/>
    <row r="297" ht="18" customHeight="1" x14ac:dyDescent="0.2"/>
    <row r="298" ht="18" customHeight="1" x14ac:dyDescent="0.2"/>
    <row r="299" ht="18" customHeight="1" x14ac:dyDescent="0.2"/>
    <row r="300" ht="18" customHeight="1" x14ac:dyDescent="0.2"/>
    <row r="301" ht="18" customHeight="1" x14ac:dyDescent="0.2"/>
    <row r="302" ht="18" customHeight="1" x14ac:dyDescent="0.2"/>
    <row r="303" ht="18" customHeight="1" x14ac:dyDescent="0.2"/>
    <row r="304" ht="18" customHeight="1" x14ac:dyDescent="0.2"/>
    <row r="305" ht="18" customHeight="1" x14ac:dyDescent="0.2"/>
    <row r="306" ht="18" customHeight="1" x14ac:dyDescent="0.2"/>
    <row r="307" ht="18" customHeight="1" x14ac:dyDescent="0.2"/>
    <row r="308" ht="18" customHeight="1" x14ac:dyDescent="0.2"/>
    <row r="309" ht="18" customHeight="1" x14ac:dyDescent="0.2"/>
    <row r="310" ht="18" customHeight="1" x14ac:dyDescent="0.2"/>
    <row r="311" ht="18" customHeight="1" x14ac:dyDescent="0.2"/>
    <row r="312" ht="18" customHeight="1" x14ac:dyDescent="0.2"/>
    <row r="313" ht="18" customHeight="1" x14ac:dyDescent="0.2"/>
    <row r="314" ht="18" customHeight="1" x14ac:dyDescent="0.2"/>
    <row r="315" ht="18" customHeight="1" x14ac:dyDescent="0.2"/>
    <row r="316" ht="18" customHeight="1" x14ac:dyDescent="0.2"/>
    <row r="317" ht="18" customHeight="1" x14ac:dyDescent="0.2"/>
    <row r="318" ht="18" customHeight="1" x14ac:dyDescent="0.2"/>
    <row r="319" ht="18" customHeight="1" x14ac:dyDescent="0.2"/>
    <row r="320" ht="18" customHeight="1" x14ac:dyDescent="0.2"/>
    <row r="321" ht="18" customHeight="1" x14ac:dyDescent="0.2"/>
    <row r="322" ht="18" customHeight="1" x14ac:dyDescent="0.2"/>
    <row r="323" ht="18" customHeight="1" x14ac:dyDescent="0.2"/>
    <row r="324" ht="18" customHeight="1" x14ac:dyDescent="0.2"/>
    <row r="325" ht="18" customHeight="1" x14ac:dyDescent="0.2"/>
    <row r="326" ht="18" customHeight="1" x14ac:dyDescent="0.2"/>
    <row r="327" ht="18" customHeight="1" x14ac:dyDescent="0.2"/>
    <row r="328" ht="18" customHeight="1" x14ac:dyDescent="0.2"/>
    <row r="329" ht="18" customHeight="1" x14ac:dyDescent="0.2"/>
    <row r="330" ht="18" customHeight="1" x14ac:dyDescent="0.2"/>
    <row r="331" ht="18" customHeight="1" x14ac:dyDescent="0.2"/>
    <row r="332" ht="18" customHeight="1" x14ac:dyDescent="0.2"/>
    <row r="333" ht="18" customHeight="1" x14ac:dyDescent="0.2"/>
    <row r="334" ht="18" customHeight="1" x14ac:dyDescent="0.2"/>
    <row r="335" ht="18" customHeight="1" x14ac:dyDescent="0.2"/>
    <row r="336" ht="18" customHeight="1" x14ac:dyDescent="0.2"/>
    <row r="337" ht="18" customHeight="1" x14ac:dyDescent="0.2"/>
    <row r="338" ht="18" customHeight="1" x14ac:dyDescent="0.2"/>
    <row r="339" ht="18" customHeight="1" x14ac:dyDescent="0.2"/>
    <row r="340" ht="18" customHeight="1" x14ac:dyDescent="0.2"/>
    <row r="341" ht="18" customHeight="1" x14ac:dyDescent="0.2"/>
    <row r="342" ht="18" customHeight="1" x14ac:dyDescent="0.2"/>
    <row r="343" ht="18" customHeight="1" x14ac:dyDescent="0.2"/>
    <row r="344" ht="18" customHeight="1" x14ac:dyDescent="0.2"/>
    <row r="345" ht="18" customHeight="1" x14ac:dyDescent="0.2"/>
    <row r="346" ht="18" customHeight="1" x14ac:dyDescent="0.2"/>
    <row r="347" ht="18" customHeight="1" x14ac:dyDescent="0.2"/>
    <row r="348" ht="18" customHeight="1" x14ac:dyDescent="0.2"/>
    <row r="349" ht="18" customHeight="1" x14ac:dyDescent="0.2"/>
    <row r="350" ht="18" customHeight="1" x14ac:dyDescent="0.2"/>
    <row r="351" ht="18" customHeight="1" x14ac:dyDescent="0.2"/>
    <row r="352" ht="18" customHeight="1" x14ac:dyDescent="0.2"/>
    <row r="353" ht="18" customHeight="1" x14ac:dyDescent="0.2"/>
    <row r="354" ht="18" customHeight="1" x14ac:dyDescent="0.2"/>
    <row r="355" ht="18" customHeight="1" x14ac:dyDescent="0.2"/>
    <row r="356" ht="18" customHeight="1" x14ac:dyDescent="0.2"/>
    <row r="357" ht="18" customHeight="1" x14ac:dyDescent="0.2"/>
    <row r="358" ht="18" customHeight="1" x14ac:dyDescent="0.2"/>
    <row r="359" ht="18" customHeight="1" x14ac:dyDescent="0.2"/>
    <row r="360" ht="18" customHeight="1" x14ac:dyDescent="0.2"/>
    <row r="361" ht="18" customHeight="1" x14ac:dyDescent="0.2"/>
    <row r="362" ht="18" customHeight="1" x14ac:dyDescent="0.2"/>
    <row r="363" ht="18" customHeight="1" x14ac:dyDescent="0.2"/>
    <row r="364" ht="18" customHeight="1" x14ac:dyDescent="0.2"/>
    <row r="365" ht="18" customHeight="1" x14ac:dyDescent="0.2"/>
    <row r="366" ht="18" customHeight="1" x14ac:dyDescent="0.2"/>
    <row r="367" ht="18" customHeight="1" x14ac:dyDescent="0.2"/>
    <row r="368" ht="18" customHeight="1" x14ac:dyDescent="0.2"/>
    <row r="369" ht="18" customHeight="1" x14ac:dyDescent="0.2"/>
    <row r="370" ht="18" customHeight="1" x14ac:dyDescent="0.2"/>
    <row r="371" ht="18" customHeight="1" x14ac:dyDescent="0.2"/>
    <row r="372" ht="18" customHeight="1" x14ac:dyDescent="0.2"/>
    <row r="373" ht="18" customHeight="1" x14ac:dyDescent="0.2"/>
    <row r="374" ht="18" customHeight="1" x14ac:dyDescent="0.2"/>
    <row r="375" ht="18" customHeight="1" x14ac:dyDescent="0.2"/>
    <row r="376" ht="18" customHeight="1" x14ac:dyDescent="0.2"/>
    <row r="377" ht="18" customHeight="1" x14ac:dyDescent="0.2"/>
    <row r="378" ht="18" customHeight="1" x14ac:dyDescent="0.2"/>
    <row r="379" ht="18" customHeight="1" x14ac:dyDescent="0.2"/>
    <row r="380" ht="18" customHeight="1" x14ac:dyDescent="0.2"/>
    <row r="381" ht="18" customHeight="1" x14ac:dyDescent="0.2"/>
    <row r="382" ht="18" customHeight="1" x14ac:dyDescent="0.2"/>
    <row r="383" ht="18" customHeight="1" x14ac:dyDescent="0.2"/>
    <row r="384" ht="18" customHeight="1" x14ac:dyDescent="0.2"/>
    <row r="385" ht="18" customHeight="1" x14ac:dyDescent="0.2"/>
    <row r="386" ht="18" customHeight="1" x14ac:dyDescent="0.2"/>
    <row r="387" ht="18" customHeight="1" x14ac:dyDescent="0.2"/>
    <row r="388" ht="18" customHeight="1" x14ac:dyDescent="0.2"/>
    <row r="389" ht="18" customHeight="1" x14ac:dyDescent="0.2"/>
    <row r="390" ht="18" customHeight="1" x14ac:dyDescent="0.2"/>
    <row r="391" ht="18" customHeight="1" x14ac:dyDescent="0.2"/>
    <row r="392" ht="18" customHeight="1" x14ac:dyDescent="0.2"/>
    <row r="393" ht="18" customHeight="1" x14ac:dyDescent="0.2"/>
    <row r="394" ht="18" customHeight="1" x14ac:dyDescent="0.2"/>
    <row r="395" ht="18" customHeight="1" x14ac:dyDescent="0.2"/>
    <row r="396" ht="18" customHeight="1" x14ac:dyDescent="0.2"/>
    <row r="397" ht="18" customHeight="1" x14ac:dyDescent="0.2"/>
    <row r="398" ht="18" customHeight="1" x14ac:dyDescent="0.2"/>
    <row r="399" ht="18" customHeight="1" x14ac:dyDescent="0.2"/>
    <row r="400" ht="18" customHeight="1" x14ac:dyDescent="0.2"/>
    <row r="401" ht="18" customHeight="1" x14ac:dyDescent="0.2"/>
    <row r="402" ht="18" customHeight="1" x14ac:dyDescent="0.2"/>
    <row r="403" ht="18" customHeight="1" x14ac:dyDescent="0.2"/>
    <row r="404" ht="18" customHeight="1" x14ac:dyDescent="0.2"/>
    <row r="405" ht="18" customHeight="1" x14ac:dyDescent="0.2"/>
    <row r="406" ht="18" customHeight="1" x14ac:dyDescent="0.2"/>
    <row r="407" ht="18" customHeight="1" x14ac:dyDescent="0.2"/>
    <row r="408" ht="18" customHeight="1" x14ac:dyDescent="0.2"/>
    <row r="409" ht="18" customHeight="1" x14ac:dyDescent="0.2"/>
    <row r="410" ht="18" customHeight="1" x14ac:dyDescent="0.2"/>
    <row r="411" ht="18" customHeight="1" x14ac:dyDescent="0.2"/>
    <row r="412" ht="18" customHeight="1" x14ac:dyDescent="0.2"/>
    <row r="413" ht="18" customHeight="1" x14ac:dyDescent="0.2"/>
    <row r="414" ht="18" customHeight="1" x14ac:dyDescent="0.2"/>
    <row r="415" ht="18" customHeight="1" x14ac:dyDescent="0.2"/>
    <row r="416" ht="18" customHeight="1" x14ac:dyDescent="0.2"/>
    <row r="417" ht="18" customHeight="1" x14ac:dyDescent="0.2"/>
    <row r="418" ht="18" customHeight="1" x14ac:dyDescent="0.2"/>
    <row r="419" ht="18" customHeight="1" x14ac:dyDescent="0.2"/>
    <row r="420" ht="18" customHeight="1" x14ac:dyDescent="0.2"/>
    <row r="421" ht="18" customHeight="1" x14ac:dyDescent="0.2"/>
    <row r="422" ht="18" customHeight="1" x14ac:dyDescent="0.2"/>
    <row r="423" ht="18" customHeight="1" x14ac:dyDescent="0.2"/>
    <row r="424" ht="18" customHeight="1" x14ac:dyDescent="0.2"/>
    <row r="425" ht="18" customHeight="1" x14ac:dyDescent="0.2"/>
    <row r="426" ht="18" customHeight="1" x14ac:dyDescent="0.2"/>
    <row r="427" ht="18" customHeight="1" x14ac:dyDescent="0.2"/>
    <row r="428" ht="18" customHeight="1" x14ac:dyDescent="0.2"/>
    <row r="429" ht="18" customHeight="1" x14ac:dyDescent="0.2"/>
    <row r="430" ht="18" customHeight="1" x14ac:dyDescent="0.2"/>
    <row r="431" ht="18" customHeight="1" x14ac:dyDescent="0.2"/>
    <row r="432" ht="18" customHeight="1" x14ac:dyDescent="0.2"/>
    <row r="433" ht="18" customHeight="1" x14ac:dyDescent="0.2"/>
    <row r="434" ht="18" customHeight="1" x14ac:dyDescent="0.2"/>
    <row r="435" ht="18" customHeight="1" x14ac:dyDescent="0.2"/>
    <row r="436" ht="18" customHeight="1" x14ac:dyDescent="0.2"/>
    <row r="437" ht="18" customHeight="1" x14ac:dyDescent="0.2"/>
    <row r="438" ht="18" customHeight="1" x14ac:dyDescent="0.2"/>
    <row r="439" ht="18" customHeight="1" x14ac:dyDescent="0.2"/>
    <row r="440" ht="18" customHeight="1" x14ac:dyDescent="0.2"/>
    <row r="441" ht="18" customHeight="1" x14ac:dyDescent="0.2"/>
    <row r="442" ht="18" customHeight="1" x14ac:dyDescent="0.2"/>
    <row r="443" ht="18" customHeight="1" x14ac:dyDescent="0.2"/>
    <row r="444" ht="18" customHeight="1" x14ac:dyDescent="0.2"/>
    <row r="445" ht="18" customHeight="1" x14ac:dyDescent="0.2"/>
    <row r="446" ht="18" customHeight="1" x14ac:dyDescent="0.2"/>
    <row r="447" ht="18" customHeight="1" x14ac:dyDescent="0.2"/>
    <row r="448" ht="18" customHeight="1" x14ac:dyDescent="0.2"/>
    <row r="449" ht="18" customHeight="1" x14ac:dyDescent="0.2"/>
    <row r="450" ht="18" customHeight="1" x14ac:dyDescent="0.2"/>
    <row r="451" ht="18" customHeight="1" x14ac:dyDescent="0.2"/>
    <row r="452" ht="18" customHeight="1" x14ac:dyDescent="0.2"/>
    <row r="453" ht="18" customHeight="1" x14ac:dyDescent="0.2"/>
    <row r="454" ht="18" customHeight="1" x14ac:dyDescent="0.2"/>
    <row r="455" ht="18" customHeight="1" x14ac:dyDescent="0.2"/>
    <row r="456" ht="18" customHeight="1" x14ac:dyDescent="0.2"/>
    <row r="457" ht="18" customHeight="1" x14ac:dyDescent="0.2"/>
    <row r="458" ht="18" customHeight="1" x14ac:dyDescent="0.2"/>
    <row r="459" ht="18" customHeight="1" x14ac:dyDescent="0.2"/>
    <row r="460" ht="18" customHeight="1" x14ac:dyDescent="0.2"/>
    <row r="461" ht="18" customHeight="1" x14ac:dyDescent="0.2"/>
    <row r="462" ht="18" customHeight="1" x14ac:dyDescent="0.2"/>
    <row r="463" ht="18" customHeight="1" x14ac:dyDescent="0.2"/>
    <row r="464" ht="18" customHeight="1" x14ac:dyDescent="0.2"/>
    <row r="465" ht="18" customHeight="1" x14ac:dyDescent="0.2"/>
    <row r="466" ht="18" customHeight="1" x14ac:dyDescent="0.2"/>
    <row r="467" ht="18" customHeight="1" x14ac:dyDescent="0.2"/>
    <row r="468" ht="18" customHeight="1" x14ac:dyDescent="0.2"/>
    <row r="469" ht="18" customHeight="1" x14ac:dyDescent="0.2"/>
    <row r="470" ht="18" customHeight="1" x14ac:dyDescent="0.2"/>
    <row r="471" ht="18" customHeight="1" x14ac:dyDescent="0.2"/>
    <row r="472" ht="18" customHeight="1" x14ac:dyDescent="0.2"/>
    <row r="473" ht="18" customHeight="1" x14ac:dyDescent="0.2"/>
    <row r="474" ht="18" customHeight="1" x14ac:dyDescent="0.2"/>
    <row r="475" ht="18" customHeight="1" x14ac:dyDescent="0.2"/>
    <row r="476" ht="18" customHeight="1" x14ac:dyDescent="0.2"/>
    <row r="477" ht="18" customHeight="1" x14ac:dyDescent="0.2"/>
    <row r="478" ht="18" customHeight="1" x14ac:dyDescent="0.2"/>
    <row r="479" ht="18" customHeight="1" x14ac:dyDescent="0.2"/>
    <row r="480" ht="18" customHeight="1" x14ac:dyDescent="0.2"/>
    <row r="481" ht="18" customHeight="1" x14ac:dyDescent="0.2"/>
    <row r="482" ht="18" customHeight="1" x14ac:dyDescent="0.2"/>
    <row r="483" ht="18" customHeight="1" x14ac:dyDescent="0.2"/>
    <row r="484" ht="18" customHeight="1" x14ac:dyDescent="0.2"/>
    <row r="485" ht="18" customHeight="1" x14ac:dyDescent="0.2"/>
    <row r="486" ht="18" customHeight="1" x14ac:dyDescent="0.2"/>
    <row r="487" ht="18" customHeight="1" x14ac:dyDescent="0.2"/>
    <row r="488" ht="18" customHeight="1" x14ac:dyDescent="0.2"/>
    <row r="489" ht="18" customHeight="1" x14ac:dyDescent="0.2"/>
    <row r="490" ht="18" customHeight="1" x14ac:dyDescent="0.2"/>
    <row r="491" ht="18" customHeight="1" x14ac:dyDescent="0.2"/>
    <row r="492" ht="18" customHeight="1" x14ac:dyDescent="0.2"/>
    <row r="493" ht="18" customHeight="1" x14ac:dyDescent="0.2"/>
    <row r="494" ht="18" customHeight="1" x14ac:dyDescent="0.2"/>
    <row r="495" ht="18" customHeight="1" x14ac:dyDescent="0.2"/>
    <row r="496" ht="18" customHeight="1" x14ac:dyDescent="0.2"/>
    <row r="497" ht="18" customHeight="1" x14ac:dyDescent="0.2"/>
    <row r="498" ht="18" customHeight="1" x14ac:dyDescent="0.2"/>
    <row r="499" ht="18" customHeight="1" x14ac:dyDescent="0.2"/>
    <row r="500" ht="18" customHeight="1" x14ac:dyDescent="0.2"/>
    <row r="501" ht="18" customHeight="1" x14ac:dyDescent="0.2"/>
    <row r="502" ht="18" customHeight="1" x14ac:dyDescent="0.2"/>
    <row r="503" ht="18" customHeight="1" x14ac:dyDescent="0.2"/>
    <row r="504" ht="18" customHeight="1" x14ac:dyDescent="0.2"/>
    <row r="505" ht="18" customHeight="1" x14ac:dyDescent="0.2"/>
    <row r="506" ht="18" customHeight="1" x14ac:dyDescent="0.2"/>
    <row r="507" ht="18" customHeight="1" x14ac:dyDescent="0.2"/>
    <row r="508" ht="18" customHeight="1" x14ac:dyDescent="0.2"/>
    <row r="509" ht="18" customHeight="1" x14ac:dyDescent="0.2"/>
    <row r="510" ht="18" customHeight="1" x14ac:dyDescent="0.2"/>
    <row r="511" ht="18" customHeight="1" x14ac:dyDescent="0.2"/>
    <row r="512" ht="18" customHeight="1" x14ac:dyDescent="0.2"/>
    <row r="513" ht="18" customHeight="1" x14ac:dyDescent="0.2"/>
    <row r="514" ht="18" customHeight="1" x14ac:dyDescent="0.2"/>
    <row r="515" ht="18" customHeight="1" x14ac:dyDescent="0.2"/>
    <row r="516" ht="18" customHeight="1" x14ac:dyDescent="0.2"/>
    <row r="517" ht="18" customHeight="1" x14ac:dyDescent="0.2"/>
    <row r="518" ht="18" customHeight="1" x14ac:dyDescent="0.2"/>
    <row r="519" ht="18" customHeight="1" x14ac:dyDescent="0.2"/>
    <row r="520" ht="18" customHeight="1" x14ac:dyDescent="0.2"/>
    <row r="521" ht="18" customHeight="1" x14ac:dyDescent="0.2"/>
    <row r="522" ht="18" customHeight="1" x14ac:dyDescent="0.2"/>
    <row r="523" ht="18" customHeight="1" x14ac:dyDescent="0.2"/>
    <row r="524" ht="18" customHeight="1" x14ac:dyDescent="0.2"/>
    <row r="525" ht="18" customHeight="1" x14ac:dyDescent="0.2"/>
    <row r="526" ht="18" customHeight="1" x14ac:dyDescent="0.2"/>
    <row r="527" ht="18" customHeight="1" x14ac:dyDescent="0.2"/>
    <row r="528" ht="18" customHeight="1" x14ac:dyDescent="0.2"/>
    <row r="529" ht="18" customHeight="1" x14ac:dyDescent="0.2"/>
    <row r="530" ht="18" customHeight="1" x14ac:dyDescent="0.2"/>
    <row r="531" ht="18" customHeight="1" x14ac:dyDescent="0.2"/>
    <row r="532" ht="18" customHeight="1" x14ac:dyDescent="0.2"/>
    <row r="533" ht="18" customHeight="1" x14ac:dyDescent="0.2"/>
    <row r="534" ht="18" customHeight="1" x14ac:dyDescent="0.2"/>
    <row r="535" ht="18" customHeight="1" x14ac:dyDescent="0.2"/>
    <row r="536" ht="18" customHeight="1" x14ac:dyDescent="0.2"/>
    <row r="537" ht="18" customHeight="1" x14ac:dyDescent="0.2"/>
    <row r="538" ht="18" customHeight="1" x14ac:dyDescent="0.2"/>
    <row r="539" ht="18" customHeight="1" x14ac:dyDescent="0.2"/>
    <row r="540" ht="18" customHeight="1" x14ac:dyDescent="0.2"/>
    <row r="541" ht="18" customHeight="1" x14ac:dyDescent="0.2"/>
    <row r="542" ht="18" customHeight="1" x14ac:dyDescent="0.2"/>
    <row r="543" ht="18" customHeight="1" x14ac:dyDescent="0.2"/>
    <row r="544" ht="18" customHeight="1" x14ac:dyDescent="0.2"/>
    <row r="545" ht="18" customHeight="1" x14ac:dyDescent="0.2"/>
    <row r="546" ht="18" customHeight="1" x14ac:dyDescent="0.2"/>
    <row r="547" ht="18" customHeight="1" x14ac:dyDescent="0.2"/>
    <row r="548" ht="18" customHeight="1" x14ac:dyDescent="0.2"/>
    <row r="549" ht="18" customHeight="1" x14ac:dyDescent="0.2"/>
    <row r="550" ht="18" customHeight="1" x14ac:dyDescent="0.2"/>
    <row r="551" ht="18" customHeight="1" x14ac:dyDescent="0.2"/>
    <row r="552" ht="18" customHeight="1" x14ac:dyDescent="0.2"/>
    <row r="553" ht="18" customHeight="1" x14ac:dyDescent="0.2"/>
    <row r="554" ht="18" customHeight="1" x14ac:dyDescent="0.2"/>
    <row r="555" ht="18" customHeight="1" x14ac:dyDescent="0.2"/>
    <row r="556" ht="18" customHeight="1" x14ac:dyDescent="0.2"/>
    <row r="557" ht="18" customHeight="1" x14ac:dyDescent="0.2"/>
    <row r="558" ht="18" customHeight="1" x14ac:dyDescent="0.2"/>
    <row r="559" ht="18" customHeight="1" x14ac:dyDescent="0.2"/>
    <row r="560" ht="18" customHeight="1" x14ac:dyDescent="0.2"/>
    <row r="561" ht="18" customHeight="1" x14ac:dyDescent="0.2"/>
    <row r="562" ht="18" customHeight="1" x14ac:dyDescent="0.2"/>
    <row r="563" ht="18" customHeight="1" x14ac:dyDescent="0.2"/>
    <row r="564" ht="18" customHeight="1" x14ac:dyDescent="0.2"/>
    <row r="565" ht="18" customHeight="1" x14ac:dyDescent="0.2"/>
    <row r="566" ht="18" customHeight="1" x14ac:dyDescent="0.2"/>
    <row r="567" ht="18" customHeight="1" x14ac:dyDescent="0.2"/>
    <row r="568" ht="18" customHeight="1" x14ac:dyDescent="0.2"/>
    <row r="569" ht="18" customHeight="1" x14ac:dyDescent="0.2"/>
    <row r="570" ht="18" customHeight="1" x14ac:dyDescent="0.2"/>
    <row r="571" ht="18" customHeight="1" x14ac:dyDescent="0.2"/>
    <row r="572" ht="18" customHeight="1" x14ac:dyDescent="0.2"/>
    <row r="573" ht="18" customHeight="1" x14ac:dyDescent="0.2"/>
    <row r="574" ht="18" customHeight="1" x14ac:dyDescent="0.2"/>
    <row r="575" ht="18" customHeight="1" x14ac:dyDescent="0.2"/>
    <row r="576" ht="18" customHeight="1" x14ac:dyDescent="0.2"/>
    <row r="577" ht="18" customHeight="1" x14ac:dyDescent="0.2"/>
    <row r="578" ht="18" customHeight="1" x14ac:dyDescent="0.2"/>
    <row r="579" ht="18" customHeight="1" x14ac:dyDescent="0.2"/>
    <row r="580" ht="18" customHeight="1" x14ac:dyDescent="0.2"/>
    <row r="581" ht="18" customHeight="1" x14ac:dyDescent="0.2"/>
    <row r="582" ht="18" customHeight="1" x14ac:dyDescent="0.2"/>
    <row r="583" ht="18" customHeight="1" x14ac:dyDescent="0.2"/>
    <row r="584" ht="18" customHeight="1" x14ac:dyDescent="0.2"/>
    <row r="585" ht="18" customHeight="1" x14ac:dyDescent="0.2"/>
    <row r="586" ht="18" customHeight="1" x14ac:dyDescent="0.2"/>
    <row r="587" ht="18" customHeight="1" x14ac:dyDescent="0.2"/>
    <row r="588" ht="18" customHeight="1" x14ac:dyDescent="0.2"/>
    <row r="589" ht="18" customHeight="1" x14ac:dyDescent="0.2"/>
    <row r="590" ht="18" customHeight="1" x14ac:dyDescent="0.2"/>
    <row r="591" ht="18" customHeight="1" x14ac:dyDescent="0.2"/>
    <row r="592" ht="18" customHeight="1" x14ac:dyDescent="0.2"/>
    <row r="593" ht="18" customHeight="1" x14ac:dyDescent="0.2"/>
    <row r="594" ht="18" customHeight="1" x14ac:dyDescent="0.2"/>
    <row r="595" ht="18" customHeight="1" x14ac:dyDescent="0.2"/>
    <row r="596" ht="18" customHeight="1" x14ac:dyDescent="0.2"/>
    <row r="597" ht="18" customHeight="1" x14ac:dyDescent="0.2"/>
    <row r="598" ht="18" customHeight="1" x14ac:dyDescent="0.2"/>
    <row r="599" ht="18" customHeight="1" x14ac:dyDescent="0.2"/>
    <row r="600" ht="18" customHeight="1" x14ac:dyDescent="0.2"/>
    <row r="601" ht="18" customHeight="1" x14ac:dyDescent="0.2"/>
    <row r="602" ht="18" customHeight="1" x14ac:dyDescent="0.2"/>
    <row r="603" ht="18" customHeight="1" x14ac:dyDescent="0.2"/>
    <row r="604" ht="18" customHeight="1" x14ac:dyDescent="0.2"/>
    <row r="605" ht="18" customHeight="1" x14ac:dyDescent="0.2"/>
    <row r="606" ht="18" customHeight="1" x14ac:dyDescent="0.2"/>
    <row r="607" ht="18" customHeight="1" x14ac:dyDescent="0.2"/>
    <row r="608" ht="18" customHeight="1" x14ac:dyDescent="0.2"/>
    <row r="609" ht="18" customHeight="1" x14ac:dyDescent="0.2"/>
    <row r="610" ht="18" customHeight="1" x14ac:dyDescent="0.2"/>
    <row r="611" ht="18" customHeight="1" x14ac:dyDescent="0.2"/>
    <row r="612" ht="18" customHeight="1" x14ac:dyDescent="0.2"/>
    <row r="613" ht="18" customHeight="1" x14ac:dyDescent="0.2"/>
    <row r="614" ht="18" customHeight="1" x14ac:dyDescent="0.2"/>
    <row r="615" ht="18" customHeight="1" x14ac:dyDescent="0.2"/>
    <row r="616" ht="18" customHeight="1" x14ac:dyDescent="0.2"/>
    <row r="617" ht="18" customHeight="1" x14ac:dyDescent="0.2"/>
    <row r="618" ht="18" customHeight="1" x14ac:dyDescent="0.2"/>
    <row r="619" ht="18" customHeight="1" x14ac:dyDescent="0.2"/>
    <row r="620" ht="18" customHeight="1" x14ac:dyDescent="0.2"/>
    <row r="621" ht="18" customHeight="1" x14ac:dyDescent="0.2"/>
    <row r="622" ht="18" customHeight="1" x14ac:dyDescent="0.2"/>
    <row r="623" ht="18" customHeight="1" x14ac:dyDescent="0.2"/>
    <row r="624" ht="18" customHeight="1" x14ac:dyDescent="0.2"/>
    <row r="625" ht="18" customHeight="1" x14ac:dyDescent="0.2"/>
    <row r="626" ht="18" customHeight="1" x14ac:dyDescent="0.2"/>
    <row r="627" ht="18" customHeight="1" x14ac:dyDescent="0.2"/>
    <row r="628" ht="18" customHeight="1" x14ac:dyDescent="0.2"/>
    <row r="629" ht="18" customHeight="1" x14ac:dyDescent="0.2"/>
    <row r="630" ht="18" customHeight="1" x14ac:dyDescent="0.2"/>
    <row r="631" ht="18" customHeight="1" x14ac:dyDescent="0.2"/>
    <row r="632" ht="18" customHeight="1" x14ac:dyDescent="0.2"/>
    <row r="633" ht="18" customHeight="1" x14ac:dyDescent="0.2"/>
    <row r="634" ht="18" customHeight="1" x14ac:dyDescent="0.2"/>
    <row r="635" ht="18" customHeight="1" x14ac:dyDescent="0.2"/>
    <row r="636" ht="18" customHeight="1" x14ac:dyDescent="0.2"/>
    <row r="637" ht="18" customHeight="1" x14ac:dyDescent="0.2"/>
    <row r="638" ht="18" customHeight="1" x14ac:dyDescent="0.2"/>
    <row r="639" ht="18" customHeight="1" x14ac:dyDescent="0.2"/>
    <row r="640" ht="18" customHeight="1" x14ac:dyDescent="0.2"/>
    <row r="641" ht="18" customHeight="1" x14ac:dyDescent="0.2"/>
    <row r="642" ht="18" customHeight="1" x14ac:dyDescent="0.2"/>
    <row r="643" ht="18" customHeight="1" x14ac:dyDescent="0.2"/>
    <row r="644" ht="18" customHeight="1" x14ac:dyDescent="0.2"/>
    <row r="645" ht="18" customHeight="1" x14ac:dyDescent="0.2"/>
    <row r="646" ht="18" customHeight="1" x14ac:dyDescent="0.2"/>
    <row r="647" ht="18" customHeight="1" x14ac:dyDescent="0.2"/>
    <row r="648" ht="18" customHeight="1" x14ac:dyDescent="0.2"/>
    <row r="649" ht="18" customHeight="1" x14ac:dyDescent="0.2"/>
    <row r="650" ht="18" customHeight="1" x14ac:dyDescent="0.2"/>
    <row r="651" ht="18" customHeight="1" x14ac:dyDescent="0.2"/>
    <row r="652" ht="18" customHeight="1" x14ac:dyDescent="0.2"/>
    <row r="653" ht="18" customHeight="1" x14ac:dyDescent="0.2"/>
    <row r="654" ht="18" customHeight="1" x14ac:dyDescent="0.2"/>
    <row r="655" ht="18" customHeight="1" x14ac:dyDescent="0.2"/>
    <row r="656" ht="18" customHeight="1" x14ac:dyDescent="0.2"/>
    <row r="657" ht="18" customHeight="1" x14ac:dyDescent="0.2"/>
    <row r="658" ht="18" customHeight="1" x14ac:dyDescent="0.2"/>
    <row r="659" ht="18" customHeight="1" x14ac:dyDescent="0.2"/>
    <row r="660" ht="18" customHeight="1" x14ac:dyDescent="0.2"/>
    <row r="661" ht="18" customHeight="1" x14ac:dyDescent="0.2"/>
    <row r="662" ht="18" customHeight="1" x14ac:dyDescent="0.2"/>
    <row r="663" ht="18" customHeight="1" x14ac:dyDescent="0.2"/>
    <row r="664" ht="18" customHeight="1" x14ac:dyDescent="0.2"/>
    <row r="665" ht="18" customHeight="1" x14ac:dyDescent="0.2"/>
    <row r="666" ht="18" customHeight="1" x14ac:dyDescent="0.2"/>
    <row r="667" ht="18" customHeight="1" x14ac:dyDescent="0.2"/>
    <row r="668" ht="18" customHeight="1" x14ac:dyDescent="0.2"/>
    <row r="669" ht="18" customHeight="1" x14ac:dyDescent="0.2"/>
    <row r="670" ht="18" customHeight="1" x14ac:dyDescent="0.2"/>
    <row r="671" ht="18" customHeight="1" x14ac:dyDescent="0.2"/>
    <row r="672" ht="18" customHeight="1" x14ac:dyDescent="0.2"/>
    <row r="673" ht="18" customHeight="1" x14ac:dyDescent="0.2"/>
    <row r="674" ht="18" customHeight="1" x14ac:dyDescent="0.2"/>
    <row r="675" ht="18" customHeight="1" x14ac:dyDescent="0.2"/>
    <row r="676" ht="18" customHeight="1" x14ac:dyDescent="0.2"/>
    <row r="677" ht="18" customHeight="1" x14ac:dyDescent="0.2"/>
    <row r="678" ht="18" customHeight="1" x14ac:dyDescent="0.2"/>
    <row r="679" ht="18" customHeight="1" x14ac:dyDescent="0.2"/>
    <row r="680" ht="18" customHeight="1" x14ac:dyDescent="0.2"/>
    <row r="681" ht="18" customHeight="1" x14ac:dyDescent="0.2"/>
    <row r="682" ht="18" customHeight="1" x14ac:dyDescent="0.2"/>
    <row r="683" ht="18" customHeight="1" x14ac:dyDescent="0.2"/>
    <row r="684" ht="18" customHeight="1" x14ac:dyDescent="0.2"/>
    <row r="685" ht="18" customHeight="1" x14ac:dyDescent="0.2"/>
    <row r="686" ht="18" customHeight="1" x14ac:dyDescent="0.2"/>
    <row r="687" ht="18" customHeight="1" x14ac:dyDescent="0.2"/>
    <row r="688" ht="18" customHeight="1" x14ac:dyDescent="0.2"/>
    <row r="689" ht="18" customHeight="1" x14ac:dyDescent="0.2"/>
    <row r="690" ht="18" customHeight="1" x14ac:dyDescent="0.2"/>
    <row r="691" ht="18" customHeight="1" x14ac:dyDescent="0.2"/>
    <row r="692" ht="18" customHeight="1" x14ac:dyDescent="0.2"/>
    <row r="693" ht="18" customHeight="1" x14ac:dyDescent="0.2"/>
    <row r="694" ht="18" customHeight="1" x14ac:dyDescent="0.2"/>
    <row r="695" ht="18" customHeight="1" x14ac:dyDescent="0.2"/>
    <row r="696" ht="18" customHeight="1" x14ac:dyDescent="0.2"/>
    <row r="697" ht="18" customHeight="1" x14ac:dyDescent="0.2"/>
    <row r="698" ht="18" customHeight="1" x14ac:dyDescent="0.2"/>
    <row r="699" ht="18" customHeight="1" x14ac:dyDescent="0.2"/>
    <row r="700" ht="18" customHeight="1" x14ac:dyDescent="0.2"/>
    <row r="701" ht="18" customHeight="1" x14ac:dyDescent="0.2"/>
    <row r="702" ht="18" customHeight="1" x14ac:dyDescent="0.2"/>
    <row r="703" ht="18" customHeight="1" x14ac:dyDescent="0.2"/>
    <row r="704" ht="18" customHeight="1" x14ac:dyDescent="0.2"/>
    <row r="705" ht="18" customHeight="1" x14ac:dyDescent="0.2"/>
    <row r="706" ht="18" customHeight="1" x14ac:dyDescent="0.2"/>
    <row r="707" ht="18" customHeight="1" x14ac:dyDescent="0.2"/>
    <row r="708" ht="18" customHeight="1" x14ac:dyDescent="0.2"/>
    <row r="709" ht="18" customHeight="1" x14ac:dyDescent="0.2"/>
    <row r="710" ht="18" customHeight="1" x14ac:dyDescent="0.2"/>
    <row r="711" ht="18" customHeight="1" x14ac:dyDescent="0.2"/>
    <row r="712" ht="18" customHeight="1" x14ac:dyDescent="0.2"/>
    <row r="713" ht="18" customHeight="1" x14ac:dyDescent="0.2"/>
    <row r="714" ht="18" customHeight="1" x14ac:dyDescent="0.2"/>
    <row r="715" ht="18" customHeight="1" x14ac:dyDescent="0.2"/>
    <row r="716" ht="18" customHeight="1" x14ac:dyDescent="0.2"/>
    <row r="717" ht="18" customHeight="1" x14ac:dyDescent="0.2"/>
    <row r="718" ht="18" customHeight="1" x14ac:dyDescent="0.2"/>
    <row r="719" ht="18" customHeight="1" x14ac:dyDescent="0.2"/>
    <row r="720" ht="18" customHeight="1" x14ac:dyDescent="0.2"/>
    <row r="721" ht="18" customHeight="1" x14ac:dyDescent="0.2"/>
    <row r="722" ht="18" customHeight="1" x14ac:dyDescent="0.2"/>
    <row r="723" ht="18" customHeight="1" x14ac:dyDescent="0.2"/>
    <row r="724" ht="18" customHeight="1" x14ac:dyDescent="0.2"/>
    <row r="725" ht="18" customHeight="1" x14ac:dyDescent="0.2"/>
    <row r="726" ht="18" customHeight="1" x14ac:dyDescent="0.2"/>
    <row r="727" ht="18" customHeight="1" x14ac:dyDescent="0.2"/>
    <row r="728" ht="18" customHeight="1" x14ac:dyDescent="0.2"/>
    <row r="729" ht="18" customHeight="1" x14ac:dyDescent="0.2"/>
    <row r="730" ht="18" customHeight="1" x14ac:dyDescent="0.2"/>
    <row r="731" ht="18" customHeight="1" x14ac:dyDescent="0.2"/>
    <row r="732" ht="18" customHeight="1" x14ac:dyDescent="0.2"/>
    <row r="733" ht="18" customHeight="1" x14ac:dyDescent="0.2"/>
    <row r="734" ht="18" customHeight="1" x14ac:dyDescent="0.2"/>
    <row r="735" ht="18" customHeight="1" x14ac:dyDescent="0.2"/>
    <row r="736" ht="18" customHeight="1" x14ac:dyDescent="0.2"/>
    <row r="737" ht="18" customHeight="1" x14ac:dyDescent="0.2"/>
    <row r="738" ht="18" customHeight="1" x14ac:dyDescent="0.2"/>
    <row r="739" ht="18" customHeight="1" x14ac:dyDescent="0.2"/>
    <row r="740" ht="18" customHeight="1" x14ac:dyDescent="0.2"/>
    <row r="741" ht="18" customHeight="1" x14ac:dyDescent="0.2"/>
    <row r="742" ht="18" customHeight="1" x14ac:dyDescent="0.2"/>
    <row r="743" ht="18" customHeight="1" x14ac:dyDescent="0.2"/>
    <row r="744" ht="18" customHeight="1" x14ac:dyDescent="0.2"/>
    <row r="745" ht="18" customHeight="1" x14ac:dyDescent="0.2"/>
    <row r="746" ht="18" customHeight="1" x14ac:dyDescent="0.2"/>
    <row r="747" ht="18" customHeight="1" x14ac:dyDescent="0.2"/>
    <row r="748" ht="18" customHeight="1" x14ac:dyDescent="0.2"/>
    <row r="749" ht="18" customHeight="1" x14ac:dyDescent="0.2"/>
    <row r="750" ht="18" customHeight="1" x14ac:dyDescent="0.2"/>
    <row r="751" ht="18" customHeight="1" x14ac:dyDescent="0.2"/>
    <row r="752" ht="18" customHeight="1" x14ac:dyDescent="0.2"/>
    <row r="753" ht="18" customHeight="1" x14ac:dyDescent="0.2"/>
    <row r="754" ht="18" customHeight="1" x14ac:dyDescent="0.2"/>
    <row r="755" ht="18" customHeight="1" x14ac:dyDescent="0.2"/>
    <row r="756" ht="18" customHeight="1" x14ac:dyDescent="0.2"/>
    <row r="757" ht="18" customHeight="1" x14ac:dyDescent="0.2"/>
    <row r="758" ht="18" customHeight="1" x14ac:dyDescent="0.2"/>
    <row r="759" ht="18" customHeight="1" x14ac:dyDescent="0.2"/>
    <row r="760" ht="18" customHeight="1" x14ac:dyDescent="0.2"/>
    <row r="761" ht="18" customHeight="1" x14ac:dyDescent="0.2"/>
    <row r="762" ht="18" customHeight="1" x14ac:dyDescent="0.2"/>
    <row r="763" ht="18" customHeight="1" x14ac:dyDescent="0.2"/>
    <row r="764" ht="18" customHeight="1" x14ac:dyDescent="0.2"/>
    <row r="765" ht="18" customHeight="1" x14ac:dyDescent="0.2"/>
    <row r="766" ht="18" customHeight="1" x14ac:dyDescent="0.2"/>
    <row r="767" ht="18" customHeight="1" x14ac:dyDescent="0.2"/>
    <row r="768" ht="18" customHeight="1" x14ac:dyDescent="0.2"/>
    <row r="769" ht="18" customHeight="1" x14ac:dyDescent="0.2"/>
    <row r="770" ht="18" customHeight="1" x14ac:dyDescent="0.2"/>
    <row r="771" ht="18" customHeight="1" x14ac:dyDescent="0.2"/>
    <row r="772" ht="18" customHeight="1" x14ac:dyDescent="0.2"/>
    <row r="773" ht="18" customHeight="1" x14ac:dyDescent="0.2"/>
    <row r="774" ht="18" customHeight="1" x14ac:dyDescent="0.2"/>
    <row r="775" ht="18" customHeight="1" x14ac:dyDescent="0.2"/>
    <row r="776" ht="18" customHeight="1" x14ac:dyDescent="0.2"/>
    <row r="777" ht="18" customHeight="1" x14ac:dyDescent="0.2"/>
    <row r="778" ht="18" customHeight="1" x14ac:dyDescent="0.2"/>
    <row r="779" ht="18" customHeight="1" x14ac:dyDescent="0.2"/>
    <row r="780" ht="18" customHeight="1" x14ac:dyDescent="0.2"/>
    <row r="781" ht="18" customHeight="1" x14ac:dyDescent="0.2"/>
    <row r="782" ht="18" customHeight="1" x14ac:dyDescent="0.2"/>
    <row r="783" ht="18" customHeight="1" x14ac:dyDescent="0.2"/>
    <row r="784" ht="18" customHeight="1" x14ac:dyDescent="0.2"/>
    <row r="785" ht="18" customHeight="1" x14ac:dyDescent="0.2"/>
    <row r="786" ht="18" customHeight="1" x14ac:dyDescent="0.2"/>
    <row r="787" ht="18" customHeight="1" x14ac:dyDescent="0.2"/>
    <row r="788" ht="18" customHeight="1" x14ac:dyDescent="0.2"/>
    <row r="789" ht="18" customHeight="1" x14ac:dyDescent="0.2"/>
    <row r="790" ht="18" customHeight="1" x14ac:dyDescent="0.2"/>
    <row r="791" ht="18" customHeight="1" x14ac:dyDescent="0.2"/>
    <row r="792" ht="18" customHeight="1" x14ac:dyDescent="0.2"/>
    <row r="793" ht="18" customHeight="1" x14ac:dyDescent="0.2"/>
    <row r="794" ht="18" customHeight="1" x14ac:dyDescent="0.2"/>
    <row r="795" ht="18" customHeight="1" x14ac:dyDescent="0.2"/>
    <row r="796" ht="18" customHeight="1" x14ac:dyDescent="0.2"/>
    <row r="797" ht="18" customHeight="1" x14ac:dyDescent="0.2"/>
    <row r="798" ht="18" customHeight="1" x14ac:dyDescent="0.2"/>
    <row r="799" ht="18" customHeight="1" x14ac:dyDescent="0.2"/>
    <row r="800" ht="18" customHeight="1" x14ac:dyDescent="0.2"/>
    <row r="801" ht="18" customHeight="1" x14ac:dyDescent="0.2"/>
    <row r="802" ht="18" customHeight="1" x14ac:dyDescent="0.2"/>
    <row r="803" ht="18" customHeight="1" x14ac:dyDescent="0.2"/>
    <row r="804" ht="18" customHeight="1" x14ac:dyDescent="0.2"/>
    <row r="805" ht="18" customHeight="1" x14ac:dyDescent="0.2"/>
    <row r="806" ht="18" customHeight="1" x14ac:dyDescent="0.2"/>
    <row r="807" ht="18" customHeight="1" x14ac:dyDescent="0.2"/>
    <row r="808" ht="18" customHeight="1" x14ac:dyDescent="0.2"/>
    <row r="809" ht="18" customHeight="1" x14ac:dyDescent="0.2"/>
    <row r="810" ht="18" customHeight="1" x14ac:dyDescent="0.2"/>
    <row r="811" ht="18" customHeight="1" x14ac:dyDescent="0.2"/>
    <row r="812" ht="18" customHeight="1" x14ac:dyDescent="0.2"/>
    <row r="813" ht="18" customHeight="1" x14ac:dyDescent="0.2"/>
    <row r="814" ht="18" customHeight="1" x14ac:dyDescent="0.2"/>
    <row r="815" ht="18" customHeight="1" x14ac:dyDescent="0.2"/>
    <row r="816" ht="18" customHeight="1" x14ac:dyDescent="0.2"/>
    <row r="817" ht="18" customHeight="1" x14ac:dyDescent="0.2"/>
    <row r="818" ht="18" customHeight="1" x14ac:dyDescent="0.2"/>
    <row r="819" ht="18" customHeight="1" x14ac:dyDescent="0.2"/>
    <row r="820" ht="18" customHeight="1" x14ac:dyDescent="0.2"/>
    <row r="821" ht="18" customHeight="1" x14ac:dyDescent="0.2"/>
    <row r="822" ht="18" customHeight="1" x14ac:dyDescent="0.2"/>
    <row r="823" ht="18" customHeight="1" x14ac:dyDescent="0.2"/>
    <row r="824" ht="18" customHeight="1" x14ac:dyDescent="0.2"/>
    <row r="825" ht="18" customHeight="1" x14ac:dyDescent="0.2"/>
    <row r="826" ht="18" customHeight="1" x14ac:dyDescent="0.2"/>
    <row r="827" ht="18" customHeight="1" x14ac:dyDescent="0.2"/>
    <row r="828" ht="18" customHeight="1" x14ac:dyDescent="0.2"/>
    <row r="829" ht="18" customHeight="1" x14ac:dyDescent="0.2"/>
    <row r="830" ht="18" customHeight="1" x14ac:dyDescent="0.2"/>
    <row r="831" ht="18" customHeight="1" x14ac:dyDescent="0.2"/>
    <row r="832" ht="18" customHeight="1" x14ac:dyDescent="0.2"/>
    <row r="833" ht="18" customHeight="1" x14ac:dyDescent="0.2"/>
    <row r="834" ht="18" customHeight="1" x14ac:dyDescent="0.2"/>
    <row r="835" ht="18" customHeight="1" x14ac:dyDescent="0.2"/>
    <row r="836" ht="18" customHeight="1" x14ac:dyDescent="0.2"/>
    <row r="837" ht="18" customHeight="1" x14ac:dyDescent="0.2"/>
    <row r="838" ht="18" customHeight="1" x14ac:dyDescent="0.2"/>
    <row r="839" ht="18" customHeight="1" x14ac:dyDescent="0.2"/>
    <row r="840" ht="18" customHeight="1" x14ac:dyDescent="0.2"/>
    <row r="841" ht="18" customHeight="1" x14ac:dyDescent="0.2"/>
    <row r="842" ht="18" customHeight="1" x14ac:dyDescent="0.2"/>
    <row r="843" ht="18" customHeight="1" x14ac:dyDescent="0.2"/>
    <row r="844" ht="18" customHeight="1" x14ac:dyDescent="0.2"/>
    <row r="845" ht="18" customHeight="1" x14ac:dyDescent="0.2"/>
    <row r="846" ht="18" customHeight="1" x14ac:dyDescent="0.2"/>
    <row r="847" ht="18" customHeight="1" x14ac:dyDescent="0.2"/>
    <row r="848" ht="18" customHeight="1" x14ac:dyDescent="0.2"/>
    <row r="849" ht="18" customHeight="1" x14ac:dyDescent="0.2"/>
    <row r="850" ht="18" customHeight="1" x14ac:dyDescent="0.2"/>
    <row r="851" ht="18" customHeight="1" x14ac:dyDescent="0.2"/>
    <row r="852" ht="18" customHeight="1" x14ac:dyDescent="0.2"/>
    <row r="853" ht="18" customHeight="1" x14ac:dyDescent="0.2"/>
    <row r="854" ht="18" customHeight="1" x14ac:dyDescent="0.2"/>
    <row r="855" ht="18" customHeight="1" x14ac:dyDescent="0.2"/>
    <row r="856" ht="18" customHeight="1" x14ac:dyDescent="0.2"/>
    <row r="857" ht="18" customHeight="1" x14ac:dyDescent="0.2"/>
    <row r="858" ht="18" customHeight="1" x14ac:dyDescent="0.2"/>
    <row r="859" ht="18" customHeight="1" x14ac:dyDescent="0.2"/>
    <row r="860" ht="18" customHeight="1" x14ac:dyDescent="0.2"/>
    <row r="861" ht="18" customHeight="1" x14ac:dyDescent="0.2"/>
    <row r="862" ht="18" customHeight="1" x14ac:dyDescent="0.2"/>
    <row r="863" ht="18" customHeight="1" x14ac:dyDescent="0.2"/>
    <row r="864" ht="18" customHeight="1" x14ac:dyDescent="0.2"/>
    <row r="865" ht="18" customHeight="1" x14ac:dyDescent="0.2"/>
    <row r="866" ht="18" customHeight="1" x14ac:dyDescent="0.2"/>
    <row r="867" ht="18" customHeight="1" x14ac:dyDescent="0.2"/>
    <row r="868" ht="18" customHeight="1" x14ac:dyDescent="0.2"/>
    <row r="869" ht="18" customHeight="1" x14ac:dyDescent="0.2"/>
    <row r="870" ht="18" customHeight="1" x14ac:dyDescent="0.2"/>
    <row r="871" ht="18" customHeight="1" x14ac:dyDescent="0.2"/>
    <row r="872" ht="18" customHeight="1" x14ac:dyDescent="0.2"/>
    <row r="873" ht="18" customHeight="1" x14ac:dyDescent="0.2"/>
    <row r="874" ht="18" customHeight="1" x14ac:dyDescent="0.2"/>
    <row r="875" ht="18" customHeight="1" x14ac:dyDescent="0.2"/>
    <row r="876" ht="18" customHeight="1" x14ac:dyDescent="0.2"/>
    <row r="877" ht="18" customHeight="1" x14ac:dyDescent="0.2"/>
    <row r="878" ht="18" customHeight="1" x14ac:dyDescent="0.2"/>
    <row r="879" ht="18" customHeight="1" x14ac:dyDescent="0.2"/>
    <row r="880" ht="18" customHeight="1" x14ac:dyDescent="0.2"/>
    <row r="881" ht="18" customHeight="1" x14ac:dyDescent="0.2"/>
    <row r="882" ht="18" customHeight="1" x14ac:dyDescent="0.2"/>
    <row r="883" ht="18" customHeight="1" x14ac:dyDescent="0.2"/>
    <row r="884" ht="18" customHeight="1" x14ac:dyDescent="0.2"/>
    <row r="885" ht="18" customHeight="1" x14ac:dyDescent="0.2"/>
    <row r="886" ht="18" customHeight="1" x14ac:dyDescent="0.2"/>
    <row r="887" ht="18" customHeight="1" x14ac:dyDescent="0.2"/>
    <row r="888" ht="18" customHeight="1" x14ac:dyDescent="0.2"/>
    <row r="889" ht="18" customHeight="1" x14ac:dyDescent="0.2"/>
    <row r="890" ht="18" customHeight="1" x14ac:dyDescent="0.2"/>
    <row r="891" ht="18" customHeight="1" x14ac:dyDescent="0.2"/>
    <row r="892" ht="18" customHeight="1" x14ac:dyDescent="0.2"/>
    <row r="893" ht="18" customHeight="1" x14ac:dyDescent="0.2"/>
    <row r="894" ht="18" customHeight="1" x14ac:dyDescent="0.2"/>
    <row r="895" ht="18" customHeight="1" x14ac:dyDescent="0.2"/>
    <row r="896" ht="18" customHeight="1" x14ac:dyDescent="0.2"/>
    <row r="897" ht="18" customHeight="1" x14ac:dyDescent="0.2"/>
    <row r="898" ht="18" customHeight="1" x14ac:dyDescent="0.2"/>
    <row r="899" ht="18" customHeight="1" x14ac:dyDescent="0.2"/>
    <row r="900" ht="18" customHeight="1" x14ac:dyDescent="0.2"/>
    <row r="901" ht="18" customHeight="1" x14ac:dyDescent="0.2"/>
    <row r="902" ht="18" customHeight="1" x14ac:dyDescent="0.2"/>
    <row r="903" ht="18" customHeight="1" x14ac:dyDescent="0.2"/>
    <row r="904" ht="18" customHeight="1" x14ac:dyDescent="0.2"/>
    <row r="905" ht="18" customHeight="1" x14ac:dyDescent="0.2"/>
    <row r="906" ht="18" customHeight="1" x14ac:dyDescent="0.2"/>
    <row r="907" ht="18" customHeight="1" x14ac:dyDescent="0.2"/>
    <row r="908" ht="18" customHeight="1" x14ac:dyDescent="0.2"/>
    <row r="909" ht="18" customHeight="1" x14ac:dyDescent="0.2"/>
    <row r="910" ht="18" customHeight="1" x14ac:dyDescent="0.2"/>
    <row r="911" ht="18" customHeight="1" x14ac:dyDescent="0.2"/>
    <row r="912" ht="18" customHeight="1" x14ac:dyDescent="0.2"/>
    <row r="913" ht="18" customHeight="1" x14ac:dyDescent="0.2"/>
    <row r="914" ht="18" customHeight="1" x14ac:dyDescent="0.2"/>
    <row r="915" ht="18" customHeight="1" x14ac:dyDescent="0.2"/>
    <row r="916" ht="18" customHeight="1" x14ac:dyDescent="0.2"/>
    <row r="917" ht="18" customHeight="1" x14ac:dyDescent="0.2"/>
    <row r="918" ht="18" customHeight="1" x14ac:dyDescent="0.2"/>
    <row r="919" ht="18" customHeight="1" x14ac:dyDescent="0.2"/>
    <row r="920" ht="18" customHeight="1" x14ac:dyDescent="0.2"/>
    <row r="921" ht="18" customHeight="1" x14ac:dyDescent="0.2"/>
    <row r="922" ht="18" customHeight="1" x14ac:dyDescent="0.2"/>
    <row r="923" ht="18" customHeight="1" x14ac:dyDescent="0.2"/>
    <row r="924" ht="18" customHeight="1" x14ac:dyDescent="0.2"/>
    <row r="925" ht="18" customHeight="1" x14ac:dyDescent="0.2"/>
    <row r="926" ht="18" customHeight="1" x14ac:dyDescent="0.2"/>
    <row r="927" ht="18" customHeight="1" x14ac:dyDescent="0.2"/>
    <row r="928" ht="18" customHeight="1" x14ac:dyDescent="0.2"/>
    <row r="929" ht="18" customHeight="1" x14ac:dyDescent="0.2"/>
    <row r="930" ht="18" customHeight="1" x14ac:dyDescent="0.2"/>
    <row r="931" ht="18" customHeight="1" x14ac:dyDescent="0.2"/>
    <row r="932" ht="18" customHeight="1" x14ac:dyDescent="0.2"/>
    <row r="933" ht="18" customHeight="1" x14ac:dyDescent="0.2"/>
    <row r="934" ht="18" customHeight="1" x14ac:dyDescent="0.2"/>
    <row r="935" ht="18" customHeight="1" x14ac:dyDescent="0.2"/>
    <row r="936" ht="18" customHeight="1" x14ac:dyDescent="0.2"/>
    <row r="937" ht="18" customHeight="1" x14ac:dyDescent="0.2"/>
    <row r="938" ht="18" customHeight="1" x14ac:dyDescent="0.2"/>
    <row r="939" ht="18" customHeight="1" x14ac:dyDescent="0.2"/>
    <row r="940" ht="18" customHeight="1" x14ac:dyDescent="0.2"/>
    <row r="941" ht="18" customHeight="1" x14ac:dyDescent="0.2"/>
    <row r="942" ht="18" customHeight="1" x14ac:dyDescent="0.2"/>
    <row r="943" ht="18" customHeight="1" x14ac:dyDescent="0.2"/>
    <row r="944" ht="18" customHeight="1" x14ac:dyDescent="0.2"/>
    <row r="945" ht="18" customHeight="1" x14ac:dyDescent="0.2"/>
    <row r="946" ht="18" customHeight="1" x14ac:dyDescent="0.2"/>
    <row r="947" ht="18" customHeight="1" x14ac:dyDescent="0.2"/>
    <row r="948" ht="18" customHeight="1" x14ac:dyDescent="0.2"/>
    <row r="949" ht="18" customHeight="1" x14ac:dyDescent="0.2"/>
    <row r="950" ht="18" customHeight="1" x14ac:dyDescent="0.2"/>
    <row r="951" ht="18" customHeight="1" x14ac:dyDescent="0.2"/>
    <row r="952" ht="18" customHeight="1" x14ac:dyDescent="0.2"/>
    <row r="953" ht="18" customHeight="1" x14ac:dyDescent="0.2"/>
    <row r="954" ht="18" customHeight="1" x14ac:dyDescent="0.2"/>
    <row r="955" ht="18" customHeight="1" x14ac:dyDescent="0.2"/>
    <row r="956" ht="18" customHeight="1" x14ac:dyDescent="0.2"/>
    <row r="957" ht="18" customHeight="1" x14ac:dyDescent="0.2"/>
    <row r="958" ht="18" customHeight="1" x14ac:dyDescent="0.2"/>
    <row r="959" ht="18" customHeight="1" x14ac:dyDescent="0.2"/>
    <row r="960" ht="18" customHeight="1" x14ac:dyDescent="0.2"/>
    <row r="961" ht="18" customHeight="1" x14ac:dyDescent="0.2"/>
    <row r="962" ht="18" customHeight="1" x14ac:dyDescent="0.2"/>
    <row r="963" ht="18" customHeight="1" x14ac:dyDescent="0.2"/>
    <row r="964" ht="18" customHeight="1" x14ac:dyDescent="0.2"/>
    <row r="965" ht="18" customHeight="1" x14ac:dyDescent="0.2"/>
    <row r="966" ht="18" customHeight="1" x14ac:dyDescent="0.2"/>
    <row r="967" ht="18" customHeight="1" x14ac:dyDescent="0.2"/>
    <row r="968" ht="18" customHeight="1" x14ac:dyDescent="0.2"/>
    <row r="969" ht="18" customHeight="1" x14ac:dyDescent="0.2"/>
    <row r="970" ht="18" customHeight="1" x14ac:dyDescent="0.2"/>
    <row r="971" ht="18" customHeight="1" x14ac:dyDescent="0.2"/>
    <row r="972" ht="18" customHeight="1" x14ac:dyDescent="0.2"/>
    <row r="973" ht="18" customHeight="1" x14ac:dyDescent="0.2"/>
    <row r="974" ht="18" customHeight="1" x14ac:dyDescent="0.2"/>
    <row r="975" ht="18" customHeight="1" x14ac:dyDescent="0.2"/>
    <row r="976" ht="18" customHeight="1" x14ac:dyDescent="0.2"/>
    <row r="977" ht="18" customHeight="1" x14ac:dyDescent="0.2"/>
    <row r="978" ht="18" customHeight="1" x14ac:dyDescent="0.2"/>
    <row r="979" ht="18" customHeight="1" x14ac:dyDescent="0.2"/>
    <row r="980" ht="18" customHeight="1" x14ac:dyDescent="0.2"/>
    <row r="981" ht="18" customHeight="1" x14ac:dyDescent="0.2"/>
    <row r="982" ht="18" customHeight="1" x14ac:dyDescent="0.2"/>
    <row r="983" ht="18" customHeight="1" x14ac:dyDescent="0.2"/>
    <row r="984" ht="18" customHeight="1" x14ac:dyDescent="0.2"/>
    <row r="985" ht="18" customHeight="1" x14ac:dyDescent="0.2"/>
    <row r="986" ht="18" customHeight="1" x14ac:dyDescent="0.2"/>
    <row r="987" ht="18" customHeight="1" x14ac:dyDescent="0.2"/>
    <row r="988" ht="18" customHeight="1" x14ac:dyDescent="0.2"/>
    <row r="989" ht="18" customHeight="1" x14ac:dyDescent="0.2"/>
    <row r="990" ht="18" customHeight="1" x14ac:dyDescent="0.2"/>
    <row r="991" ht="18" customHeight="1" x14ac:dyDescent="0.2"/>
    <row r="992" ht="18" customHeight="1" x14ac:dyDescent="0.2"/>
    <row r="993" ht="18" customHeight="1" x14ac:dyDescent="0.2"/>
    <row r="994" ht="18" customHeight="1" x14ac:dyDescent="0.2"/>
    <row r="995" ht="18" customHeight="1" x14ac:dyDescent="0.2"/>
    <row r="996" ht="18" customHeight="1" x14ac:dyDescent="0.2"/>
    <row r="997" ht="18" customHeight="1" x14ac:dyDescent="0.2"/>
    <row r="998" ht="18" customHeight="1" x14ac:dyDescent="0.2"/>
    <row r="999" ht="18" customHeight="1" x14ac:dyDescent="0.2"/>
    <row r="1000" ht="18" customHeight="1" x14ac:dyDescent="0.2"/>
    <row r="1001" ht="18" customHeight="1" x14ac:dyDescent="0.2"/>
    <row r="1002" ht="18" customHeight="1" x14ac:dyDescent="0.2"/>
    <row r="1003" ht="18" customHeight="1" x14ac:dyDescent="0.2"/>
    <row r="1004" ht="18" customHeight="1" x14ac:dyDescent="0.2"/>
    <row r="1005" ht="18" customHeight="1" x14ac:dyDescent="0.2"/>
    <row r="1006" ht="18" customHeight="1" x14ac:dyDescent="0.2"/>
    <row r="1007" ht="18" customHeight="1" x14ac:dyDescent="0.2"/>
    <row r="1008" ht="18" customHeight="1" x14ac:dyDescent="0.2"/>
    <row r="1009" ht="18" customHeight="1" x14ac:dyDescent="0.2"/>
    <row r="1010" ht="18" customHeight="1" x14ac:dyDescent="0.2"/>
    <row r="1011" ht="18" customHeight="1" x14ac:dyDescent="0.2"/>
    <row r="1012" ht="18" customHeight="1" x14ac:dyDescent="0.2"/>
    <row r="1013" ht="18" customHeight="1" x14ac:dyDescent="0.2"/>
    <row r="1014" ht="18" customHeight="1" x14ac:dyDescent="0.2"/>
    <row r="1015" ht="18" customHeight="1" x14ac:dyDescent="0.2"/>
    <row r="1016" ht="18" customHeight="1" x14ac:dyDescent="0.2"/>
    <row r="1017" ht="18" customHeight="1" x14ac:dyDescent="0.2"/>
    <row r="1018" ht="18" customHeight="1" x14ac:dyDescent="0.2"/>
    <row r="1019" ht="18" customHeight="1" x14ac:dyDescent="0.2"/>
    <row r="1020" ht="18" customHeight="1" x14ac:dyDescent="0.2"/>
    <row r="1021" ht="18" customHeight="1" x14ac:dyDescent="0.2"/>
    <row r="1022" ht="18" customHeight="1" x14ac:dyDescent="0.2"/>
    <row r="1023" ht="18" customHeight="1" x14ac:dyDescent="0.2"/>
    <row r="1024" ht="18" customHeight="1" x14ac:dyDescent="0.2"/>
    <row r="1025" ht="18" customHeight="1" x14ac:dyDescent="0.2"/>
    <row r="1026" ht="18" customHeight="1" x14ac:dyDescent="0.2"/>
    <row r="1027" ht="18" customHeight="1" x14ac:dyDescent="0.2"/>
    <row r="1028" ht="18" customHeight="1" x14ac:dyDescent="0.2"/>
    <row r="1029" ht="18" customHeight="1" x14ac:dyDescent="0.2"/>
    <row r="1030" ht="18" customHeight="1" x14ac:dyDescent="0.2"/>
    <row r="1031" ht="18" customHeight="1" x14ac:dyDescent="0.2"/>
    <row r="1032" ht="18" customHeight="1" x14ac:dyDescent="0.2"/>
    <row r="1033" ht="18" customHeight="1" x14ac:dyDescent="0.2"/>
    <row r="1034" ht="18" customHeight="1" x14ac:dyDescent="0.2"/>
    <row r="1035" ht="18" customHeight="1" x14ac:dyDescent="0.2"/>
    <row r="1036" ht="18" customHeight="1" x14ac:dyDescent="0.2"/>
    <row r="1037" ht="18" customHeight="1" x14ac:dyDescent="0.2"/>
    <row r="1038" ht="18" customHeight="1" x14ac:dyDescent="0.2"/>
    <row r="1039" ht="18" customHeight="1" x14ac:dyDescent="0.2"/>
    <row r="1040" ht="18" customHeight="1" x14ac:dyDescent="0.2"/>
    <row r="1041" spans="1:19" ht="18" customHeight="1" x14ac:dyDescent="0.2"/>
    <row r="1042" spans="1:19" ht="18" customHeight="1" x14ac:dyDescent="0.2"/>
    <row r="1043" spans="1:19" ht="18" customHeight="1" x14ac:dyDescent="0.2"/>
    <row r="1044" spans="1:19" ht="18" customHeight="1" x14ac:dyDescent="0.2"/>
    <row r="1045" spans="1:19" ht="18" customHeight="1" x14ac:dyDescent="0.2"/>
    <row r="1046" spans="1:19" ht="18" customHeight="1" x14ac:dyDescent="0.2"/>
    <row r="1047" spans="1:19" ht="18" customHeight="1" x14ac:dyDescent="0.4">
      <c r="A1047" s="1457" t="s">
        <v>422</v>
      </c>
      <c r="B1047" s="1457"/>
      <c r="C1047" s="1457"/>
      <c r="D1047" s="1457"/>
      <c r="E1047" s="1457"/>
      <c r="F1047" s="1457"/>
      <c r="G1047" s="1457"/>
      <c r="H1047" s="1457"/>
      <c r="I1047" s="1457"/>
      <c r="J1047" s="1457"/>
      <c r="K1047" s="1457"/>
      <c r="L1047" s="1457"/>
      <c r="M1047" s="1457"/>
      <c r="N1047" s="1457"/>
      <c r="O1047" s="1457"/>
      <c r="P1047" s="1457"/>
      <c r="Q1047" s="1457"/>
      <c r="R1047" s="1457"/>
      <c r="S1047" s="1457"/>
    </row>
    <row r="1048" spans="1:19" ht="18" customHeight="1" x14ac:dyDescent="0.2"/>
    <row r="1049" spans="1:19" ht="18" customHeight="1" x14ac:dyDescent="0.2"/>
    <row r="1050" spans="1:19" ht="18" customHeight="1" x14ac:dyDescent="0.2"/>
    <row r="1051" spans="1:19" ht="18" customHeight="1" x14ac:dyDescent="0.2"/>
  </sheetData>
  <mergeCells count="22">
    <mergeCell ref="A1047:S1047"/>
    <mergeCell ref="AF69:AG69"/>
    <mergeCell ref="A111:B111"/>
    <mergeCell ref="A112:B112"/>
    <mergeCell ref="A113:B113"/>
    <mergeCell ref="N114:O114"/>
    <mergeCell ref="A115:I115"/>
    <mergeCell ref="A116:I116"/>
    <mergeCell ref="A117:I117"/>
    <mergeCell ref="A118:I118"/>
    <mergeCell ref="A119:I119"/>
    <mergeCell ref="N119:O119"/>
    <mergeCell ref="A2:S2"/>
    <mergeCell ref="O3:P3"/>
    <mergeCell ref="O4:P4"/>
    <mergeCell ref="A6:A7"/>
    <mergeCell ref="B6:B7"/>
    <mergeCell ref="C6:C7"/>
    <mergeCell ref="N6:O6"/>
    <mergeCell ref="P6:P7"/>
    <mergeCell ref="Q6:Q7"/>
    <mergeCell ref="R6:R7"/>
  </mergeCells>
  <phoneticPr fontId="63"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E19C4-4453-408A-B737-EA12EA4AAEB6}">
  <sheetPr>
    <tabColor rgb="FF00B0F0"/>
  </sheetPr>
  <dimension ref="A2:AG1051"/>
  <sheetViews>
    <sheetView topLeftCell="A81" zoomScale="60" zoomScaleNormal="60" workbookViewId="0">
      <selection activeCell="S86" sqref="S86:S104"/>
    </sheetView>
  </sheetViews>
  <sheetFormatPr defaultRowHeight="12.75" x14ac:dyDescent="0.2"/>
  <cols>
    <col min="1" max="1" width="8.7109375" style="63" customWidth="1"/>
    <col min="2" max="2" width="40.7109375" style="63" hidden="1" customWidth="1"/>
    <col min="3" max="3" width="40.7109375" style="63" customWidth="1"/>
    <col min="4" max="4" width="9.5703125" style="63" customWidth="1"/>
    <col min="5" max="13" width="8.7109375" style="63" customWidth="1"/>
    <col min="14" max="14" width="12.7109375" style="63" customWidth="1"/>
    <col min="15" max="15" width="25.7109375" style="63" customWidth="1"/>
    <col min="16" max="16" width="10.7109375" style="657" customWidth="1"/>
    <col min="17" max="17" width="10.7109375" style="656" customWidth="1"/>
    <col min="18" max="18" width="18" style="657" customWidth="1"/>
    <col min="19" max="19" width="12.7109375" style="63" customWidth="1"/>
    <col min="20" max="20" width="4.140625" style="63" customWidth="1"/>
    <col min="21" max="30" width="15.7109375" style="63" customWidth="1"/>
    <col min="31" max="256" width="9.140625" style="63"/>
    <col min="257" max="257" width="8.7109375" style="63" customWidth="1"/>
    <col min="258" max="258" width="0" style="63" hidden="1" customWidth="1"/>
    <col min="259" max="259" width="40.7109375" style="63" customWidth="1"/>
    <col min="260" max="260" width="9.5703125" style="63" customWidth="1"/>
    <col min="261" max="269" width="8.7109375" style="63" customWidth="1"/>
    <col min="270" max="270" width="12.7109375" style="63" customWidth="1"/>
    <col min="271" max="271" width="25.7109375" style="63" customWidth="1"/>
    <col min="272" max="274" width="10.7109375" style="63" customWidth="1"/>
    <col min="275" max="275" width="12.7109375" style="63" customWidth="1"/>
    <col min="276" max="276" width="4.140625" style="63" customWidth="1"/>
    <col min="277" max="286" width="15.7109375" style="63" customWidth="1"/>
    <col min="287" max="512" width="9.140625" style="63"/>
    <col min="513" max="513" width="8.7109375" style="63" customWidth="1"/>
    <col min="514" max="514" width="0" style="63" hidden="1" customWidth="1"/>
    <col min="515" max="515" width="40.7109375" style="63" customWidth="1"/>
    <col min="516" max="516" width="9.5703125" style="63" customWidth="1"/>
    <col min="517" max="525" width="8.7109375" style="63" customWidth="1"/>
    <col min="526" max="526" width="12.7109375" style="63" customWidth="1"/>
    <col min="527" max="527" width="25.7109375" style="63" customWidth="1"/>
    <col min="528" max="530" width="10.7109375" style="63" customWidth="1"/>
    <col min="531" max="531" width="12.7109375" style="63" customWidth="1"/>
    <col min="532" max="532" width="4.140625" style="63" customWidth="1"/>
    <col min="533" max="542" width="15.7109375" style="63" customWidth="1"/>
    <col min="543" max="768" width="9.140625" style="63"/>
    <col min="769" max="769" width="8.7109375" style="63" customWidth="1"/>
    <col min="770" max="770" width="0" style="63" hidden="1" customWidth="1"/>
    <col min="771" max="771" width="40.7109375" style="63" customWidth="1"/>
    <col min="772" max="772" width="9.5703125" style="63" customWidth="1"/>
    <col min="773" max="781" width="8.7109375" style="63" customWidth="1"/>
    <col min="782" max="782" width="12.7109375" style="63" customWidth="1"/>
    <col min="783" max="783" width="25.7109375" style="63" customWidth="1"/>
    <col min="784" max="786" width="10.7109375" style="63" customWidth="1"/>
    <col min="787" max="787" width="12.7109375" style="63" customWidth="1"/>
    <col min="788" max="788" width="4.140625" style="63" customWidth="1"/>
    <col min="789" max="798" width="15.7109375" style="63" customWidth="1"/>
    <col min="799" max="1024" width="9.140625" style="63"/>
    <col min="1025" max="1025" width="8.7109375" style="63" customWidth="1"/>
    <col min="1026" max="1026" width="0" style="63" hidden="1" customWidth="1"/>
    <col min="1027" max="1027" width="40.7109375" style="63" customWidth="1"/>
    <col min="1028" max="1028" width="9.5703125" style="63" customWidth="1"/>
    <col min="1029" max="1037" width="8.7109375" style="63" customWidth="1"/>
    <col min="1038" max="1038" width="12.7109375" style="63" customWidth="1"/>
    <col min="1039" max="1039" width="25.7109375" style="63" customWidth="1"/>
    <col min="1040" max="1042" width="10.7109375" style="63" customWidth="1"/>
    <col min="1043" max="1043" width="12.7109375" style="63" customWidth="1"/>
    <col min="1044" max="1044" width="4.140625" style="63" customWidth="1"/>
    <col min="1045" max="1054" width="15.7109375" style="63" customWidth="1"/>
    <col min="1055" max="1280" width="9.140625" style="63"/>
    <col min="1281" max="1281" width="8.7109375" style="63" customWidth="1"/>
    <col min="1282" max="1282" width="0" style="63" hidden="1" customWidth="1"/>
    <col min="1283" max="1283" width="40.7109375" style="63" customWidth="1"/>
    <col min="1284" max="1284" width="9.5703125" style="63" customWidth="1"/>
    <col min="1285" max="1293" width="8.7109375" style="63" customWidth="1"/>
    <col min="1294" max="1294" width="12.7109375" style="63" customWidth="1"/>
    <col min="1295" max="1295" width="25.7109375" style="63" customWidth="1"/>
    <col min="1296" max="1298" width="10.7109375" style="63" customWidth="1"/>
    <col min="1299" max="1299" width="12.7109375" style="63" customWidth="1"/>
    <col min="1300" max="1300" width="4.140625" style="63" customWidth="1"/>
    <col min="1301" max="1310" width="15.7109375" style="63" customWidth="1"/>
    <col min="1311" max="1536" width="9.140625" style="63"/>
    <col min="1537" max="1537" width="8.7109375" style="63" customWidth="1"/>
    <col min="1538" max="1538" width="0" style="63" hidden="1" customWidth="1"/>
    <col min="1539" max="1539" width="40.7109375" style="63" customWidth="1"/>
    <col min="1540" max="1540" width="9.5703125" style="63" customWidth="1"/>
    <col min="1541" max="1549" width="8.7109375" style="63" customWidth="1"/>
    <col min="1550" max="1550" width="12.7109375" style="63" customWidth="1"/>
    <col min="1551" max="1551" width="25.7109375" style="63" customWidth="1"/>
    <col min="1552" max="1554" width="10.7109375" style="63" customWidth="1"/>
    <col min="1555" max="1555" width="12.7109375" style="63" customWidth="1"/>
    <col min="1556" max="1556" width="4.140625" style="63" customWidth="1"/>
    <col min="1557" max="1566" width="15.7109375" style="63" customWidth="1"/>
    <col min="1567" max="1792" width="9.140625" style="63"/>
    <col min="1793" max="1793" width="8.7109375" style="63" customWidth="1"/>
    <col min="1794" max="1794" width="0" style="63" hidden="1" customWidth="1"/>
    <col min="1795" max="1795" width="40.7109375" style="63" customWidth="1"/>
    <col min="1796" max="1796" width="9.5703125" style="63" customWidth="1"/>
    <col min="1797" max="1805" width="8.7109375" style="63" customWidth="1"/>
    <col min="1806" max="1806" width="12.7109375" style="63" customWidth="1"/>
    <col min="1807" max="1807" width="25.7109375" style="63" customWidth="1"/>
    <col min="1808" max="1810" width="10.7109375" style="63" customWidth="1"/>
    <col min="1811" max="1811" width="12.7109375" style="63" customWidth="1"/>
    <col min="1812" max="1812" width="4.140625" style="63" customWidth="1"/>
    <col min="1813" max="1822" width="15.7109375" style="63" customWidth="1"/>
    <col min="1823" max="2048" width="9.140625" style="63"/>
    <col min="2049" max="2049" width="8.7109375" style="63" customWidth="1"/>
    <col min="2050" max="2050" width="0" style="63" hidden="1" customWidth="1"/>
    <col min="2051" max="2051" width="40.7109375" style="63" customWidth="1"/>
    <col min="2052" max="2052" width="9.5703125" style="63" customWidth="1"/>
    <col min="2053" max="2061" width="8.7109375" style="63" customWidth="1"/>
    <col min="2062" max="2062" width="12.7109375" style="63" customWidth="1"/>
    <col min="2063" max="2063" width="25.7109375" style="63" customWidth="1"/>
    <col min="2064" max="2066" width="10.7109375" style="63" customWidth="1"/>
    <col min="2067" max="2067" width="12.7109375" style="63" customWidth="1"/>
    <col min="2068" max="2068" width="4.140625" style="63" customWidth="1"/>
    <col min="2069" max="2078" width="15.7109375" style="63" customWidth="1"/>
    <col min="2079" max="2304" width="9.140625" style="63"/>
    <col min="2305" max="2305" width="8.7109375" style="63" customWidth="1"/>
    <col min="2306" max="2306" width="0" style="63" hidden="1" customWidth="1"/>
    <col min="2307" max="2307" width="40.7109375" style="63" customWidth="1"/>
    <col min="2308" max="2308" width="9.5703125" style="63" customWidth="1"/>
    <col min="2309" max="2317" width="8.7109375" style="63" customWidth="1"/>
    <col min="2318" max="2318" width="12.7109375" style="63" customWidth="1"/>
    <col min="2319" max="2319" width="25.7109375" style="63" customWidth="1"/>
    <col min="2320" max="2322" width="10.7109375" style="63" customWidth="1"/>
    <col min="2323" max="2323" width="12.7109375" style="63" customWidth="1"/>
    <col min="2324" max="2324" width="4.140625" style="63" customWidth="1"/>
    <col min="2325" max="2334" width="15.7109375" style="63" customWidth="1"/>
    <col min="2335" max="2560" width="9.140625" style="63"/>
    <col min="2561" max="2561" width="8.7109375" style="63" customWidth="1"/>
    <col min="2562" max="2562" width="0" style="63" hidden="1" customWidth="1"/>
    <col min="2563" max="2563" width="40.7109375" style="63" customWidth="1"/>
    <col min="2564" max="2564" width="9.5703125" style="63" customWidth="1"/>
    <col min="2565" max="2573" width="8.7109375" style="63" customWidth="1"/>
    <col min="2574" max="2574" width="12.7109375" style="63" customWidth="1"/>
    <col min="2575" max="2575" width="25.7109375" style="63" customWidth="1"/>
    <col min="2576" max="2578" width="10.7109375" style="63" customWidth="1"/>
    <col min="2579" max="2579" width="12.7109375" style="63" customWidth="1"/>
    <col min="2580" max="2580" width="4.140625" style="63" customWidth="1"/>
    <col min="2581" max="2590" width="15.7109375" style="63" customWidth="1"/>
    <col min="2591" max="2816" width="9.140625" style="63"/>
    <col min="2817" max="2817" width="8.7109375" style="63" customWidth="1"/>
    <col min="2818" max="2818" width="0" style="63" hidden="1" customWidth="1"/>
    <col min="2819" max="2819" width="40.7109375" style="63" customWidth="1"/>
    <col min="2820" max="2820" width="9.5703125" style="63" customWidth="1"/>
    <col min="2821" max="2829" width="8.7109375" style="63" customWidth="1"/>
    <col min="2830" max="2830" width="12.7109375" style="63" customWidth="1"/>
    <col min="2831" max="2831" width="25.7109375" style="63" customWidth="1"/>
    <col min="2832" max="2834" width="10.7109375" style="63" customWidth="1"/>
    <col min="2835" max="2835" width="12.7109375" style="63" customWidth="1"/>
    <col min="2836" max="2836" width="4.140625" style="63" customWidth="1"/>
    <col min="2837" max="2846" width="15.7109375" style="63" customWidth="1"/>
    <col min="2847" max="3072" width="9.140625" style="63"/>
    <col min="3073" max="3073" width="8.7109375" style="63" customWidth="1"/>
    <col min="3074" max="3074" width="0" style="63" hidden="1" customWidth="1"/>
    <col min="3075" max="3075" width="40.7109375" style="63" customWidth="1"/>
    <col min="3076" max="3076" width="9.5703125" style="63" customWidth="1"/>
    <col min="3077" max="3085" width="8.7109375" style="63" customWidth="1"/>
    <col min="3086" max="3086" width="12.7109375" style="63" customWidth="1"/>
    <col min="3087" max="3087" width="25.7109375" style="63" customWidth="1"/>
    <col min="3088" max="3090" width="10.7109375" style="63" customWidth="1"/>
    <col min="3091" max="3091" width="12.7109375" style="63" customWidth="1"/>
    <col min="3092" max="3092" width="4.140625" style="63" customWidth="1"/>
    <col min="3093" max="3102" width="15.7109375" style="63" customWidth="1"/>
    <col min="3103" max="3328" width="9.140625" style="63"/>
    <col min="3329" max="3329" width="8.7109375" style="63" customWidth="1"/>
    <col min="3330" max="3330" width="0" style="63" hidden="1" customWidth="1"/>
    <col min="3331" max="3331" width="40.7109375" style="63" customWidth="1"/>
    <col min="3332" max="3332" width="9.5703125" style="63" customWidth="1"/>
    <col min="3333" max="3341" width="8.7109375" style="63" customWidth="1"/>
    <col min="3342" max="3342" width="12.7109375" style="63" customWidth="1"/>
    <col min="3343" max="3343" width="25.7109375" style="63" customWidth="1"/>
    <col min="3344" max="3346" width="10.7109375" style="63" customWidth="1"/>
    <col min="3347" max="3347" width="12.7109375" style="63" customWidth="1"/>
    <col min="3348" max="3348" width="4.140625" style="63" customWidth="1"/>
    <col min="3349" max="3358" width="15.7109375" style="63" customWidth="1"/>
    <col min="3359" max="3584" width="9.140625" style="63"/>
    <col min="3585" max="3585" width="8.7109375" style="63" customWidth="1"/>
    <col min="3586" max="3586" width="0" style="63" hidden="1" customWidth="1"/>
    <col min="3587" max="3587" width="40.7109375" style="63" customWidth="1"/>
    <col min="3588" max="3588" width="9.5703125" style="63" customWidth="1"/>
    <col min="3589" max="3597" width="8.7109375" style="63" customWidth="1"/>
    <col min="3598" max="3598" width="12.7109375" style="63" customWidth="1"/>
    <col min="3599" max="3599" width="25.7109375" style="63" customWidth="1"/>
    <col min="3600" max="3602" width="10.7109375" style="63" customWidth="1"/>
    <col min="3603" max="3603" width="12.7109375" style="63" customWidth="1"/>
    <col min="3604" max="3604" width="4.140625" style="63" customWidth="1"/>
    <col min="3605" max="3614" width="15.7109375" style="63" customWidth="1"/>
    <col min="3615" max="3840" width="9.140625" style="63"/>
    <col min="3841" max="3841" width="8.7109375" style="63" customWidth="1"/>
    <col min="3842" max="3842" width="0" style="63" hidden="1" customWidth="1"/>
    <col min="3843" max="3843" width="40.7109375" style="63" customWidth="1"/>
    <col min="3844" max="3844" width="9.5703125" style="63" customWidth="1"/>
    <col min="3845" max="3853" width="8.7109375" style="63" customWidth="1"/>
    <col min="3854" max="3854" width="12.7109375" style="63" customWidth="1"/>
    <col min="3855" max="3855" width="25.7109375" style="63" customWidth="1"/>
    <col min="3856" max="3858" width="10.7109375" style="63" customWidth="1"/>
    <col min="3859" max="3859" width="12.7109375" style="63" customWidth="1"/>
    <col min="3860" max="3860" width="4.140625" style="63" customWidth="1"/>
    <col min="3861" max="3870" width="15.7109375" style="63" customWidth="1"/>
    <col min="3871" max="4096" width="9.140625" style="63"/>
    <col min="4097" max="4097" width="8.7109375" style="63" customWidth="1"/>
    <col min="4098" max="4098" width="0" style="63" hidden="1" customWidth="1"/>
    <col min="4099" max="4099" width="40.7109375" style="63" customWidth="1"/>
    <col min="4100" max="4100" width="9.5703125" style="63" customWidth="1"/>
    <col min="4101" max="4109" width="8.7109375" style="63" customWidth="1"/>
    <col min="4110" max="4110" width="12.7109375" style="63" customWidth="1"/>
    <col min="4111" max="4111" width="25.7109375" style="63" customWidth="1"/>
    <col min="4112" max="4114" width="10.7109375" style="63" customWidth="1"/>
    <col min="4115" max="4115" width="12.7109375" style="63" customWidth="1"/>
    <col min="4116" max="4116" width="4.140625" style="63" customWidth="1"/>
    <col min="4117" max="4126" width="15.7109375" style="63" customWidth="1"/>
    <col min="4127" max="4352" width="9.140625" style="63"/>
    <col min="4353" max="4353" width="8.7109375" style="63" customWidth="1"/>
    <col min="4354" max="4354" width="0" style="63" hidden="1" customWidth="1"/>
    <col min="4355" max="4355" width="40.7109375" style="63" customWidth="1"/>
    <col min="4356" max="4356" width="9.5703125" style="63" customWidth="1"/>
    <col min="4357" max="4365" width="8.7109375" style="63" customWidth="1"/>
    <col min="4366" max="4366" width="12.7109375" style="63" customWidth="1"/>
    <col min="4367" max="4367" width="25.7109375" style="63" customWidth="1"/>
    <col min="4368" max="4370" width="10.7109375" style="63" customWidth="1"/>
    <col min="4371" max="4371" width="12.7109375" style="63" customWidth="1"/>
    <col min="4372" max="4372" width="4.140625" style="63" customWidth="1"/>
    <col min="4373" max="4382" width="15.7109375" style="63" customWidth="1"/>
    <col min="4383" max="4608" width="9.140625" style="63"/>
    <col min="4609" max="4609" width="8.7109375" style="63" customWidth="1"/>
    <col min="4610" max="4610" width="0" style="63" hidden="1" customWidth="1"/>
    <col min="4611" max="4611" width="40.7109375" style="63" customWidth="1"/>
    <col min="4612" max="4612" width="9.5703125" style="63" customWidth="1"/>
    <col min="4613" max="4621" width="8.7109375" style="63" customWidth="1"/>
    <col min="4622" max="4622" width="12.7109375" style="63" customWidth="1"/>
    <col min="4623" max="4623" width="25.7109375" style="63" customWidth="1"/>
    <col min="4624" max="4626" width="10.7109375" style="63" customWidth="1"/>
    <col min="4627" max="4627" width="12.7109375" style="63" customWidth="1"/>
    <col min="4628" max="4628" width="4.140625" style="63" customWidth="1"/>
    <col min="4629" max="4638" width="15.7109375" style="63" customWidth="1"/>
    <col min="4639" max="4864" width="9.140625" style="63"/>
    <col min="4865" max="4865" width="8.7109375" style="63" customWidth="1"/>
    <col min="4866" max="4866" width="0" style="63" hidden="1" customWidth="1"/>
    <col min="4867" max="4867" width="40.7109375" style="63" customWidth="1"/>
    <col min="4868" max="4868" width="9.5703125" style="63" customWidth="1"/>
    <col min="4869" max="4877" width="8.7109375" style="63" customWidth="1"/>
    <col min="4878" max="4878" width="12.7109375" style="63" customWidth="1"/>
    <col min="4879" max="4879" width="25.7109375" style="63" customWidth="1"/>
    <col min="4880" max="4882" width="10.7109375" style="63" customWidth="1"/>
    <col min="4883" max="4883" width="12.7109375" style="63" customWidth="1"/>
    <col min="4884" max="4884" width="4.140625" style="63" customWidth="1"/>
    <col min="4885" max="4894" width="15.7109375" style="63" customWidth="1"/>
    <col min="4895" max="5120" width="9.140625" style="63"/>
    <col min="5121" max="5121" width="8.7109375" style="63" customWidth="1"/>
    <col min="5122" max="5122" width="0" style="63" hidden="1" customWidth="1"/>
    <col min="5123" max="5123" width="40.7109375" style="63" customWidth="1"/>
    <col min="5124" max="5124" width="9.5703125" style="63" customWidth="1"/>
    <col min="5125" max="5133" width="8.7109375" style="63" customWidth="1"/>
    <col min="5134" max="5134" width="12.7109375" style="63" customWidth="1"/>
    <col min="5135" max="5135" width="25.7109375" style="63" customWidth="1"/>
    <col min="5136" max="5138" width="10.7109375" style="63" customWidth="1"/>
    <col min="5139" max="5139" width="12.7109375" style="63" customWidth="1"/>
    <col min="5140" max="5140" width="4.140625" style="63" customWidth="1"/>
    <col min="5141" max="5150" width="15.7109375" style="63" customWidth="1"/>
    <col min="5151" max="5376" width="9.140625" style="63"/>
    <col min="5377" max="5377" width="8.7109375" style="63" customWidth="1"/>
    <col min="5378" max="5378" width="0" style="63" hidden="1" customWidth="1"/>
    <col min="5379" max="5379" width="40.7109375" style="63" customWidth="1"/>
    <col min="5380" max="5380" width="9.5703125" style="63" customWidth="1"/>
    <col min="5381" max="5389" width="8.7109375" style="63" customWidth="1"/>
    <col min="5390" max="5390" width="12.7109375" style="63" customWidth="1"/>
    <col min="5391" max="5391" width="25.7109375" style="63" customWidth="1"/>
    <col min="5392" max="5394" width="10.7109375" style="63" customWidth="1"/>
    <col min="5395" max="5395" width="12.7109375" style="63" customWidth="1"/>
    <col min="5396" max="5396" width="4.140625" style="63" customWidth="1"/>
    <col min="5397" max="5406" width="15.7109375" style="63" customWidth="1"/>
    <col min="5407" max="5632" width="9.140625" style="63"/>
    <col min="5633" max="5633" width="8.7109375" style="63" customWidth="1"/>
    <col min="5634" max="5634" width="0" style="63" hidden="1" customWidth="1"/>
    <col min="5635" max="5635" width="40.7109375" style="63" customWidth="1"/>
    <col min="5636" max="5636" width="9.5703125" style="63" customWidth="1"/>
    <col min="5637" max="5645" width="8.7109375" style="63" customWidth="1"/>
    <col min="5646" max="5646" width="12.7109375" style="63" customWidth="1"/>
    <col min="5647" max="5647" width="25.7109375" style="63" customWidth="1"/>
    <col min="5648" max="5650" width="10.7109375" style="63" customWidth="1"/>
    <col min="5651" max="5651" width="12.7109375" style="63" customWidth="1"/>
    <col min="5652" max="5652" width="4.140625" style="63" customWidth="1"/>
    <col min="5653" max="5662" width="15.7109375" style="63" customWidth="1"/>
    <col min="5663" max="5888" width="9.140625" style="63"/>
    <col min="5889" max="5889" width="8.7109375" style="63" customWidth="1"/>
    <col min="5890" max="5890" width="0" style="63" hidden="1" customWidth="1"/>
    <col min="5891" max="5891" width="40.7109375" style="63" customWidth="1"/>
    <col min="5892" max="5892" width="9.5703125" style="63" customWidth="1"/>
    <col min="5893" max="5901" width="8.7109375" style="63" customWidth="1"/>
    <col min="5902" max="5902" width="12.7109375" style="63" customWidth="1"/>
    <col min="5903" max="5903" width="25.7109375" style="63" customWidth="1"/>
    <col min="5904" max="5906" width="10.7109375" style="63" customWidth="1"/>
    <col min="5907" max="5907" width="12.7109375" style="63" customWidth="1"/>
    <col min="5908" max="5908" width="4.140625" style="63" customWidth="1"/>
    <col min="5909" max="5918" width="15.7109375" style="63" customWidth="1"/>
    <col min="5919" max="6144" width="9.140625" style="63"/>
    <col min="6145" max="6145" width="8.7109375" style="63" customWidth="1"/>
    <col min="6146" max="6146" width="0" style="63" hidden="1" customWidth="1"/>
    <col min="6147" max="6147" width="40.7109375" style="63" customWidth="1"/>
    <col min="6148" max="6148" width="9.5703125" style="63" customWidth="1"/>
    <col min="6149" max="6157" width="8.7109375" style="63" customWidth="1"/>
    <col min="6158" max="6158" width="12.7109375" style="63" customWidth="1"/>
    <col min="6159" max="6159" width="25.7109375" style="63" customWidth="1"/>
    <col min="6160" max="6162" width="10.7109375" style="63" customWidth="1"/>
    <col min="6163" max="6163" width="12.7109375" style="63" customWidth="1"/>
    <col min="6164" max="6164" width="4.140625" style="63" customWidth="1"/>
    <col min="6165" max="6174" width="15.7109375" style="63" customWidth="1"/>
    <col min="6175" max="6400" width="9.140625" style="63"/>
    <col min="6401" max="6401" width="8.7109375" style="63" customWidth="1"/>
    <col min="6402" max="6402" width="0" style="63" hidden="1" customWidth="1"/>
    <col min="6403" max="6403" width="40.7109375" style="63" customWidth="1"/>
    <col min="6404" max="6404" width="9.5703125" style="63" customWidth="1"/>
    <col min="6405" max="6413" width="8.7109375" style="63" customWidth="1"/>
    <col min="6414" max="6414" width="12.7109375" style="63" customWidth="1"/>
    <col min="6415" max="6415" width="25.7109375" style="63" customWidth="1"/>
    <col min="6416" max="6418" width="10.7109375" style="63" customWidth="1"/>
    <col min="6419" max="6419" width="12.7109375" style="63" customWidth="1"/>
    <col min="6420" max="6420" width="4.140625" style="63" customWidth="1"/>
    <col min="6421" max="6430" width="15.7109375" style="63" customWidth="1"/>
    <col min="6431" max="6656" width="9.140625" style="63"/>
    <col min="6657" max="6657" width="8.7109375" style="63" customWidth="1"/>
    <col min="6658" max="6658" width="0" style="63" hidden="1" customWidth="1"/>
    <col min="6659" max="6659" width="40.7109375" style="63" customWidth="1"/>
    <col min="6660" max="6660" width="9.5703125" style="63" customWidth="1"/>
    <col min="6661" max="6669" width="8.7109375" style="63" customWidth="1"/>
    <col min="6670" max="6670" width="12.7109375" style="63" customWidth="1"/>
    <col min="6671" max="6671" width="25.7109375" style="63" customWidth="1"/>
    <col min="6672" max="6674" width="10.7109375" style="63" customWidth="1"/>
    <col min="6675" max="6675" width="12.7109375" style="63" customWidth="1"/>
    <col min="6676" max="6676" width="4.140625" style="63" customWidth="1"/>
    <col min="6677" max="6686" width="15.7109375" style="63" customWidth="1"/>
    <col min="6687" max="6912" width="9.140625" style="63"/>
    <col min="6913" max="6913" width="8.7109375" style="63" customWidth="1"/>
    <col min="6914" max="6914" width="0" style="63" hidden="1" customWidth="1"/>
    <col min="6915" max="6915" width="40.7109375" style="63" customWidth="1"/>
    <col min="6916" max="6916" width="9.5703125" style="63" customWidth="1"/>
    <col min="6917" max="6925" width="8.7109375" style="63" customWidth="1"/>
    <col min="6926" max="6926" width="12.7109375" style="63" customWidth="1"/>
    <col min="6927" max="6927" width="25.7109375" style="63" customWidth="1"/>
    <col min="6928" max="6930" width="10.7109375" style="63" customWidth="1"/>
    <col min="6931" max="6931" width="12.7109375" style="63" customWidth="1"/>
    <col min="6932" max="6932" width="4.140625" style="63" customWidth="1"/>
    <col min="6933" max="6942" width="15.7109375" style="63" customWidth="1"/>
    <col min="6943" max="7168" width="9.140625" style="63"/>
    <col min="7169" max="7169" width="8.7109375" style="63" customWidth="1"/>
    <col min="7170" max="7170" width="0" style="63" hidden="1" customWidth="1"/>
    <col min="7171" max="7171" width="40.7109375" style="63" customWidth="1"/>
    <col min="7172" max="7172" width="9.5703125" style="63" customWidth="1"/>
    <col min="7173" max="7181" width="8.7109375" style="63" customWidth="1"/>
    <col min="7182" max="7182" width="12.7109375" style="63" customWidth="1"/>
    <col min="7183" max="7183" width="25.7109375" style="63" customWidth="1"/>
    <col min="7184" max="7186" width="10.7109375" style="63" customWidth="1"/>
    <col min="7187" max="7187" width="12.7109375" style="63" customWidth="1"/>
    <col min="7188" max="7188" width="4.140625" style="63" customWidth="1"/>
    <col min="7189" max="7198" width="15.7109375" style="63" customWidth="1"/>
    <col min="7199" max="7424" width="9.140625" style="63"/>
    <col min="7425" max="7425" width="8.7109375" style="63" customWidth="1"/>
    <col min="7426" max="7426" width="0" style="63" hidden="1" customWidth="1"/>
    <col min="7427" max="7427" width="40.7109375" style="63" customWidth="1"/>
    <col min="7428" max="7428" width="9.5703125" style="63" customWidth="1"/>
    <col min="7429" max="7437" width="8.7109375" style="63" customWidth="1"/>
    <col min="7438" max="7438" width="12.7109375" style="63" customWidth="1"/>
    <col min="7439" max="7439" width="25.7109375" style="63" customWidth="1"/>
    <col min="7440" max="7442" width="10.7109375" style="63" customWidth="1"/>
    <col min="7443" max="7443" width="12.7109375" style="63" customWidth="1"/>
    <col min="7444" max="7444" width="4.140625" style="63" customWidth="1"/>
    <col min="7445" max="7454" width="15.7109375" style="63" customWidth="1"/>
    <col min="7455" max="7680" width="9.140625" style="63"/>
    <col min="7681" max="7681" width="8.7109375" style="63" customWidth="1"/>
    <col min="7682" max="7682" width="0" style="63" hidden="1" customWidth="1"/>
    <col min="7683" max="7683" width="40.7109375" style="63" customWidth="1"/>
    <col min="7684" max="7684" width="9.5703125" style="63" customWidth="1"/>
    <col min="7685" max="7693" width="8.7109375" style="63" customWidth="1"/>
    <col min="7694" max="7694" width="12.7109375" style="63" customWidth="1"/>
    <col min="7695" max="7695" width="25.7109375" style="63" customWidth="1"/>
    <col min="7696" max="7698" width="10.7109375" style="63" customWidth="1"/>
    <col min="7699" max="7699" width="12.7109375" style="63" customWidth="1"/>
    <col min="7700" max="7700" width="4.140625" style="63" customWidth="1"/>
    <col min="7701" max="7710" width="15.7109375" style="63" customWidth="1"/>
    <col min="7711" max="7936" width="9.140625" style="63"/>
    <col min="7937" max="7937" width="8.7109375" style="63" customWidth="1"/>
    <col min="7938" max="7938" width="0" style="63" hidden="1" customWidth="1"/>
    <col min="7939" max="7939" width="40.7109375" style="63" customWidth="1"/>
    <col min="7940" max="7940" width="9.5703125" style="63" customWidth="1"/>
    <col min="7941" max="7949" width="8.7109375" style="63" customWidth="1"/>
    <col min="7950" max="7950" width="12.7109375" style="63" customWidth="1"/>
    <col min="7951" max="7951" width="25.7109375" style="63" customWidth="1"/>
    <col min="7952" max="7954" width="10.7109375" style="63" customWidth="1"/>
    <col min="7955" max="7955" width="12.7109375" style="63" customWidth="1"/>
    <col min="7956" max="7956" width="4.140625" style="63" customWidth="1"/>
    <col min="7957" max="7966" width="15.7109375" style="63" customWidth="1"/>
    <col min="7967" max="8192" width="9.140625" style="63"/>
    <col min="8193" max="8193" width="8.7109375" style="63" customWidth="1"/>
    <col min="8194" max="8194" width="0" style="63" hidden="1" customWidth="1"/>
    <col min="8195" max="8195" width="40.7109375" style="63" customWidth="1"/>
    <col min="8196" max="8196" width="9.5703125" style="63" customWidth="1"/>
    <col min="8197" max="8205" width="8.7109375" style="63" customWidth="1"/>
    <col min="8206" max="8206" width="12.7109375" style="63" customWidth="1"/>
    <col min="8207" max="8207" width="25.7109375" style="63" customWidth="1"/>
    <col min="8208" max="8210" width="10.7109375" style="63" customWidth="1"/>
    <col min="8211" max="8211" width="12.7109375" style="63" customWidth="1"/>
    <col min="8212" max="8212" width="4.140625" style="63" customWidth="1"/>
    <col min="8213" max="8222" width="15.7109375" style="63" customWidth="1"/>
    <col min="8223" max="8448" width="9.140625" style="63"/>
    <col min="8449" max="8449" width="8.7109375" style="63" customWidth="1"/>
    <col min="8450" max="8450" width="0" style="63" hidden="1" customWidth="1"/>
    <col min="8451" max="8451" width="40.7109375" style="63" customWidth="1"/>
    <col min="8452" max="8452" width="9.5703125" style="63" customWidth="1"/>
    <col min="8453" max="8461" width="8.7109375" style="63" customWidth="1"/>
    <col min="8462" max="8462" width="12.7109375" style="63" customWidth="1"/>
    <col min="8463" max="8463" width="25.7109375" style="63" customWidth="1"/>
    <col min="8464" max="8466" width="10.7109375" style="63" customWidth="1"/>
    <col min="8467" max="8467" width="12.7109375" style="63" customWidth="1"/>
    <col min="8468" max="8468" width="4.140625" style="63" customWidth="1"/>
    <col min="8469" max="8478" width="15.7109375" style="63" customWidth="1"/>
    <col min="8479" max="8704" width="9.140625" style="63"/>
    <col min="8705" max="8705" width="8.7109375" style="63" customWidth="1"/>
    <col min="8706" max="8706" width="0" style="63" hidden="1" customWidth="1"/>
    <col min="8707" max="8707" width="40.7109375" style="63" customWidth="1"/>
    <col min="8708" max="8708" width="9.5703125" style="63" customWidth="1"/>
    <col min="8709" max="8717" width="8.7109375" style="63" customWidth="1"/>
    <col min="8718" max="8718" width="12.7109375" style="63" customWidth="1"/>
    <col min="8719" max="8719" width="25.7109375" style="63" customWidth="1"/>
    <col min="8720" max="8722" width="10.7109375" style="63" customWidth="1"/>
    <col min="8723" max="8723" width="12.7109375" style="63" customWidth="1"/>
    <col min="8724" max="8724" width="4.140625" style="63" customWidth="1"/>
    <col min="8725" max="8734" width="15.7109375" style="63" customWidth="1"/>
    <col min="8735" max="8960" width="9.140625" style="63"/>
    <col min="8961" max="8961" width="8.7109375" style="63" customWidth="1"/>
    <col min="8962" max="8962" width="0" style="63" hidden="1" customWidth="1"/>
    <col min="8963" max="8963" width="40.7109375" style="63" customWidth="1"/>
    <col min="8964" max="8964" width="9.5703125" style="63" customWidth="1"/>
    <col min="8965" max="8973" width="8.7109375" style="63" customWidth="1"/>
    <col min="8974" max="8974" width="12.7109375" style="63" customWidth="1"/>
    <col min="8975" max="8975" width="25.7109375" style="63" customWidth="1"/>
    <col min="8976" max="8978" width="10.7109375" style="63" customWidth="1"/>
    <col min="8979" max="8979" width="12.7109375" style="63" customWidth="1"/>
    <col min="8980" max="8980" width="4.140625" style="63" customWidth="1"/>
    <col min="8981" max="8990" width="15.7109375" style="63" customWidth="1"/>
    <col min="8991" max="9216" width="9.140625" style="63"/>
    <col min="9217" max="9217" width="8.7109375" style="63" customWidth="1"/>
    <col min="9218" max="9218" width="0" style="63" hidden="1" customWidth="1"/>
    <col min="9219" max="9219" width="40.7109375" style="63" customWidth="1"/>
    <col min="9220" max="9220" width="9.5703125" style="63" customWidth="1"/>
    <col min="9221" max="9229" width="8.7109375" style="63" customWidth="1"/>
    <col min="9230" max="9230" width="12.7109375" style="63" customWidth="1"/>
    <col min="9231" max="9231" width="25.7109375" style="63" customWidth="1"/>
    <col min="9232" max="9234" width="10.7109375" style="63" customWidth="1"/>
    <col min="9235" max="9235" width="12.7109375" style="63" customWidth="1"/>
    <col min="9236" max="9236" width="4.140625" style="63" customWidth="1"/>
    <col min="9237" max="9246" width="15.7109375" style="63" customWidth="1"/>
    <col min="9247" max="9472" width="9.140625" style="63"/>
    <col min="9473" max="9473" width="8.7109375" style="63" customWidth="1"/>
    <col min="9474" max="9474" width="0" style="63" hidden="1" customWidth="1"/>
    <col min="9475" max="9475" width="40.7109375" style="63" customWidth="1"/>
    <col min="9476" max="9476" width="9.5703125" style="63" customWidth="1"/>
    <col min="9477" max="9485" width="8.7109375" style="63" customWidth="1"/>
    <col min="9486" max="9486" width="12.7109375" style="63" customWidth="1"/>
    <col min="9487" max="9487" width="25.7109375" style="63" customWidth="1"/>
    <col min="9488" max="9490" width="10.7109375" style="63" customWidth="1"/>
    <col min="9491" max="9491" width="12.7109375" style="63" customWidth="1"/>
    <col min="9492" max="9492" width="4.140625" style="63" customWidth="1"/>
    <col min="9493" max="9502" width="15.7109375" style="63" customWidth="1"/>
    <col min="9503" max="9728" width="9.140625" style="63"/>
    <col min="9729" max="9729" width="8.7109375" style="63" customWidth="1"/>
    <col min="9730" max="9730" width="0" style="63" hidden="1" customWidth="1"/>
    <col min="9731" max="9731" width="40.7109375" style="63" customWidth="1"/>
    <col min="9732" max="9732" width="9.5703125" style="63" customWidth="1"/>
    <col min="9733" max="9741" width="8.7109375" style="63" customWidth="1"/>
    <col min="9742" max="9742" width="12.7109375" style="63" customWidth="1"/>
    <col min="9743" max="9743" width="25.7109375" style="63" customWidth="1"/>
    <col min="9744" max="9746" width="10.7109375" style="63" customWidth="1"/>
    <col min="9747" max="9747" width="12.7109375" style="63" customWidth="1"/>
    <col min="9748" max="9748" width="4.140625" style="63" customWidth="1"/>
    <col min="9749" max="9758" width="15.7109375" style="63" customWidth="1"/>
    <col min="9759" max="9984" width="9.140625" style="63"/>
    <col min="9985" max="9985" width="8.7109375" style="63" customWidth="1"/>
    <col min="9986" max="9986" width="0" style="63" hidden="1" customWidth="1"/>
    <col min="9987" max="9987" width="40.7109375" style="63" customWidth="1"/>
    <col min="9988" max="9988" width="9.5703125" style="63" customWidth="1"/>
    <col min="9989" max="9997" width="8.7109375" style="63" customWidth="1"/>
    <col min="9998" max="9998" width="12.7109375" style="63" customWidth="1"/>
    <col min="9999" max="9999" width="25.7109375" style="63" customWidth="1"/>
    <col min="10000" max="10002" width="10.7109375" style="63" customWidth="1"/>
    <col min="10003" max="10003" width="12.7109375" style="63" customWidth="1"/>
    <col min="10004" max="10004" width="4.140625" style="63" customWidth="1"/>
    <col min="10005" max="10014" width="15.7109375" style="63" customWidth="1"/>
    <col min="10015" max="10240" width="9.140625" style="63"/>
    <col min="10241" max="10241" width="8.7109375" style="63" customWidth="1"/>
    <col min="10242" max="10242" width="0" style="63" hidden="1" customWidth="1"/>
    <col min="10243" max="10243" width="40.7109375" style="63" customWidth="1"/>
    <col min="10244" max="10244" width="9.5703125" style="63" customWidth="1"/>
    <col min="10245" max="10253" width="8.7109375" style="63" customWidth="1"/>
    <col min="10254" max="10254" width="12.7109375" style="63" customWidth="1"/>
    <col min="10255" max="10255" width="25.7109375" style="63" customWidth="1"/>
    <col min="10256" max="10258" width="10.7109375" style="63" customWidth="1"/>
    <col min="10259" max="10259" width="12.7109375" style="63" customWidth="1"/>
    <col min="10260" max="10260" width="4.140625" style="63" customWidth="1"/>
    <col min="10261" max="10270" width="15.7109375" style="63" customWidth="1"/>
    <col min="10271" max="10496" width="9.140625" style="63"/>
    <col min="10497" max="10497" width="8.7109375" style="63" customWidth="1"/>
    <col min="10498" max="10498" width="0" style="63" hidden="1" customWidth="1"/>
    <col min="10499" max="10499" width="40.7109375" style="63" customWidth="1"/>
    <col min="10500" max="10500" width="9.5703125" style="63" customWidth="1"/>
    <col min="10501" max="10509" width="8.7109375" style="63" customWidth="1"/>
    <col min="10510" max="10510" width="12.7109375" style="63" customWidth="1"/>
    <col min="10511" max="10511" width="25.7109375" style="63" customWidth="1"/>
    <col min="10512" max="10514" width="10.7109375" style="63" customWidth="1"/>
    <col min="10515" max="10515" width="12.7109375" style="63" customWidth="1"/>
    <col min="10516" max="10516" width="4.140625" style="63" customWidth="1"/>
    <col min="10517" max="10526" width="15.7109375" style="63" customWidth="1"/>
    <col min="10527" max="10752" width="9.140625" style="63"/>
    <col min="10753" max="10753" width="8.7109375" style="63" customWidth="1"/>
    <col min="10754" max="10754" width="0" style="63" hidden="1" customWidth="1"/>
    <col min="10755" max="10755" width="40.7109375" style="63" customWidth="1"/>
    <col min="10756" max="10756" width="9.5703125" style="63" customWidth="1"/>
    <col min="10757" max="10765" width="8.7109375" style="63" customWidth="1"/>
    <col min="10766" max="10766" width="12.7109375" style="63" customWidth="1"/>
    <col min="10767" max="10767" width="25.7109375" style="63" customWidth="1"/>
    <col min="10768" max="10770" width="10.7109375" style="63" customWidth="1"/>
    <col min="10771" max="10771" width="12.7109375" style="63" customWidth="1"/>
    <col min="10772" max="10772" width="4.140625" style="63" customWidth="1"/>
    <col min="10773" max="10782" width="15.7109375" style="63" customWidth="1"/>
    <col min="10783" max="11008" width="9.140625" style="63"/>
    <col min="11009" max="11009" width="8.7109375" style="63" customWidth="1"/>
    <col min="11010" max="11010" width="0" style="63" hidden="1" customWidth="1"/>
    <col min="11011" max="11011" width="40.7109375" style="63" customWidth="1"/>
    <col min="11012" max="11012" width="9.5703125" style="63" customWidth="1"/>
    <col min="11013" max="11021" width="8.7109375" style="63" customWidth="1"/>
    <col min="11022" max="11022" width="12.7109375" style="63" customWidth="1"/>
    <col min="11023" max="11023" width="25.7109375" style="63" customWidth="1"/>
    <col min="11024" max="11026" width="10.7109375" style="63" customWidth="1"/>
    <col min="11027" max="11027" width="12.7109375" style="63" customWidth="1"/>
    <col min="11028" max="11028" width="4.140625" style="63" customWidth="1"/>
    <col min="11029" max="11038" width="15.7109375" style="63" customWidth="1"/>
    <col min="11039" max="11264" width="9.140625" style="63"/>
    <col min="11265" max="11265" width="8.7109375" style="63" customWidth="1"/>
    <col min="11266" max="11266" width="0" style="63" hidden="1" customWidth="1"/>
    <col min="11267" max="11267" width="40.7109375" style="63" customWidth="1"/>
    <col min="11268" max="11268" width="9.5703125" style="63" customWidth="1"/>
    <col min="11269" max="11277" width="8.7109375" style="63" customWidth="1"/>
    <col min="11278" max="11278" width="12.7109375" style="63" customWidth="1"/>
    <col min="11279" max="11279" width="25.7109375" style="63" customWidth="1"/>
    <col min="11280" max="11282" width="10.7109375" style="63" customWidth="1"/>
    <col min="11283" max="11283" width="12.7109375" style="63" customWidth="1"/>
    <col min="11284" max="11284" width="4.140625" style="63" customWidth="1"/>
    <col min="11285" max="11294" width="15.7109375" style="63" customWidth="1"/>
    <col min="11295" max="11520" width="9.140625" style="63"/>
    <col min="11521" max="11521" width="8.7109375" style="63" customWidth="1"/>
    <col min="11522" max="11522" width="0" style="63" hidden="1" customWidth="1"/>
    <col min="11523" max="11523" width="40.7109375" style="63" customWidth="1"/>
    <col min="11524" max="11524" width="9.5703125" style="63" customWidth="1"/>
    <col min="11525" max="11533" width="8.7109375" style="63" customWidth="1"/>
    <col min="11534" max="11534" width="12.7109375" style="63" customWidth="1"/>
    <col min="11535" max="11535" width="25.7109375" style="63" customWidth="1"/>
    <col min="11536" max="11538" width="10.7109375" style="63" customWidth="1"/>
    <col min="11539" max="11539" width="12.7109375" style="63" customWidth="1"/>
    <col min="11540" max="11540" width="4.140625" style="63" customWidth="1"/>
    <col min="11541" max="11550" width="15.7109375" style="63" customWidth="1"/>
    <col min="11551" max="11776" width="9.140625" style="63"/>
    <col min="11777" max="11777" width="8.7109375" style="63" customWidth="1"/>
    <col min="11778" max="11778" width="0" style="63" hidden="1" customWidth="1"/>
    <col min="11779" max="11779" width="40.7109375" style="63" customWidth="1"/>
    <col min="11780" max="11780" width="9.5703125" style="63" customWidth="1"/>
    <col min="11781" max="11789" width="8.7109375" style="63" customWidth="1"/>
    <col min="11790" max="11790" width="12.7109375" style="63" customWidth="1"/>
    <col min="11791" max="11791" width="25.7109375" style="63" customWidth="1"/>
    <col min="11792" max="11794" width="10.7109375" style="63" customWidth="1"/>
    <col min="11795" max="11795" width="12.7109375" style="63" customWidth="1"/>
    <col min="11796" max="11796" width="4.140625" style="63" customWidth="1"/>
    <col min="11797" max="11806" width="15.7109375" style="63" customWidth="1"/>
    <col min="11807" max="12032" width="9.140625" style="63"/>
    <col min="12033" max="12033" width="8.7109375" style="63" customWidth="1"/>
    <col min="12034" max="12034" width="0" style="63" hidden="1" customWidth="1"/>
    <col min="12035" max="12035" width="40.7109375" style="63" customWidth="1"/>
    <col min="12036" max="12036" width="9.5703125" style="63" customWidth="1"/>
    <col min="12037" max="12045" width="8.7109375" style="63" customWidth="1"/>
    <col min="12046" max="12046" width="12.7109375" style="63" customWidth="1"/>
    <col min="12047" max="12047" width="25.7109375" style="63" customWidth="1"/>
    <col min="12048" max="12050" width="10.7109375" style="63" customWidth="1"/>
    <col min="12051" max="12051" width="12.7109375" style="63" customWidth="1"/>
    <col min="12052" max="12052" width="4.140625" style="63" customWidth="1"/>
    <col min="12053" max="12062" width="15.7109375" style="63" customWidth="1"/>
    <col min="12063" max="12288" width="9.140625" style="63"/>
    <col min="12289" max="12289" width="8.7109375" style="63" customWidth="1"/>
    <col min="12290" max="12290" width="0" style="63" hidden="1" customWidth="1"/>
    <col min="12291" max="12291" width="40.7109375" style="63" customWidth="1"/>
    <col min="12292" max="12292" width="9.5703125" style="63" customWidth="1"/>
    <col min="12293" max="12301" width="8.7109375" style="63" customWidth="1"/>
    <col min="12302" max="12302" width="12.7109375" style="63" customWidth="1"/>
    <col min="12303" max="12303" width="25.7109375" style="63" customWidth="1"/>
    <col min="12304" max="12306" width="10.7109375" style="63" customWidth="1"/>
    <col min="12307" max="12307" width="12.7109375" style="63" customWidth="1"/>
    <col min="12308" max="12308" width="4.140625" style="63" customWidth="1"/>
    <col min="12309" max="12318" width="15.7109375" style="63" customWidth="1"/>
    <col min="12319" max="12544" width="9.140625" style="63"/>
    <col min="12545" max="12545" width="8.7109375" style="63" customWidth="1"/>
    <col min="12546" max="12546" width="0" style="63" hidden="1" customWidth="1"/>
    <col min="12547" max="12547" width="40.7109375" style="63" customWidth="1"/>
    <col min="12548" max="12548" width="9.5703125" style="63" customWidth="1"/>
    <col min="12549" max="12557" width="8.7109375" style="63" customWidth="1"/>
    <col min="12558" max="12558" width="12.7109375" style="63" customWidth="1"/>
    <col min="12559" max="12559" width="25.7109375" style="63" customWidth="1"/>
    <col min="12560" max="12562" width="10.7109375" style="63" customWidth="1"/>
    <col min="12563" max="12563" width="12.7109375" style="63" customWidth="1"/>
    <col min="12564" max="12564" width="4.140625" style="63" customWidth="1"/>
    <col min="12565" max="12574" width="15.7109375" style="63" customWidth="1"/>
    <col min="12575" max="12800" width="9.140625" style="63"/>
    <col min="12801" max="12801" width="8.7109375" style="63" customWidth="1"/>
    <col min="12802" max="12802" width="0" style="63" hidden="1" customWidth="1"/>
    <col min="12803" max="12803" width="40.7109375" style="63" customWidth="1"/>
    <col min="12804" max="12804" width="9.5703125" style="63" customWidth="1"/>
    <col min="12805" max="12813" width="8.7109375" style="63" customWidth="1"/>
    <col min="12814" max="12814" width="12.7109375" style="63" customWidth="1"/>
    <col min="12815" max="12815" width="25.7109375" style="63" customWidth="1"/>
    <col min="12816" max="12818" width="10.7109375" style="63" customWidth="1"/>
    <col min="12819" max="12819" width="12.7109375" style="63" customWidth="1"/>
    <col min="12820" max="12820" width="4.140625" style="63" customWidth="1"/>
    <col min="12821" max="12830" width="15.7109375" style="63" customWidth="1"/>
    <col min="12831" max="13056" width="9.140625" style="63"/>
    <col min="13057" max="13057" width="8.7109375" style="63" customWidth="1"/>
    <col min="13058" max="13058" width="0" style="63" hidden="1" customWidth="1"/>
    <col min="13059" max="13059" width="40.7109375" style="63" customWidth="1"/>
    <col min="13060" max="13060" width="9.5703125" style="63" customWidth="1"/>
    <col min="13061" max="13069" width="8.7109375" style="63" customWidth="1"/>
    <col min="13070" max="13070" width="12.7109375" style="63" customWidth="1"/>
    <col min="13071" max="13071" width="25.7109375" style="63" customWidth="1"/>
    <col min="13072" max="13074" width="10.7109375" style="63" customWidth="1"/>
    <col min="13075" max="13075" width="12.7109375" style="63" customWidth="1"/>
    <col min="13076" max="13076" width="4.140625" style="63" customWidth="1"/>
    <col min="13077" max="13086" width="15.7109375" style="63" customWidth="1"/>
    <col min="13087" max="13312" width="9.140625" style="63"/>
    <col min="13313" max="13313" width="8.7109375" style="63" customWidth="1"/>
    <col min="13314" max="13314" width="0" style="63" hidden="1" customWidth="1"/>
    <col min="13315" max="13315" width="40.7109375" style="63" customWidth="1"/>
    <col min="13316" max="13316" width="9.5703125" style="63" customWidth="1"/>
    <col min="13317" max="13325" width="8.7109375" style="63" customWidth="1"/>
    <col min="13326" max="13326" width="12.7109375" style="63" customWidth="1"/>
    <col min="13327" max="13327" width="25.7109375" style="63" customWidth="1"/>
    <col min="13328" max="13330" width="10.7109375" style="63" customWidth="1"/>
    <col min="13331" max="13331" width="12.7109375" style="63" customWidth="1"/>
    <col min="13332" max="13332" width="4.140625" style="63" customWidth="1"/>
    <col min="13333" max="13342" width="15.7109375" style="63" customWidth="1"/>
    <col min="13343" max="13568" width="9.140625" style="63"/>
    <col min="13569" max="13569" width="8.7109375" style="63" customWidth="1"/>
    <col min="13570" max="13570" width="0" style="63" hidden="1" customWidth="1"/>
    <col min="13571" max="13571" width="40.7109375" style="63" customWidth="1"/>
    <col min="13572" max="13572" width="9.5703125" style="63" customWidth="1"/>
    <col min="13573" max="13581" width="8.7109375" style="63" customWidth="1"/>
    <col min="13582" max="13582" width="12.7109375" style="63" customWidth="1"/>
    <col min="13583" max="13583" width="25.7109375" style="63" customWidth="1"/>
    <col min="13584" max="13586" width="10.7109375" style="63" customWidth="1"/>
    <col min="13587" max="13587" width="12.7109375" style="63" customWidth="1"/>
    <col min="13588" max="13588" width="4.140625" style="63" customWidth="1"/>
    <col min="13589" max="13598" width="15.7109375" style="63" customWidth="1"/>
    <col min="13599" max="13824" width="9.140625" style="63"/>
    <col min="13825" max="13825" width="8.7109375" style="63" customWidth="1"/>
    <col min="13826" max="13826" width="0" style="63" hidden="1" customWidth="1"/>
    <col min="13827" max="13827" width="40.7109375" style="63" customWidth="1"/>
    <col min="13828" max="13828" width="9.5703125" style="63" customWidth="1"/>
    <col min="13829" max="13837" width="8.7109375" style="63" customWidth="1"/>
    <col min="13838" max="13838" width="12.7109375" style="63" customWidth="1"/>
    <col min="13839" max="13839" width="25.7109375" style="63" customWidth="1"/>
    <col min="13840" max="13842" width="10.7109375" style="63" customWidth="1"/>
    <col min="13843" max="13843" width="12.7109375" style="63" customWidth="1"/>
    <col min="13844" max="13844" width="4.140625" style="63" customWidth="1"/>
    <col min="13845" max="13854" width="15.7109375" style="63" customWidth="1"/>
    <col min="13855" max="14080" width="9.140625" style="63"/>
    <col min="14081" max="14081" width="8.7109375" style="63" customWidth="1"/>
    <col min="14082" max="14082" width="0" style="63" hidden="1" customWidth="1"/>
    <col min="14083" max="14083" width="40.7109375" style="63" customWidth="1"/>
    <col min="14084" max="14084" width="9.5703125" style="63" customWidth="1"/>
    <col min="14085" max="14093" width="8.7109375" style="63" customWidth="1"/>
    <col min="14094" max="14094" width="12.7109375" style="63" customWidth="1"/>
    <col min="14095" max="14095" width="25.7109375" style="63" customWidth="1"/>
    <col min="14096" max="14098" width="10.7109375" style="63" customWidth="1"/>
    <col min="14099" max="14099" width="12.7109375" style="63" customWidth="1"/>
    <col min="14100" max="14100" width="4.140625" style="63" customWidth="1"/>
    <col min="14101" max="14110" width="15.7109375" style="63" customWidth="1"/>
    <col min="14111" max="14336" width="9.140625" style="63"/>
    <col min="14337" max="14337" width="8.7109375" style="63" customWidth="1"/>
    <col min="14338" max="14338" width="0" style="63" hidden="1" customWidth="1"/>
    <col min="14339" max="14339" width="40.7109375" style="63" customWidth="1"/>
    <col min="14340" max="14340" width="9.5703125" style="63" customWidth="1"/>
    <col min="14341" max="14349" width="8.7109375" style="63" customWidth="1"/>
    <col min="14350" max="14350" width="12.7109375" style="63" customWidth="1"/>
    <col min="14351" max="14351" width="25.7109375" style="63" customWidth="1"/>
    <col min="14352" max="14354" width="10.7109375" style="63" customWidth="1"/>
    <col min="14355" max="14355" width="12.7109375" style="63" customWidth="1"/>
    <col min="14356" max="14356" width="4.140625" style="63" customWidth="1"/>
    <col min="14357" max="14366" width="15.7109375" style="63" customWidth="1"/>
    <col min="14367" max="14592" width="9.140625" style="63"/>
    <col min="14593" max="14593" width="8.7109375" style="63" customWidth="1"/>
    <col min="14594" max="14594" width="0" style="63" hidden="1" customWidth="1"/>
    <col min="14595" max="14595" width="40.7109375" style="63" customWidth="1"/>
    <col min="14596" max="14596" width="9.5703125" style="63" customWidth="1"/>
    <col min="14597" max="14605" width="8.7109375" style="63" customWidth="1"/>
    <col min="14606" max="14606" width="12.7109375" style="63" customWidth="1"/>
    <col min="14607" max="14607" width="25.7109375" style="63" customWidth="1"/>
    <col min="14608" max="14610" width="10.7109375" style="63" customWidth="1"/>
    <col min="14611" max="14611" width="12.7109375" style="63" customWidth="1"/>
    <col min="14612" max="14612" width="4.140625" style="63" customWidth="1"/>
    <col min="14613" max="14622" width="15.7109375" style="63" customWidth="1"/>
    <col min="14623" max="14848" width="9.140625" style="63"/>
    <col min="14849" max="14849" width="8.7109375" style="63" customWidth="1"/>
    <col min="14850" max="14850" width="0" style="63" hidden="1" customWidth="1"/>
    <col min="14851" max="14851" width="40.7109375" style="63" customWidth="1"/>
    <col min="14852" max="14852" width="9.5703125" style="63" customWidth="1"/>
    <col min="14853" max="14861" width="8.7109375" style="63" customWidth="1"/>
    <col min="14862" max="14862" width="12.7109375" style="63" customWidth="1"/>
    <col min="14863" max="14863" width="25.7109375" style="63" customWidth="1"/>
    <col min="14864" max="14866" width="10.7109375" style="63" customWidth="1"/>
    <col min="14867" max="14867" width="12.7109375" style="63" customWidth="1"/>
    <col min="14868" max="14868" width="4.140625" style="63" customWidth="1"/>
    <col min="14869" max="14878" width="15.7109375" style="63" customWidth="1"/>
    <col min="14879" max="15104" width="9.140625" style="63"/>
    <col min="15105" max="15105" width="8.7109375" style="63" customWidth="1"/>
    <col min="15106" max="15106" width="0" style="63" hidden="1" customWidth="1"/>
    <col min="15107" max="15107" width="40.7109375" style="63" customWidth="1"/>
    <col min="15108" max="15108" width="9.5703125" style="63" customWidth="1"/>
    <col min="15109" max="15117" width="8.7109375" style="63" customWidth="1"/>
    <col min="15118" max="15118" width="12.7109375" style="63" customWidth="1"/>
    <col min="15119" max="15119" width="25.7109375" style="63" customWidth="1"/>
    <col min="15120" max="15122" width="10.7109375" style="63" customWidth="1"/>
    <col min="15123" max="15123" width="12.7109375" style="63" customWidth="1"/>
    <col min="15124" max="15124" width="4.140625" style="63" customWidth="1"/>
    <col min="15125" max="15134" width="15.7109375" style="63" customWidth="1"/>
    <col min="15135" max="15360" width="9.140625" style="63"/>
    <col min="15361" max="15361" width="8.7109375" style="63" customWidth="1"/>
    <col min="15362" max="15362" width="0" style="63" hidden="1" customWidth="1"/>
    <col min="15363" max="15363" width="40.7109375" style="63" customWidth="1"/>
    <col min="15364" max="15364" width="9.5703125" style="63" customWidth="1"/>
    <col min="15365" max="15373" width="8.7109375" style="63" customWidth="1"/>
    <col min="15374" max="15374" width="12.7109375" style="63" customWidth="1"/>
    <col min="15375" max="15375" width="25.7109375" style="63" customWidth="1"/>
    <col min="15376" max="15378" width="10.7109375" style="63" customWidth="1"/>
    <col min="15379" max="15379" width="12.7109375" style="63" customWidth="1"/>
    <col min="15380" max="15380" width="4.140625" style="63" customWidth="1"/>
    <col min="15381" max="15390" width="15.7109375" style="63" customWidth="1"/>
    <col min="15391" max="15616" width="9.140625" style="63"/>
    <col min="15617" max="15617" width="8.7109375" style="63" customWidth="1"/>
    <col min="15618" max="15618" width="0" style="63" hidden="1" customWidth="1"/>
    <col min="15619" max="15619" width="40.7109375" style="63" customWidth="1"/>
    <col min="15620" max="15620" width="9.5703125" style="63" customWidth="1"/>
    <col min="15621" max="15629" width="8.7109375" style="63" customWidth="1"/>
    <col min="15630" max="15630" width="12.7109375" style="63" customWidth="1"/>
    <col min="15631" max="15631" width="25.7109375" style="63" customWidth="1"/>
    <col min="15632" max="15634" width="10.7109375" style="63" customWidth="1"/>
    <col min="15635" max="15635" width="12.7109375" style="63" customWidth="1"/>
    <col min="15636" max="15636" width="4.140625" style="63" customWidth="1"/>
    <col min="15637" max="15646" width="15.7109375" style="63" customWidth="1"/>
    <col min="15647" max="15872" width="9.140625" style="63"/>
    <col min="15873" max="15873" width="8.7109375" style="63" customWidth="1"/>
    <col min="15874" max="15874" width="0" style="63" hidden="1" customWidth="1"/>
    <col min="15875" max="15875" width="40.7109375" style="63" customWidth="1"/>
    <col min="15876" max="15876" width="9.5703125" style="63" customWidth="1"/>
    <col min="15877" max="15885" width="8.7109375" style="63" customWidth="1"/>
    <col min="15886" max="15886" width="12.7109375" style="63" customWidth="1"/>
    <col min="15887" max="15887" width="25.7109375" style="63" customWidth="1"/>
    <col min="15888" max="15890" width="10.7109375" style="63" customWidth="1"/>
    <col min="15891" max="15891" width="12.7109375" style="63" customWidth="1"/>
    <col min="15892" max="15892" width="4.140625" style="63" customWidth="1"/>
    <col min="15893" max="15902" width="15.7109375" style="63" customWidth="1"/>
    <col min="15903" max="16128" width="9.140625" style="63"/>
    <col min="16129" max="16129" width="8.7109375" style="63" customWidth="1"/>
    <col min="16130" max="16130" width="0" style="63" hidden="1" customWidth="1"/>
    <col min="16131" max="16131" width="40.7109375" style="63" customWidth="1"/>
    <col min="16132" max="16132" width="9.5703125" style="63" customWidth="1"/>
    <col min="16133" max="16141" width="8.7109375" style="63" customWidth="1"/>
    <col min="16142" max="16142" width="12.7109375" style="63" customWidth="1"/>
    <col min="16143" max="16143" width="25.7109375" style="63" customWidth="1"/>
    <col min="16144" max="16146" width="10.7109375" style="63" customWidth="1"/>
    <col min="16147" max="16147" width="12.7109375" style="63" customWidth="1"/>
    <col min="16148" max="16148" width="4.140625" style="63" customWidth="1"/>
    <col min="16149" max="16158" width="15.7109375" style="63" customWidth="1"/>
    <col min="16159" max="16384" width="9.140625" style="63"/>
  </cols>
  <sheetData>
    <row r="2" spans="1:31" ht="39.950000000000003" customHeight="1" x14ac:dyDescent="0.2">
      <c r="A2" s="1442" t="s">
        <v>935</v>
      </c>
      <c r="B2" s="1442"/>
      <c r="C2" s="1442"/>
      <c r="D2" s="1442"/>
      <c r="E2" s="1442"/>
      <c r="F2" s="1442"/>
      <c r="G2" s="1442"/>
      <c r="H2" s="1442"/>
      <c r="I2" s="1442"/>
      <c r="J2" s="1442"/>
      <c r="K2" s="1442"/>
      <c r="L2" s="1442"/>
      <c r="M2" s="1442"/>
      <c r="N2" s="1442"/>
      <c r="O2" s="1442"/>
      <c r="P2" s="1442"/>
      <c r="Q2" s="1442"/>
      <c r="R2" s="1442"/>
      <c r="S2" s="1442"/>
    </row>
    <row r="3" spans="1:31" ht="24.95" customHeight="1" x14ac:dyDescent="0.3">
      <c r="M3" s="655" t="s">
        <v>423</v>
      </c>
      <c r="O3" s="1443" t="str">
        <f>LPKK!Q4</f>
        <v>SC MARABAHAN</v>
      </c>
      <c r="P3" s="1444"/>
    </row>
    <row r="4" spans="1:31" ht="24.95" customHeight="1" x14ac:dyDescent="0.3">
      <c r="M4" s="655" t="s">
        <v>424</v>
      </c>
      <c r="O4" s="1443" t="str">
        <f>LPKK!Q5</f>
        <v>1-7 JULI 2026</v>
      </c>
      <c r="P4" s="1444"/>
      <c r="R4" s="658"/>
    </row>
    <row r="5" spans="1:31" ht="24.95" customHeight="1" thickBot="1" x14ac:dyDescent="0.35">
      <c r="A5" s="655"/>
      <c r="M5" s="655"/>
      <c r="U5" s="612"/>
      <c r="W5" s="612"/>
    </row>
    <row r="6" spans="1:31" ht="24.95" customHeight="1" thickBot="1" x14ac:dyDescent="0.25">
      <c r="A6" s="1445" t="s">
        <v>89</v>
      </c>
      <c r="B6" s="1445" t="s">
        <v>425</v>
      </c>
      <c r="C6" s="1447" t="str">
        <f>B6</f>
        <v>PRODUCT</v>
      </c>
      <c r="D6" s="659">
        <f>'LAP. PENJUALAN REGULER'!D6</f>
        <v>1</v>
      </c>
      <c r="E6" s="659">
        <f>'LAP. PENJUALAN REGULER'!E6</f>
        <v>2</v>
      </c>
      <c r="F6" s="659">
        <f>'LAP. PENJUALAN REGULER'!F6</f>
        <v>3</v>
      </c>
      <c r="G6" s="659">
        <f>'LAP. PENJUALAN REGULER'!G6</f>
        <v>4</v>
      </c>
      <c r="H6" s="659">
        <f>'LAP. PENJUALAN REGULER'!H6</f>
        <v>5</v>
      </c>
      <c r="I6" s="659">
        <f>'LAP. PENJUALAN REGULER'!I6</f>
        <v>6</v>
      </c>
      <c r="J6" s="659">
        <f>'LAP. PENJUALAN REGULER'!J6</f>
        <v>7</v>
      </c>
      <c r="K6" s="659">
        <f>'LAP. PENJUALAN REGULER'!K6</f>
        <v>0</v>
      </c>
      <c r="L6" s="659">
        <f>'LAP. PENJUALAN REGULER'!L6</f>
        <v>0</v>
      </c>
      <c r="M6" s="659">
        <f>'LAP. PENJUALAN REGULER'!M6</f>
        <v>0</v>
      </c>
      <c r="N6" s="1449" t="s">
        <v>10</v>
      </c>
      <c r="O6" s="1450"/>
      <c r="P6" s="1451" t="s">
        <v>426</v>
      </c>
      <c r="Q6" s="1453" t="s">
        <v>427</v>
      </c>
      <c r="R6" s="1455" t="s">
        <v>428</v>
      </c>
      <c r="S6" s="660" t="s">
        <v>429</v>
      </c>
    </row>
    <row r="7" spans="1:31" ht="24.95" customHeight="1" thickBot="1" x14ac:dyDescent="0.25">
      <c r="A7" s="1446"/>
      <c r="B7" s="1446"/>
      <c r="C7" s="1448"/>
      <c r="D7" s="661" t="str">
        <f>'LAP. PENJUALAN REGULER'!D7</f>
        <v>Rabu</v>
      </c>
      <c r="E7" s="661" t="str">
        <f>'LAP. PENJUALAN REGULER'!E7</f>
        <v>Kamis</v>
      </c>
      <c r="F7" s="661" t="str">
        <f>'LAP. PENJUALAN REGULER'!F7</f>
        <v>Jum`at</v>
      </c>
      <c r="G7" s="661" t="str">
        <f>'LAP. PENJUALAN REGULER'!G7</f>
        <v>Sabtu</v>
      </c>
      <c r="H7" s="661" t="str">
        <f>'LAP. PENJUALAN REGULER'!H7</f>
        <v>Minggu</v>
      </c>
      <c r="I7" s="661" t="str">
        <f>'LAP. PENJUALAN REGULER'!I7</f>
        <v>Senin</v>
      </c>
      <c r="J7" s="661" t="str">
        <f>'LAP. PENJUALAN REGULER'!J7</f>
        <v>Sabtu</v>
      </c>
      <c r="K7" s="661">
        <f>'LAP. PENJUALAN REGULER'!K7</f>
        <v>0</v>
      </c>
      <c r="L7" s="661">
        <f>'LAP. PENJUALAN REGULER'!L7</f>
        <v>0</v>
      </c>
      <c r="M7" s="661">
        <f>'LAP. PENJUALAN REGULER'!M7</f>
        <v>0</v>
      </c>
      <c r="N7" s="531" t="s">
        <v>32</v>
      </c>
      <c r="O7" s="663" t="s">
        <v>109</v>
      </c>
      <c r="P7" s="1452"/>
      <c r="Q7" s="1454"/>
      <c r="R7" s="1456"/>
      <c r="S7" s="664" t="s">
        <v>430</v>
      </c>
      <c r="T7" s="665"/>
      <c r="U7" s="666"/>
    </row>
    <row r="8" spans="1:31" ht="24.95" customHeight="1" x14ac:dyDescent="0.2">
      <c r="A8" s="667">
        <v>1</v>
      </c>
      <c r="B8" s="668" t="s">
        <v>431</v>
      </c>
      <c r="C8" s="669" t="str">
        <f>B8</f>
        <v>Dada</v>
      </c>
      <c r="D8" s="1106"/>
      <c r="E8" s="1107"/>
      <c r="F8" s="1106"/>
      <c r="G8" s="1107"/>
      <c r="H8" s="1106"/>
      <c r="I8" s="1107"/>
      <c r="J8" s="1106"/>
      <c r="K8" s="1107"/>
      <c r="L8" s="1106"/>
      <c r="M8" s="1108"/>
      <c r="N8" s="1109">
        <f>SUM(D8:M8)</f>
        <v>0</v>
      </c>
      <c r="O8" s="1110">
        <f>N8*S8</f>
        <v>0</v>
      </c>
      <c r="P8" s="707" t="e">
        <f>(O8/O112)*100</f>
        <v>#DIV/0!</v>
      </c>
      <c r="Q8" s="1111"/>
      <c r="R8" s="1112" t="e">
        <f>P8*Q8</f>
        <v>#DIV/0!</v>
      </c>
      <c r="S8" s="678">
        <v>19575</v>
      </c>
      <c r="U8" s="679">
        <f>D8*S8</f>
        <v>0</v>
      </c>
      <c r="V8" s="679">
        <f>E8*S8</f>
        <v>0</v>
      </c>
      <c r="W8" s="679">
        <f>F8*S8</f>
        <v>0</v>
      </c>
      <c r="X8" s="679">
        <f>G8*S8</f>
        <v>0</v>
      </c>
      <c r="Y8" s="679">
        <f>H8*S8</f>
        <v>0</v>
      </c>
      <c r="Z8" s="679">
        <f>I8*S8</f>
        <v>0</v>
      </c>
      <c r="AA8" s="679">
        <f>J8*S8</f>
        <v>0</v>
      </c>
      <c r="AB8" s="679">
        <f>K8*S8</f>
        <v>0</v>
      </c>
      <c r="AC8" s="679">
        <f>L8*S8</f>
        <v>0</v>
      </c>
      <c r="AD8" s="679">
        <f>M8*S8</f>
        <v>0</v>
      </c>
      <c r="AE8" s="610"/>
    </row>
    <row r="9" spans="1:31" ht="24.95" customHeight="1" x14ac:dyDescent="0.2">
      <c r="A9" s="667">
        <v>2</v>
      </c>
      <c r="B9" s="680" t="s">
        <v>432</v>
      </c>
      <c r="C9" s="681" t="str">
        <f>B9</f>
        <v>Paha Atas</v>
      </c>
      <c r="D9" s="682"/>
      <c r="E9" s="683"/>
      <c r="F9" s="682"/>
      <c r="G9" s="683"/>
      <c r="H9" s="682"/>
      <c r="I9" s="683"/>
      <c r="J9" s="682"/>
      <c r="K9" s="683"/>
      <c r="L9" s="682"/>
      <c r="M9" s="684"/>
      <c r="N9" s="673">
        <f t="shared" ref="N9:N78" si="0">SUM(D9:M9)</f>
        <v>0</v>
      </c>
      <c r="O9" s="674">
        <f t="shared" ref="O9:O78" si="1">N9*S9</f>
        <v>0</v>
      </c>
      <c r="P9" s="675" t="e">
        <f>(O9/O112)*100</f>
        <v>#DIV/0!</v>
      </c>
      <c r="Q9" s="676"/>
      <c r="R9" s="677" t="e">
        <f t="shared" ref="R9:R78" si="2">P9*Q9</f>
        <v>#DIV/0!</v>
      </c>
      <c r="S9" s="685">
        <v>19575</v>
      </c>
      <c r="U9" s="679">
        <f t="shared" ref="U9:U75" si="3">D9*S9</f>
        <v>0</v>
      </c>
      <c r="V9" s="679">
        <f t="shared" ref="V9:V75" si="4">E9*S9</f>
        <v>0</v>
      </c>
      <c r="W9" s="679">
        <f t="shared" ref="W9:W75" si="5">F9*S9</f>
        <v>0</v>
      </c>
      <c r="X9" s="679">
        <f t="shared" ref="X9:X75" si="6">G9*S9</f>
        <v>0</v>
      </c>
      <c r="Y9" s="679">
        <f t="shared" ref="Y9:Y75" si="7">H9*S9</f>
        <v>0</v>
      </c>
      <c r="Z9" s="679">
        <f t="shared" ref="Z9:Z75" si="8">I9*S9</f>
        <v>0</v>
      </c>
      <c r="AA9" s="679">
        <f t="shared" ref="AA9:AA75" si="9">J9*S9</f>
        <v>0</v>
      </c>
      <c r="AB9" s="679">
        <f t="shared" ref="AB9:AB75" si="10">K9*S9</f>
        <v>0</v>
      </c>
      <c r="AC9" s="679">
        <f t="shared" ref="AC9:AC75" si="11">L9*S9</f>
        <v>0</v>
      </c>
      <c r="AD9" s="679">
        <f t="shared" ref="AD9:AD75" si="12">M9*S9</f>
        <v>0</v>
      </c>
      <c r="AE9" s="610"/>
    </row>
    <row r="10" spans="1:31" ht="24.95" customHeight="1" x14ac:dyDescent="0.2">
      <c r="A10" s="667">
        <v>3</v>
      </c>
      <c r="B10" s="680" t="s">
        <v>433</v>
      </c>
      <c r="C10" s="681" t="str">
        <f t="shared" ref="C10:C20" si="13">B10</f>
        <v>Paha Bawah</v>
      </c>
      <c r="D10" s="682"/>
      <c r="E10" s="683"/>
      <c r="F10" s="682"/>
      <c r="G10" s="683"/>
      <c r="H10" s="682"/>
      <c r="I10" s="683"/>
      <c r="J10" s="682"/>
      <c r="K10" s="683"/>
      <c r="L10" s="682"/>
      <c r="M10" s="684"/>
      <c r="N10" s="673">
        <f t="shared" si="0"/>
        <v>0</v>
      </c>
      <c r="O10" s="674">
        <f t="shared" si="1"/>
        <v>0</v>
      </c>
      <c r="P10" s="686" t="e">
        <f>(O10/O112)*100</f>
        <v>#DIV/0!</v>
      </c>
      <c r="Q10" s="676"/>
      <c r="R10" s="677" t="e">
        <f t="shared" si="2"/>
        <v>#DIV/0!</v>
      </c>
      <c r="S10" s="685">
        <v>17550</v>
      </c>
      <c r="U10" s="679">
        <f t="shared" si="3"/>
        <v>0</v>
      </c>
      <c r="V10" s="679">
        <f t="shared" si="4"/>
        <v>0</v>
      </c>
      <c r="W10" s="679">
        <f t="shared" si="5"/>
        <v>0</v>
      </c>
      <c r="X10" s="679">
        <f t="shared" si="6"/>
        <v>0</v>
      </c>
      <c r="Y10" s="679">
        <f t="shared" si="7"/>
        <v>0</v>
      </c>
      <c r="Z10" s="679">
        <f t="shared" si="8"/>
        <v>0</v>
      </c>
      <c r="AA10" s="679">
        <f t="shared" si="9"/>
        <v>0</v>
      </c>
      <c r="AB10" s="679">
        <f t="shared" si="10"/>
        <v>0</v>
      </c>
      <c r="AC10" s="679">
        <f t="shared" si="11"/>
        <v>0</v>
      </c>
      <c r="AD10" s="679">
        <f t="shared" si="12"/>
        <v>0</v>
      </c>
      <c r="AE10" s="610"/>
    </row>
    <row r="11" spans="1:31" ht="24.95" customHeight="1" x14ac:dyDescent="0.2">
      <c r="A11" s="667">
        <v>4</v>
      </c>
      <c r="B11" s="680" t="s">
        <v>434</v>
      </c>
      <c r="C11" s="681" t="str">
        <f t="shared" si="13"/>
        <v>Sayap</v>
      </c>
      <c r="D11" s="682"/>
      <c r="E11" s="683"/>
      <c r="F11" s="687"/>
      <c r="G11" s="683"/>
      <c r="H11" s="682"/>
      <c r="I11" s="683"/>
      <c r="J11" s="682"/>
      <c r="K11" s="683"/>
      <c r="L11" s="682"/>
      <c r="M11" s="684"/>
      <c r="N11" s="673">
        <f t="shared" si="0"/>
        <v>0</v>
      </c>
      <c r="O11" s="674">
        <f t="shared" si="1"/>
        <v>0</v>
      </c>
      <c r="P11" s="686" t="e">
        <f>(O11/O112)*100</f>
        <v>#DIV/0!</v>
      </c>
      <c r="Q11" s="676"/>
      <c r="R11" s="677" t="e">
        <f t="shared" si="2"/>
        <v>#DIV/0!</v>
      </c>
      <c r="S11" s="685">
        <v>16200</v>
      </c>
      <c r="U11" s="679">
        <f t="shared" si="3"/>
        <v>0</v>
      </c>
      <c r="V11" s="679">
        <f t="shared" si="4"/>
        <v>0</v>
      </c>
      <c r="W11" s="679">
        <f t="shared" si="5"/>
        <v>0</v>
      </c>
      <c r="X11" s="679">
        <f t="shared" si="6"/>
        <v>0</v>
      </c>
      <c r="Y11" s="679">
        <f t="shared" si="7"/>
        <v>0</v>
      </c>
      <c r="Z11" s="679">
        <f t="shared" si="8"/>
        <v>0</v>
      </c>
      <c r="AA11" s="679">
        <f t="shared" si="9"/>
        <v>0</v>
      </c>
      <c r="AB11" s="679">
        <f t="shared" si="10"/>
        <v>0</v>
      </c>
      <c r="AC11" s="679">
        <f t="shared" si="11"/>
        <v>0</v>
      </c>
      <c r="AD11" s="679">
        <f t="shared" si="12"/>
        <v>0</v>
      </c>
      <c r="AE11" s="610"/>
    </row>
    <row r="12" spans="1:31" ht="24.95" customHeight="1" x14ac:dyDescent="0.2">
      <c r="A12" s="667">
        <v>5</v>
      </c>
      <c r="B12" s="680" t="s">
        <v>435</v>
      </c>
      <c r="C12" s="681" t="str">
        <f t="shared" si="13"/>
        <v>Chicken Strips</v>
      </c>
      <c r="D12" s="682"/>
      <c r="E12" s="683"/>
      <c r="F12" s="682"/>
      <c r="G12" s="683"/>
      <c r="H12" s="682"/>
      <c r="I12" s="683"/>
      <c r="J12" s="682"/>
      <c r="K12" s="683"/>
      <c r="L12" s="682"/>
      <c r="M12" s="684"/>
      <c r="N12" s="673">
        <f t="shared" si="0"/>
        <v>0</v>
      </c>
      <c r="O12" s="674">
        <f t="shared" si="1"/>
        <v>0</v>
      </c>
      <c r="P12" s="686" t="e">
        <f>(O12/O112)*100</f>
        <v>#DIV/0!</v>
      </c>
      <c r="Q12" s="676"/>
      <c r="R12" s="677" t="e">
        <f t="shared" si="2"/>
        <v>#DIV/0!</v>
      </c>
      <c r="S12" s="685">
        <v>16200</v>
      </c>
      <c r="U12" s="679">
        <f t="shared" si="3"/>
        <v>0</v>
      </c>
      <c r="V12" s="679">
        <f t="shared" si="4"/>
        <v>0</v>
      </c>
      <c r="W12" s="679">
        <f t="shared" si="5"/>
        <v>0</v>
      </c>
      <c r="X12" s="679">
        <f t="shared" si="6"/>
        <v>0</v>
      </c>
      <c r="Y12" s="679">
        <f t="shared" si="7"/>
        <v>0</v>
      </c>
      <c r="Z12" s="679">
        <f t="shared" si="8"/>
        <v>0</v>
      </c>
      <c r="AA12" s="679">
        <f t="shared" si="9"/>
        <v>0</v>
      </c>
      <c r="AB12" s="679">
        <f t="shared" si="10"/>
        <v>0</v>
      </c>
      <c r="AC12" s="679">
        <f t="shared" si="11"/>
        <v>0</v>
      </c>
      <c r="AD12" s="679">
        <f t="shared" si="12"/>
        <v>0</v>
      </c>
      <c r="AE12" s="610"/>
    </row>
    <row r="13" spans="1:31" ht="24.95" customHeight="1" x14ac:dyDescent="0.2">
      <c r="A13" s="667">
        <v>6</v>
      </c>
      <c r="B13" s="680" t="s">
        <v>436</v>
      </c>
      <c r="C13" s="681" t="str">
        <f t="shared" si="13"/>
        <v>Chicken Steak</v>
      </c>
      <c r="D13" s="682"/>
      <c r="E13" s="683"/>
      <c r="F13" s="670"/>
      <c r="G13" s="683"/>
      <c r="H13" s="682"/>
      <c r="I13" s="683"/>
      <c r="J13" s="682"/>
      <c r="K13" s="683"/>
      <c r="L13" s="682"/>
      <c r="M13" s="684"/>
      <c r="N13" s="673">
        <f t="shared" si="0"/>
        <v>0</v>
      </c>
      <c r="O13" s="674">
        <f t="shared" si="1"/>
        <v>0</v>
      </c>
      <c r="P13" s="686" t="e">
        <f>(O13/O112)*100</f>
        <v>#DIV/0!</v>
      </c>
      <c r="Q13" s="676"/>
      <c r="R13" s="677" t="e">
        <f t="shared" si="2"/>
        <v>#DIV/0!</v>
      </c>
      <c r="S13" s="688">
        <v>17550</v>
      </c>
      <c r="U13" s="679">
        <f t="shared" si="3"/>
        <v>0</v>
      </c>
      <c r="V13" s="679">
        <f t="shared" si="4"/>
        <v>0</v>
      </c>
      <c r="W13" s="679">
        <f t="shared" si="5"/>
        <v>0</v>
      </c>
      <c r="X13" s="679">
        <f t="shared" si="6"/>
        <v>0</v>
      </c>
      <c r="Y13" s="679">
        <f t="shared" si="7"/>
        <v>0</v>
      </c>
      <c r="Z13" s="679">
        <f t="shared" si="8"/>
        <v>0</v>
      </c>
      <c r="AA13" s="679">
        <f t="shared" si="9"/>
        <v>0</v>
      </c>
      <c r="AB13" s="679">
        <f t="shared" si="10"/>
        <v>0</v>
      </c>
      <c r="AC13" s="679">
        <f t="shared" si="11"/>
        <v>0</v>
      </c>
      <c r="AD13" s="679">
        <f t="shared" si="12"/>
        <v>0</v>
      </c>
      <c r="AE13" s="610"/>
    </row>
    <row r="14" spans="1:31" ht="24.95" customHeight="1" x14ac:dyDescent="0.2">
      <c r="A14" s="667">
        <v>7</v>
      </c>
      <c r="B14" s="680"/>
      <c r="C14" s="680" t="s">
        <v>437</v>
      </c>
      <c r="D14" s="682"/>
      <c r="E14" s="683"/>
      <c r="F14" s="670"/>
      <c r="G14" s="683"/>
      <c r="H14" s="682"/>
      <c r="I14" s="683"/>
      <c r="J14" s="682"/>
      <c r="K14" s="683"/>
      <c r="L14" s="682"/>
      <c r="M14" s="684"/>
      <c r="N14" s="673">
        <f t="shared" si="0"/>
        <v>0</v>
      </c>
      <c r="O14" s="674">
        <f t="shared" si="1"/>
        <v>0</v>
      </c>
      <c r="P14" s="686" t="e">
        <f>(O14/O112)*100</f>
        <v>#DIV/0!</v>
      </c>
      <c r="Q14" s="676"/>
      <c r="R14" s="677" t="e">
        <f t="shared" si="2"/>
        <v>#DIV/0!</v>
      </c>
      <c r="S14" s="689">
        <v>19575</v>
      </c>
      <c r="U14" s="679">
        <f t="shared" si="3"/>
        <v>0</v>
      </c>
      <c r="V14" s="679">
        <f t="shared" si="4"/>
        <v>0</v>
      </c>
      <c r="W14" s="679">
        <f t="shared" si="5"/>
        <v>0</v>
      </c>
      <c r="X14" s="679">
        <f t="shared" si="6"/>
        <v>0</v>
      </c>
      <c r="Y14" s="679">
        <f t="shared" si="7"/>
        <v>0</v>
      </c>
      <c r="Z14" s="679">
        <f t="shared" si="8"/>
        <v>0</v>
      </c>
      <c r="AA14" s="679">
        <f t="shared" si="9"/>
        <v>0</v>
      </c>
      <c r="AB14" s="679">
        <f t="shared" si="10"/>
        <v>0</v>
      </c>
      <c r="AC14" s="679">
        <f t="shared" si="11"/>
        <v>0</v>
      </c>
      <c r="AD14" s="679">
        <f t="shared" si="12"/>
        <v>0</v>
      </c>
      <c r="AE14" s="610"/>
    </row>
    <row r="15" spans="1:31" ht="24.95" customHeight="1" x14ac:dyDescent="0.2">
      <c r="A15" s="667">
        <v>8</v>
      </c>
      <c r="B15" s="680" t="s">
        <v>438</v>
      </c>
      <c r="C15" s="681" t="str">
        <f t="shared" si="13"/>
        <v>French Fries</v>
      </c>
      <c r="D15" s="682"/>
      <c r="E15" s="683"/>
      <c r="F15" s="682"/>
      <c r="G15" s="683"/>
      <c r="H15" s="682"/>
      <c r="I15" s="683"/>
      <c r="J15" s="682"/>
      <c r="K15" s="683"/>
      <c r="L15" s="682"/>
      <c r="M15" s="684"/>
      <c r="N15" s="673">
        <f t="shared" si="0"/>
        <v>0</v>
      </c>
      <c r="O15" s="674">
        <f t="shared" si="1"/>
        <v>0</v>
      </c>
      <c r="P15" s="686" t="e">
        <f>(O15/O112)*100</f>
        <v>#DIV/0!</v>
      </c>
      <c r="Q15" s="676"/>
      <c r="R15" s="677" t="e">
        <f t="shared" si="2"/>
        <v>#DIV/0!</v>
      </c>
      <c r="S15" s="689">
        <v>14850.000000000002</v>
      </c>
      <c r="U15" s="679">
        <f t="shared" si="3"/>
        <v>0</v>
      </c>
      <c r="V15" s="679">
        <f t="shared" si="4"/>
        <v>0</v>
      </c>
      <c r="W15" s="679">
        <f t="shared" si="5"/>
        <v>0</v>
      </c>
      <c r="X15" s="679">
        <f t="shared" si="6"/>
        <v>0</v>
      </c>
      <c r="Y15" s="679">
        <f t="shared" si="7"/>
        <v>0</v>
      </c>
      <c r="Z15" s="679">
        <f t="shared" si="8"/>
        <v>0</v>
      </c>
      <c r="AA15" s="679">
        <f t="shared" si="9"/>
        <v>0</v>
      </c>
      <c r="AB15" s="679">
        <f t="shared" si="10"/>
        <v>0</v>
      </c>
      <c r="AC15" s="679">
        <f t="shared" si="11"/>
        <v>0</v>
      </c>
      <c r="AD15" s="679">
        <f t="shared" si="12"/>
        <v>0</v>
      </c>
      <c r="AE15" s="610"/>
    </row>
    <row r="16" spans="1:31" ht="24.95" customHeight="1" x14ac:dyDescent="0.2">
      <c r="A16" s="667">
        <v>9</v>
      </c>
      <c r="B16" s="680" t="s">
        <v>439</v>
      </c>
      <c r="C16" s="681" t="str">
        <f t="shared" si="13"/>
        <v xml:space="preserve">Nasi </v>
      </c>
      <c r="D16" s="682"/>
      <c r="E16" s="683"/>
      <c r="F16" s="682"/>
      <c r="G16" s="683"/>
      <c r="H16" s="682"/>
      <c r="I16" s="683"/>
      <c r="J16" s="682"/>
      <c r="K16" s="683"/>
      <c r="L16" s="682"/>
      <c r="M16" s="684"/>
      <c r="N16" s="673">
        <f t="shared" si="0"/>
        <v>0</v>
      </c>
      <c r="O16" s="674">
        <f t="shared" si="1"/>
        <v>0</v>
      </c>
      <c r="P16" s="686" t="e">
        <f>(O16/O112)*100</f>
        <v>#DIV/0!</v>
      </c>
      <c r="Q16" s="676"/>
      <c r="R16" s="677" t="e">
        <f t="shared" si="2"/>
        <v>#DIV/0!</v>
      </c>
      <c r="S16" s="689">
        <v>6750</v>
      </c>
      <c r="U16" s="679">
        <f t="shared" si="3"/>
        <v>0</v>
      </c>
      <c r="V16" s="679">
        <f t="shared" si="4"/>
        <v>0</v>
      </c>
      <c r="W16" s="679">
        <f t="shared" si="5"/>
        <v>0</v>
      </c>
      <c r="X16" s="679">
        <f t="shared" si="6"/>
        <v>0</v>
      </c>
      <c r="Y16" s="679">
        <f t="shared" si="7"/>
        <v>0</v>
      </c>
      <c r="Z16" s="679">
        <f t="shared" si="8"/>
        <v>0</v>
      </c>
      <c r="AA16" s="679">
        <f t="shared" si="9"/>
        <v>0</v>
      </c>
      <c r="AB16" s="679">
        <f t="shared" si="10"/>
        <v>0</v>
      </c>
      <c r="AC16" s="679">
        <f t="shared" si="11"/>
        <v>0</v>
      </c>
      <c r="AD16" s="679">
        <f t="shared" si="12"/>
        <v>0</v>
      </c>
      <c r="AE16" s="610"/>
    </row>
    <row r="17" spans="1:31" ht="24.95" customHeight="1" x14ac:dyDescent="0.2">
      <c r="A17" s="667">
        <v>10</v>
      </c>
      <c r="B17" s="680" t="s">
        <v>440</v>
      </c>
      <c r="C17" s="681" t="str">
        <f t="shared" si="13"/>
        <v xml:space="preserve">Perkedel </v>
      </c>
      <c r="D17" s="682"/>
      <c r="E17" s="683"/>
      <c r="F17" s="682"/>
      <c r="G17" s="683"/>
      <c r="H17" s="682"/>
      <c r="I17" s="683"/>
      <c r="J17" s="682"/>
      <c r="K17" s="683"/>
      <c r="L17" s="682"/>
      <c r="M17" s="684"/>
      <c r="N17" s="673">
        <f t="shared" si="0"/>
        <v>0</v>
      </c>
      <c r="O17" s="674">
        <f t="shared" si="1"/>
        <v>0</v>
      </c>
      <c r="P17" s="686" t="e">
        <f>(O17/O112)*100</f>
        <v>#DIV/0!</v>
      </c>
      <c r="Q17" s="676"/>
      <c r="R17" s="677" t="e">
        <f t="shared" si="2"/>
        <v>#DIV/0!</v>
      </c>
      <c r="S17" s="689">
        <v>6750</v>
      </c>
      <c r="U17" s="679">
        <f t="shared" si="3"/>
        <v>0</v>
      </c>
      <c r="V17" s="679">
        <f t="shared" si="4"/>
        <v>0</v>
      </c>
      <c r="W17" s="679">
        <f t="shared" si="5"/>
        <v>0</v>
      </c>
      <c r="X17" s="679">
        <f t="shared" si="6"/>
        <v>0</v>
      </c>
      <c r="Y17" s="679">
        <f t="shared" si="7"/>
        <v>0</v>
      </c>
      <c r="Z17" s="679">
        <f t="shared" si="8"/>
        <v>0</v>
      </c>
      <c r="AA17" s="679">
        <f t="shared" si="9"/>
        <v>0</v>
      </c>
      <c r="AB17" s="679">
        <f t="shared" si="10"/>
        <v>0</v>
      </c>
      <c r="AC17" s="679">
        <f t="shared" si="11"/>
        <v>0</v>
      </c>
      <c r="AD17" s="679">
        <f t="shared" si="12"/>
        <v>0</v>
      </c>
      <c r="AE17" s="610"/>
    </row>
    <row r="18" spans="1:31" ht="24.95" customHeight="1" x14ac:dyDescent="0.2">
      <c r="A18" s="667">
        <v>11</v>
      </c>
      <c r="B18" s="680" t="s">
        <v>441</v>
      </c>
      <c r="C18" s="681" t="str">
        <f t="shared" si="13"/>
        <v>Chicken Burger</v>
      </c>
      <c r="D18" s="682"/>
      <c r="E18" s="683"/>
      <c r="F18" s="682"/>
      <c r="G18" s="683"/>
      <c r="H18" s="682"/>
      <c r="I18" s="683"/>
      <c r="J18" s="682"/>
      <c r="K18" s="683"/>
      <c r="L18" s="682"/>
      <c r="M18" s="684"/>
      <c r="N18" s="673">
        <f t="shared" si="0"/>
        <v>0</v>
      </c>
      <c r="O18" s="674">
        <f t="shared" si="1"/>
        <v>0</v>
      </c>
      <c r="P18" s="686" t="e">
        <f>(O18/O112)*100</f>
        <v>#DIV/0!</v>
      </c>
      <c r="Q18" s="676"/>
      <c r="R18" s="677" t="e">
        <f t="shared" si="2"/>
        <v>#DIV/0!</v>
      </c>
      <c r="S18" s="689">
        <v>20250</v>
      </c>
      <c r="U18" s="679">
        <f t="shared" si="3"/>
        <v>0</v>
      </c>
      <c r="V18" s="679">
        <f t="shared" si="4"/>
        <v>0</v>
      </c>
      <c r="W18" s="679">
        <f t="shared" si="5"/>
        <v>0</v>
      </c>
      <c r="X18" s="679">
        <f t="shared" si="6"/>
        <v>0</v>
      </c>
      <c r="Y18" s="679">
        <f t="shared" si="7"/>
        <v>0</v>
      </c>
      <c r="Z18" s="679">
        <f t="shared" si="8"/>
        <v>0</v>
      </c>
      <c r="AA18" s="679">
        <f t="shared" si="9"/>
        <v>0</v>
      </c>
      <c r="AB18" s="679">
        <f t="shared" si="10"/>
        <v>0</v>
      </c>
      <c r="AC18" s="679">
        <f t="shared" si="11"/>
        <v>0</v>
      </c>
      <c r="AD18" s="679">
        <f t="shared" si="12"/>
        <v>0</v>
      </c>
      <c r="AE18" s="610"/>
    </row>
    <row r="19" spans="1:31" ht="24.95" customHeight="1" x14ac:dyDescent="0.2">
      <c r="A19" s="667">
        <v>12</v>
      </c>
      <c r="B19" s="680" t="s">
        <v>442</v>
      </c>
      <c r="C19" s="681" t="str">
        <f t="shared" si="13"/>
        <v xml:space="preserve">Cheese Burger </v>
      </c>
      <c r="D19" s="682"/>
      <c r="E19" s="683"/>
      <c r="F19" s="682"/>
      <c r="G19" s="683"/>
      <c r="H19" s="682"/>
      <c r="I19" s="683"/>
      <c r="J19" s="682"/>
      <c r="K19" s="683"/>
      <c r="L19" s="682"/>
      <c r="M19" s="684"/>
      <c r="N19" s="673">
        <f t="shared" si="0"/>
        <v>0</v>
      </c>
      <c r="O19" s="674">
        <f t="shared" si="1"/>
        <v>0</v>
      </c>
      <c r="P19" s="686" t="e">
        <f>(O19/O112)*100</f>
        <v>#DIV/0!</v>
      </c>
      <c r="Q19" s="676"/>
      <c r="R19" s="677" t="e">
        <f t="shared" si="2"/>
        <v>#DIV/0!</v>
      </c>
      <c r="S19" s="689">
        <v>22950</v>
      </c>
      <c r="U19" s="679">
        <f t="shared" si="3"/>
        <v>0</v>
      </c>
      <c r="V19" s="679">
        <f t="shared" si="4"/>
        <v>0</v>
      </c>
      <c r="W19" s="679">
        <f t="shared" si="5"/>
        <v>0</v>
      </c>
      <c r="X19" s="679">
        <f t="shared" si="6"/>
        <v>0</v>
      </c>
      <c r="Y19" s="679">
        <f t="shared" si="7"/>
        <v>0</v>
      </c>
      <c r="Z19" s="679">
        <f t="shared" si="8"/>
        <v>0</v>
      </c>
      <c r="AA19" s="679">
        <f t="shared" si="9"/>
        <v>0</v>
      </c>
      <c r="AB19" s="679">
        <f t="shared" si="10"/>
        <v>0</v>
      </c>
      <c r="AC19" s="679">
        <f t="shared" si="11"/>
        <v>0</v>
      </c>
      <c r="AD19" s="679">
        <f t="shared" si="12"/>
        <v>0</v>
      </c>
      <c r="AE19" s="610"/>
    </row>
    <row r="20" spans="1:31" ht="24.95" customHeight="1" x14ac:dyDescent="0.2">
      <c r="A20" s="667">
        <v>13</v>
      </c>
      <c r="B20" s="680" t="s">
        <v>443</v>
      </c>
      <c r="C20" s="681" t="str">
        <f t="shared" si="13"/>
        <v xml:space="preserve">Nasi Goreng </v>
      </c>
      <c r="D20" s="682"/>
      <c r="E20" s="683"/>
      <c r="F20" s="682"/>
      <c r="G20" s="683"/>
      <c r="H20" s="682"/>
      <c r="I20" s="683"/>
      <c r="J20" s="682"/>
      <c r="K20" s="683"/>
      <c r="L20" s="682"/>
      <c r="M20" s="684"/>
      <c r="N20" s="673">
        <f t="shared" si="0"/>
        <v>0</v>
      </c>
      <c r="O20" s="674">
        <f t="shared" si="1"/>
        <v>0</v>
      </c>
      <c r="P20" s="686" t="e">
        <f>(O20/O112)*100</f>
        <v>#DIV/0!</v>
      </c>
      <c r="Q20" s="676"/>
      <c r="R20" s="677" t="e">
        <f t="shared" si="2"/>
        <v>#DIV/0!</v>
      </c>
      <c r="S20" s="689">
        <v>21600</v>
      </c>
      <c r="U20" s="679">
        <f t="shared" si="3"/>
        <v>0</v>
      </c>
      <c r="V20" s="679">
        <f t="shared" si="4"/>
        <v>0</v>
      </c>
      <c r="W20" s="679">
        <f t="shared" si="5"/>
        <v>0</v>
      </c>
      <c r="X20" s="679">
        <f t="shared" si="6"/>
        <v>0</v>
      </c>
      <c r="Y20" s="679">
        <f t="shared" si="7"/>
        <v>0</v>
      </c>
      <c r="Z20" s="679">
        <f t="shared" si="8"/>
        <v>0</v>
      </c>
      <c r="AA20" s="679">
        <f t="shared" si="9"/>
        <v>0</v>
      </c>
      <c r="AB20" s="679">
        <f t="shared" si="10"/>
        <v>0</v>
      </c>
      <c r="AC20" s="679">
        <f t="shared" si="11"/>
        <v>0</v>
      </c>
      <c r="AD20" s="679">
        <f t="shared" si="12"/>
        <v>0</v>
      </c>
      <c r="AE20" s="610"/>
    </row>
    <row r="21" spans="1:31" ht="24.95" customHeight="1" x14ac:dyDescent="0.2">
      <c r="A21" s="667">
        <v>14</v>
      </c>
      <c r="B21" s="680" t="s">
        <v>444</v>
      </c>
      <c r="C21" s="681" t="s">
        <v>445</v>
      </c>
      <c r="D21" s="682"/>
      <c r="E21" s="683"/>
      <c r="F21" s="682"/>
      <c r="G21" s="683"/>
      <c r="H21" s="682"/>
      <c r="I21" s="683"/>
      <c r="J21" s="682"/>
      <c r="K21" s="683"/>
      <c r="L21" s="682"/>
      <c r="M21" s="684"/>
      <c r="N21" s="673">
        <f t="shared" si="0"/>
        <v>0</v>
      </c>
      <c r="O21" s="674">
        <f t="shared" si="1"/>
        <v>0</v>
      </c>
      <c r="P21" s="686" t="e">
        <f>(O21/O112)*100</f>
        <v>#DIV/0!</v>
      </c>
      <c r="Q21" s="676"/>
      <c r="R21" s="677" t="e">
        <f t="shared" si="2"/>
        <v>#DIV/0!</v>
      </c>
      <c r="S21" s="689">
        <v>25650</v>
      </c>
      <c r="U21" s="679">
        <f t="shared" si="3"/>
        <v>0</v>
      </c>
      <c r="V21" s="679">
        <f t="shared" si="4"/>
        <v>0</v>
      </c>
      <c r="W21" s="679">
        <f t="shared" si="5"/>
        <v>0</v>
      </c>
      <c r="X21" s="679">
        <f t="shared" si="6"/>
        <v>0</v>
      </c>
      <c r="Y21" s="679">
        <f t="shared" si="7"/>
        <v>0</v>
      </c>
      <c r="Z21" s="679">
        <f t="shared" si="8"/>
        <v>0</v>
      </c>
      <c r="AA21" s="679">
        <f t="shared" si="9"/>
        <v>0</v>
      </c>
      <c r="AB21" s="679">
        <f t="shared" si="10"/>
        <v>0</v>
      </c>
      <c r="AC21" s="679">
        <f t="shared" si="11"/>
        <v>0</v>
      </c>
      <c r="AD21" s="679">
        <f t="shared" si="12"/>
        <v>0</v>
      </c>
      <c r="AE21" s="610"/>
    </row>
    <row r="22" spans="1:31" ht="24.95" customHeight="1" x14ac:dyDescent="0.2">
      <c r="A22" s="667">
        <v>15</v>
      </c>
      <c r="B22" s="680" t="s">
        <v>446</v>
      </c>
      <c r="C22" s="681" t="s">
        <v>447</v>
      </c>
      <c r="D22" s="682"/>
      <c r="E22" s="683"/>
      <c r="F22" s="682"/>
      <c r="G22" s="683"/>
      <c r="H22" s="682"/>
      <c r="I22" s="683"/>
      <c r="J22" s="682"/>
      <c r="K22" s="683"/>
      <c r="L22" s="682"/>
      <c r="M22" s="684"/>
      <c r="N22" s="673">
        <f t="shared" si="0"/>
        <v>0</v>
      </c>
      <c r="O22" s="674">
        <f t="shared" si="1"/>
        <v>0</v>
      </c>
      <c r="P22" s="686" t="e">
        <f>(O22/O112)*100</f>
        <v>#DIV/0!</v>
      </c>
      <c r="Q22" s="676"/>
      <c r="R22" s="677" t="e">
        <f t="shared" si="2"/>
        <v>#DIV/0!</v>
      </c>
      <c r="S22" s="689">
        <v>21600</v>
      </c>
      <c r="U22" s="679">
        <f t="shared" si="3"/>
        <v>0</v>
      </c>
      <c r="V22" s="679">
        <f t="shared" si="4"/>
        <v>0</v>
      </c>
      <c r="W22" s="679">
        <f t="shared" si="5"/>
        <v>0</v>
      </c>
      <c r="X22" s="679">
        <f t="shared" si="6"/>
        <v>0</v>
      </c>
      <c r="Y22" s="679">
        <f t="shared" si="7"/>
        <v>0</v>
      </c>
      <c r="Z22" s="679">
        <f t="shared" si="8"/>
        <v>0</v>
      </c>
      <c r="AA22" s="679">
        <f t="shared" si="9"/>
        <v>0</v>
      </c>
      <c r="AB22" s="679">
        <f t="shared" si="10"/>
        <v>0</v>
      </c>
      <c r="AC22" s="679">
        <f t="shared" si="11"/>
        <v>0</v>
      </c>
      <c r="AD22" s="679">
        <f t="shared" si="12"/>
        <v>0</v>
      </c>
      <c r="AE22" s="610"/>
    </row>
    <row r="23" spans="1:31" ht="24.95" customHeight="1" x14ac:dyDescent="0.2">
      <c r="A23" s="667">
        <v>16</v>
      </c>
      <c r="B23" s="680"/>
      <c r="C23" s="680" t="s">
        <v>448</v>
      </c>
      <c r="D23" s="682"/>
      <c r="E23" s="683"/>
      <c r="F23" s="682"/>
      <c r="G23" s="683"/>
      <c r="H23" s="682"/>
      <c r="I23" s="683"/>
      <c r="J23" s="682"/>
      <c r="K23" s="683"/>
      <c r="L23" s="682"/>
      <c r="M23" s="684"/>
      <c r="N23" s="673">
        <f t="shared" si="0"/>
        <v>0</v>
      </c>
      <c r="O23" s="674">
        <f t="shared" si="1"/>
        <v>0</v>
      </c>
      <c r="P23" s="686" t="e">
        <f>(O23/O112)*100</f>
        <v>#DIV/0!</v>
      </c>
      <c r="Q23" s="676"/>
      <c r="R23" s="677" t="e">
        <f t="shared" si="2"/>
        <v>#DIV/0!</v>
      </c>
      <c r="S23" s="689">
        <v>33750</v>
      </c>
      <c r="U23" s="679">
        <f t="shared" si="3"/>
        <v>0</v>
      </c>
      <c r="V23" s="679">
        <f t="shared" si="4"/>
        <v>0</v>
      </c>
      <c r="W23" s="679">
        <f t="shared" si="5"/>
        <v>0</v>
      </c>
      <c r="X23" s="679">
        <f t="shared" si="6"/>
        <v>0</v>
      </c>
      <c r="Y23" s="679">
        <f t="shared" si="7"/>
        <v>0</v>
      </c>
      <c r="Z23" s="679">
        <f t="shared" si="8"/>
        <v>0</v>
      </c>
      <c r="AA23" s="679">
        <f t="shared" si="9"/>
        <v>0</v>
      </c>
      <c r="AB23" s="679">
        <f t="shared" si="10"/>
        <v>0</v>
      </c>
      <c r="AC23" s="679">
        <f t="shared" si="11"/>
        <v>0</v>
      </c>
      <c r="AD23" s="679">
        <f t="shared" si="12"/>
        <v>0</v>
      </c>
      <c r="AE23" s="610"/>
    </row>
    <row r="24" spans="1:31" ht="24.95" customHeight="1" x14ac:dyDescent="0.2">
      <c r="A24" s="667">
        <v>17</v>
      </c>
      <c r="B24" s="680"/>
      <c r="C24" s="680" t="s">
        <v>983</v>
      </c>
      <c r="D24" s="682"/>
      <c r="E24" s="683"/>
      <c r="F24" s="682"/>
      <c r="G24" s="683"/>
      <c r="H24" s="682"/>
      <c r="I24" s="683"/>
      <c r="J24" s="682"/>
      <c r="K24" s="683"/>
      <c r="L24" s="682"/>
      <c r="M24" s="684"/>
      <c r="N24" s="673">
        <f>SUM(D24:M24)</f>
        <v>0</v>
      </c>
      <c r="O24" s="674">
        <f t="shared" si="1"/>
        <v>0</v>
      </c>
      <c r="P24" s="686" t="e">
        <f>(O24/O112)*100</f>
        <v>#DIV/0!</v>
      </c>
      <c r="Q24" s="676"/>
      <c r="R24" s="677" t="e">
        <f t="shared" si="2"/>
        <v>#DIV/0!</v>
      </c>
      <c r="S24" s="689">
        <v>20250</v>
      </c>
      <c r="U24" s="679">
        <f t="shared" si="3"/>
        <v>0</v>
      </c>
      <c r="V24" s="679">
        <f t="shared" si="4"/>
        <v>0</v>
      </c>
      <c r="W24" s="679">
        <f t="shared" si="5"/>
        <v>0</v>
      </c>
      <c r="X24" s="679">
        <f t="shared" si="6"/>
        <v>0</v>
      </c>
      <c r="Y24" s="679">
        <f t="shared" si="7"/>
        <v>0</v>
      </c>
      <c r="Z24" s="679">
        <f t="shared" si="8"/>
        <v>0</v>
      </c>
      <c r="AA24" s="679">
        <f t="shared" si="9"/>
        <v>0</v>
      </c>
      <c r="AB24" s="679">
        <f t="shared" si="10"/>
        <v>0</v>
      </c>
      <c r="AC24" s="679">
        <f t="shared" si="11"/>
        <v>0</v>
      </c>
      <c r="AD24" s="679">
        <f t="shared" si="12"/>
        <v>0</v>
      </c>
      <c r="AE24" s="610"/>
    </row>
    <row r="25" spans="1:31" ht="24.95" customHeight="1" x14ac:dyDescent="0.2">
      <c r="A25" s="667">
        <v>18</v>
      </c>
      <c r="B25" s="680"/>
      <c r="C25" s="680"/>
      <c r="D25" s="682"/>
      <c r="E25" s="683"/>
      <c r="F25" s="682"/>
      <c r="G25" s="683"/>
      <c r="H25" s="682"/>
      <c r="I25" s="683"/>
      <c r="J25" s="682"/>
      <c r="K25" s="683"/>
      <c r="L25" s="682"/>
      <c r="M25" s="684"/>
      <c r="N25" s="673">
        <f t="shared" ref="N25:N26" si="14">SUM(D25:M25)</f>
        <v>0</v>
      </c>
      <c r="O25" s="674">
        <f t="shared" si="1"/>
        <v>0</v>
      </c>
      <c r="P25" s="686" t="e">
        <f>(O25/O112)*100</f>
        <v>#DIV/0!</v>
      </c>
      <c r="Q25" s="676"/>
      <c r="R25" s="677" t="e">
        <f t="shared" si="2"/>
        <v>#DIV/0!</v>
      </c>
      <c r="S25" s="689"/>
      <c r="U25" s="679">
        <f t="shared" si="3"/>
        <v>0</v>
      </c>
      <c r="V25" s="679">
        <f t="shared" si="4"/>
        <v>0</v>
      </c>
      <c r="W25" s="679">
        <f t="shared" si="5"/>
        <v>0</v>
      </c>
      <c r="X25" s="679">
        <f t="shared" si="6"/>
        <v>0</v>
      </c>
      <c r="Y25" s="679">
        <f t="shared" si="7"/>
        <v>0</v>
      </c>
      <c r="Z25" s="679">
        <f t="shared" si="8"/>
        <v>0</v>
      </c>
      <c r="AA25" s="679">
        <f t="shared" si="9"/>
        <v>0</v>
      </c>
      <c r="AB25" s="679">
        <f t="shared" si="10"/>
        <v>0</v>
      </c>
      <c r="AC25" s="679">
        <f t="shared" si="11"/>
        <v>0</v>
      </c>
      <c r="AD25" s="679">
        <f t="shared" si="12"/>
        <v>0</v>
      </c>
      <c r="AE25" s="610"/>
    </row>
    <row r="26" spans="1:31" ht="24.95" customHeight="1" x14ac:dyDescent="0.2">
      <c r="A26" s="667">
        <v>19</v>
      </c>
      <c r="B26" s="680" t="s">
        <v>449</v>
      </c>
      <c r="C26" s="681" t="s">
        <v>450</v>
      </c>
      <c r="D26" s="682"/>
      <c r="E26" s="683"/>
      <c r="F26" s="682"/>
      <c r="G26" s="683"/>
      <c r="H26" s="682"/>
      <c r="I26" s="683"/>
      <c r="J26" s="682"/>
      <c r="K26" s="683"/>
      <c r="L26" s="682"/>
      <c r="M26" s="684"/>
      <c r="N26" s="673">
        <f t="shared" si="14"/>
        <v>0</v>
      </c>
      <c r="O26" s="674">
        <f t="shared" si="1"/>
        <v>0</v>
      </c>
      <c r="P26" s="686" t="e">
        <f>(O26/O112)*100</f>
        <v>#DIV/0!</v>
      </c>
      <c r="Q26" s="676"/>
      <c r="R26" s="677" t="e">
        <f t="shared" si="2"/>
        <v>#DIV/0!</v>
      </c>
      <c r="S26" s="688">
        <v>17550</v>
      </c>
      <c r="U26" s="679">
        <f t="shared" si="3"/>
        <v>0</v>
      </c>
      <c r="V26" s="679">
        <f t="shared" si="4"/>
        <v>0</v>
      </c>
      <c r="W26" s="679">
        <f t="shared" si="5"/>
        <v>0</v>
      </c>
      <c r="X26" s="679">
        <f t="shared" si="6"/>
        <v>0</v>
      </c>
      <c r="Y26" s="679">
        <f t="shared" si="7"/>
        <v>0</v>
      </c>
      <c r="Z26" s="679">
        <f t="shared" si="8"/>
        <v>0</v>
      </c>
      <c r="AA26" s="679">
        <f t="shared" si="9"/>
        <v>0</v>
      </c>
      <c r="AB26" s="679">
        <f t="shared" si="10"/>
        <v>0</v>
      </c>
      <c r="AC26" s="679">
        <f t="shared" si="11"/>
        <v>0</v>
      </c>
      <c r="AD26" s="679">
        <f t="shared" si="12"/>
        <v>0</v>
      </c>
      <c r="AE26" s="610"/>
    </row>
    <row r="27" spans="1:31" ht="24.95" customHeight="1" x14ac:dyDescent="0.2">
      <c r="A27" s="667">
        <v>20</v>
      </c>
      <c r="B27" s="680" t="s">
        <v>451</v>
      </c>
      <c r="C27" s="681" t="s">
        <v>452</v>
      </c>
      <c r="D27" s="682"/>
      <c r="E27" s="683"/>
      <c r="F27" s="682"/>
      <c r="G27" s="683"/>
      <c r="H27" s="682"/>
      <c r="I27" s="683"/>
      <c r="J27" s="682"/>
      <c r="K27" s="683"/>
      <c r="L27" s="682"/>
      <c r="M27" s="684"/>
      <c r="N27" s="673">
        <f t="shared" si="0"/>
        <v>0</v>
      </c>
      <c r="O27" s="674">
        <f t="shared" si="1"/>
        <v>0</v>
      </c>
      <c r="P27" s="686" t="e">
        <f>(O27/O112)*100</f>
        <v>#DIV/0!</v>
      </c>
      <c r="Q27" s="676"/>
      <c r="R27" s="677" t="e">
        <f t="shared" si="2"/>
        <v>#DIV/0!</v>
      </c>
      <c r="S27" s="688">
        <v>20250</v>
      </c>
      <c r="U27" s="679">
        <f t="shared" si="3"/>
        <v>0</v>
      </c>
      <c r="V27" s="679">
        <f t="shared" si="4"/>
        <v>0</v>
      </c>
      <c r="W27" s="679">
        <f t="shared" si="5"/>
        <v>0</v>
      </c>
      <c r="X27" s="679">
        <f t="shared" si="6"/>
        <v>0</v>
      </c>
      <c r="Y27" s="679">
        <f t="shared" si="7"/>
        <v>0</v>
      </c>
      <c r="Z27" s="679">
        <f t="shared" si="8"/>
        <v>0</v>
      </c>
      <c r="AA27" s="679">
        <f t="shared" si="9"/>
        <v>0</v>
      </c>
      <c r="AB27" s="679">
        <f t="shared" si="10"/>
        <v>0</v>
      </c>
      <c r="AC27" s="679">
        <f t="shared" si="11"/>
        <v>0</v>
      </c>
      <c r="AD27" s="679">
        <f t="shared" si="12"/>
        <v>0</v>
      </c>
      <c r="AE27" s="610"/>
    </row>
    <row r="28" spans="1:31" ht="24.95" customHeight="1" x14ac:dyDescent="0.2">
      <c r="A28" s="667">
        <v>21</v>
      </c>
      <c r="B28" s="680" t="s">
        <v>453</v>
      </c>
      <c r="C28" s="681" t="s">
        <v>454</v>
      </c>
      <c r="D28" s="682"/>
      <c r="E28" s="683"/>
      <c r="F28" s="682"/>
      <c r="G28" s="683"/>
      <c r="H28" s="682"/>
      <c r="I28" s="683"/>
      <c r="J28" s="682"/>
      <c r="K28" s="683"/>
      <c r="L28" s="682"/>
      <c r="M28" s="684"/>
      <c r="N28" s="673">
        <f t="shared" si="0"/>
        <v>0</v>
      </c>
      <c r="O28" s="674">
        <f t="shared" si="1"/>
        <v>0</v>
      </c>
      <c r="P28" s="686" t="e">
        <f>(O28/O112)*100</f>
        <v>#DIV/0!</v>
      </c>
      <c r="Q28" s="676"/>
      <c r="R28" s="677" t="e">
        <f t="shared" si="2"/>
        <v>#DIV/0!</v>
      </c>
      <c r="S28" s="688">
        <v>32400</v>
      </c>
      <c r="U28" s="679">
        <f t="shared" si="3"/>
        <v>0</v>
      </c>
      <c r="V28" s="679">
        <f t="shared" si="4"/>
        <v>0</v>
      </c>
      <c r="W28" s="679">
        <f t="shared" si="5"/>
        <v>0</v>
      </c>
      <c r="X28" s="679">
        <f t="shared" si="6"/>
        <v>0</v>
      </c>
      <c r="Y28" s="679">
        <f t="shared" si="7"/>
        <v>0</v>
      </c>
      <c r="Z28" s="679">
        <f t="shared" si="8"/>
        <v>0</v>
      </c>
      <c r="AA28" s="679">
        <f t="shared" si="9"/>
        <v>0</v>
      </c>
      <c r="AB28" s="679">
        <f t="shared" si="10"/>
        <v>0</v>
      </c>
      <c r="AC28" s="679">
        <f t="shared" si="11"/>
        <v>0</v>
      </c>
      <c r="AD28" s="679">
        <f t="shared" si="12"/>
        <v>0</v>
      </c>
      <c r="AE28" s="610"/>
    </row>
    <row r="29" spans="1:31" ht="24.95" customHeight="1" x14ac:dyDescent="0.2">
      <c r="A29" s="667">
        <v>22</v>
      </c>
      <c r="B29" s="680" t="s">
        <v>455</v>
      </c>
      <c r="C29" s="681" t="s">
        <v>456</v>
      </c>
      <c r="D29" s="682"/>
      <c r="E29" s="683"/>
      <c r="F29" s="682"/>
      <c r="G29" s="683"/>
      <c r="H29" s="682"/>
      <c r="I29" s="683"/>
      <c r="J29" s="682"/>
      <c r="K29" s="683"/>
      <c r="L29" s="682"/>
      <c r="M29" s="684"/>
      <c r="N29" s="673">
        <f t="shared" si="0"/>
        <v>0</v>
      </c>
      <c r="O29" s="674">
        <f t="shared" si="1"/>
        <v>0</v>
      </c>
      <c r="P29" s="686" t="e">
        <f>(O29/O112)*100</f>
        <v>#DIV/0!</v>
      </c>
      <c r="Q29" s="676"/>
      <c r="R29" s="677" t="e">
        <f t="shared" si="2"/>
        <v>#DIV/0!</v>
      </c>
      <c r="S29" s="688">
        <v>32400</v>
      </c>
      <c r="U29" s="679">
        <f t="shared" si="3"/>
        <v>0</v>
      </c>
      <c r="V29" s="679">
        <f t="shared" si="4"/>
        <v>0</v>
      </c>
      <c r="W29" s="679">
        <f t="shared" si="5"/>
        <v>0</v>
      </c>
      <c r="X29" s="679">
        <f t="shared" si="6"/>
        <v>0</v>
      </c>
      <c r="Y29" s="679">
        <f t="shared" si="7"/>
        <v>0</v>
      </c>
      <c r="Z29" s="679">
        <f t="shared" si="8"/>
        <v>0</v>
      </c>
      <c r="AA29" s="679">
        <f t="shared" si="9"/>
        <v>0</v>
      </c>
      <c r="AB29" s="679">
        <f t="shared" si="10"/>
        <v>0</v>
      </c>
      <c r="AC29" s="679">
        <f t="shared" si="11"/>
        <v>0</v>
      </c>
      <c r="AD29" s="679">
        <f t="shared" si="12"/>
        <v>0</v>
      </c>
      <c r="AE29" s="610"/>
    </row>
    <row r="30" spans="1:31" ht="24.95" customHeight="1" x14ac:dyDescent="0.2">
      <c r="A30" s="667">
        <v>23</v>
      </c>
      <c r="B30" s="680" t="s">
        <v>457</v>
      </c>
      <c r="C30" s="681" t="s">
        <v>458</v>
      </c>
      <c r="D30" s="682"/>
      <c r="E30" s="683"/>
      <c r="F30" s="682"/>
      <c r="G30" s="683"/>
      <c r="H30" s="682"/>
      <c r="I30" s="683"/>
      <c r="J30" s="682"/>
      <c r="K30" s="683"/>
      <c r="L30" s="682"/>
      <c r="M30" s="684"/>
      <c r="N30" s="673">
        <f t="shared" si="0"/>
        <v>0</v>
      </c>
      <c r="O30" s="674">
        <f t="shared" si="1"/>
        <v>0</v>
      </c>
      <c r="P30" s="686" t="e">
        <f>(O30/O112)*100</f>
        <v>#DIV/0!</v>
      </c>
      <c r="Q30" s="676"/>
      <c r="R30" s="677" t="e">
        <f t="shared" si="2"/>
        <v>#DIV/0!</v>
      </c>
      <c r="S30" s="688">
        <v>32400</v>
      </c>
      <c r="U30" s="679">
        <f t="shared" si="3"/>
        <v>0</v>
      </c>
      <c r="V30" s="679">
        <f t="shared" si="4"/>
        <v>0</v>
      </c>
      <c r="W30" s="679">
        <f t="shared" si="5"/>
        <v>0</v>
      </c>
      <c r="X30" s="679">
        <f t="shared" si="6"/>
        <v>0</v>
      </c>
      <c r="Y30" s="679">
        <f t="shared" si="7"/>
        <v>0</v>
      </c>
      <c r="Z30" s="679">
        <f t="shared" si="8"/>
        <v>0</v>
      </c>
      <c r="AA30" s="679">
        <f t="shared" si="9"/>
        <v>0</v>
      </c>
      <c r="AB30" s="679">
        <f t="shared" si="10"/>
        <v>0</v>
      </c>
      <c r="AC30" s="679">
        <f t="shared" si="11"/>
        <v>0</v>
      </c>
      <c r="AD30" s="679">
        <f t="shared" si="12"/>
        <v>0</v>
      </c>
      <c r="AE30" s="610"/>
    </row>
    <row r="31" spans="1:31" ht="24.95" customHeight="1" x14ac:dyDescent="0.2">
      <c r="A31" s="667">
        <v>24</v>
      </c>
      <c r="B31" s="680" t="s">
        <v>459</v>
      </c>
      <c r="C31" s="681" t="s">
        <v>460</v>
      </c>
      <c r="D31" s="682"/>
      <c r="E31" s="683"/>
      <c r="F31" s="682"/>
      <c r="G31" s="683"/>
      <c r="H31" s="682"/>
      <c r="I31" s="683"/>
      <c r="J31" s="682"/>
      <c r="K31" s="683"/>
      <c r="L31" s="682"/>
      <c r="M31" s="684"/>
      <c r="N31" s="673">
        <f t="shared" si="0"/>
        <v>0</v>
      </c>
      <c r="O31" s="674">
        <f t="shared" si="1"/>
        <v>0</v>
      </c>
      <c r="P31" s="686" t="e">
        <f>(O31/O112)*100</f>
        <v>#DIV/0!</v>
      </c>
      <c r="Q31" s="676"/>
      <c r="R31" s="677" t="e">
        <f t="shared" si="2"/>
        <v>#DIV/0!</v>
      </c>
      <c r="S31" s="688">
        <v>37800</v>
      </c>
      <c r="U31" s="679">
        <f t="shared" si="3"/>
        <v>0</v>
      </c>
      <c r="V31" s="679">
        <f t="shared" si="4"/>
        <v>0</v>
      </c>
      <c r="W31" s="679">
        <f t="shared" si="5"/>
        <v>0</v>
      </c>
      <c r="X31" s="679">
        <f t="shared" si="6"/>
        <v>0</v>
      </c>
      <c r="Y31" s="679">
        <f t="shared" si="7"/>
        <v>0</v>
      </c>
      <c r="Z31" s="679">
        <f t="shared" si="8"/>
        <v>0</v>
      </c>
      <c r="AA31" s="679">
        <f t="shared" si="9"/>
        <v>0</v>
      </c>
      <c r="AB31" s="679">
        <f t="shared" si="10"/>
        <v>0</v>
      </c>
      <c r="AC31" s="679">
        <f t="shared" si="11"/>
        <v>0</v>
      </c>
      <c r="AD31" s="679">
        <f t="shared" si="12"/>
        <v>0</v>
      </c>
      <c r="AE31" s="610"/>
    </row>
    <row r="32" spans="1:31" ht="24.95" customHeight="1" x14ac:dyDescent="0.2">
      <c r="A32" s="667">
        <v>25</v>
      </c>
      <c r="B32" s="680" t="s">
        <v>461</v>
      </c>
      <c r="C32" s="681" t="s">
        <v>462</v>
      </c>
      <c r="D32" s="682"/>
      <c r="E32" s="683"/>
      <c r="F32" s="682"/>
      <c r="G32" s="683"/>
      <c r="H32" s="682"/>
      <c r="I32" s="683"/>
      <c r="J32" s="682"/>
      <c r="K32" s="683"/>
      <c r="L32" s="682"/>
      <c r="M32" s="684"/>
      <c r="N32" s="673">
        <f t="shared" si="0"/>
        <v>0</v>
      </c>
      <c r="O32" s="674">
        <f t="shared" si="1"/>
        <v>0</v>
      </c>
      <c r="P32" s="686" t="e">
        <f>(O32/O112)*100</f>
        <v>#DIV/0!</v>
      </c>
      <c r="Q32" s="676"/>
      <c r="R32" s="677" t="e">
        <f t="shared" si="2"/>
        <v>#DIV/0!</v>
      </c>
      <c r="S32" s="688">
        <v>27000</v>
      </c>
      <c r="U32" s="679">
        <f t="shared" si="3"/>
        <v>0</v>
      </c>
      <c r="V32" s="679">
        <f t="shared" si="4"/>
        <v>0</v>
      </c>
      <c r="W32" s="679">
        <f t="shared" si="5"/>
        <v>0</v>
      </c>
      <c r="X32" s="679">
        <f t="shared" si="6"/>
        <v>0</v>
      </c>
      <c r="Y32" s="679">
        <f t="shared" si="7"/>
        <v>0</v>
      </c>
      <c r="Z32" s="679">
        <f t="shared" si="8"/>
        <v>0</v>
      </c>
      <c r="AA32" s="679">
        <f t="shared" si="9"/>
        <v>0</v>
      </c>
      <c r="AB32" s="679">
        <f t="shared" si="10"/>
        <v>0</v>
      </c>
      <c r="AC32" s="679">
        <f t="shared" si="11"/>
        <v>0</v>
      </c>
      <c r="AD32" s="679">
        <f t="shared" si="12"/>
        <v>0</v>
      </c>
      <c r="AE32" s="610"/>
    </row>
    <row r="33" spans="1:31" ht="24.95" customHeight="1" x14ac:dyDescent="0.2">
      <c r="A33" s="667">
        <v>26</v>
      </c>
      <c r="B33" s="680"/>
      <c r="C33" s="681" t="s">
        <v>867</v>
      </c>
      <c r="D33" s="682"/>
      <c r="E33" s="683"/>
      <c r="F33" s="682"/>
      <c r="G33" s="683"/>
      <c r="H33" s="682"/>
      <c r="I33" s="683"/>
      <c r="J33" s="682"/>
      <c r="K33" s="683"/>
      <c r="L33" s="682"/>
      <c r="M33" s="684"/>
      <c r="N33" s="673">
        <f t="shared" si="0"/>
        <v>0</v>
      </c>
      <c r="O33" s="674">
        <f t="shared" si="1"/>
        <v>0</v>
      </c>
      <c r="P33" s="686" t="e">
        <f>(O33/O112)*100</f>
        <v>#DIV/0!</v>
      </c>
      <c r="Q33" s="676"/>
      <c r="R33" s="677" t="e">
        <f t="shared" si="2"/>
        <v>#DIV/0!</v>
      </c>
      <c r="S33" s="688">
        <v>32400</v>
      </c>
      <c r="U33" s="679">
        <f t="shared" si="3"/>
        <v>0</v>
      </c>
      <c r="V33" s="679">
        <f t="shared" si="4"/>
        <v>0</v>
      </c>
      <c r="W33" s="679">
        <f t="shared" si="5"/>
        <v>0</v>
      </c>
      <c r="X33" s="679">
        <f t="shared" si="6"/>
        <v>0</v>
      </c>
      <c r="Y33" s="679">
        <f t="shared" si="7"/>
        <v>0</v>
      </c>
      <c r="Z33" s="679">
        <f t="shared" si="8"/>
        <v>0</v>
      </c>
      <c r="AA33" s="679">
        <f t="shared" si="9"/>
        <v>0</v>
      </c>
      <c r="AB33" s="679">
        <f t="shared" si="10"/>
        <v>0</v>
      </c>
      <c r="AC33" s="679">
        <f t="shared" si="11"/>
        <v>0</v>
      </c>
      <c r="AD33" s="679">
        <f t="shared" si="12"/>
        <v>0</v>
      </c>
      <c r="AE33" s="610"/>
    </row>
    <row r="34" spans="1:31" ht="24.95" customHeight="1" x14ac:dyDescent="0.2">
      <c r="A34" s="667">
        <v>27</v>
      </c>
      <c r="B34" s="680" t="s">
        <v>463</v>
      </c>
      <c r="C34" s="681" t="s">
        <v>857</v>
      </c>
      <c r="D34" s="682"/>
      <c r="E34" s="683"/>
      <c r="F34" s="682"/>
      <c r="G34" s="683"/>
      <c r="H34" s="682"/>
      <c r="I34" s="683"/>
      <c r="J34" s="682"/>
      <c r="K34" s="683"/>
      <c r="L34" s="682"/>
      <c r="M34" s="684"/>
      <c r="N34" s="673">
        <f t="shared" si="0"/>
        <v>0</v>
      </c>
      <c r="O34" s="674">
        <f t="shared" si="1"/>
        <v>0</v>
      </c>
      <c r="P34" s="686" t="e">
        <f>(O34/O112)*100</f>
        <v>#DIV/0!</v>
      </c>
      <c r="Q34" s="676"/>
      <c r="R34" s="677" t="e">
        <f t="shared" si="2"/>
        <v>#DIV/0!</v>
      </c>
      <c r="S34" s="688"/>
      <c r="U34" s="679">
        <f t="shared" si="3"/>
        <v>0</v>
      </c>
      <c r="V34" s="679">
        <f t="shared" si="4"/>
        <v>0</v>
      </c>
      <c r="W34" s="679">
        <f t="shared" si="5"/>
        <v>0</v>
      </c>
      <c r="X34" s="679">
        <f t="shared" si="6"/>
        <v>0</v>
      </c>
      <c r="Y34" s="679">
        <f t="shared" si="7"/>
        <v>0</v>
      </c>
      <c r="Z34" s="679">
        <f t="shared" si="8"/>
        <v>0</v>
      </c>
      <c r="AA34" s="679">
        <f t="shared" si="9"/>
        <v>0</v>
      </c>
      <c r="AB34" s="679">
        <f t="shared" si="10"/>
        <v>0</v>
      </c>
      <c r="AC34" s="679">
        <f t="shared" si="11"/>
        <v>0</v>
      </c>
      <c r="AD34" s="679">
        <f t="shared" si="12"/>
        <v>0</v>
      </c>
      <c r="AE34" s="610"/>
    </row>
    <row r="35" spans="1:31" ht="24.95" customHeight="1" x14ac:dyDescent="0.2">
      <c r="A35" s="667">
        <v>28</v>
      </c>
      <c r="B35" s="680"/>
      <c r="C35" s="681"/>
      <c r="D35" s="682"/>
      <c r="E35" s="683"/>
      <c r="F35" s="682"/>
      <c r="G35" s="683"/>
      <c r="H35" s="682"/>
      <c r="I35" s="683"/>
      <c r="J35" s="682"/>
      <c r="K35" s="683"/>
      <c r="L35" s="682"/>
      <c r="M35" s="684"/>
      <c r="N35" s="673"/>
      <c r="O35" s="674">
        <f t="shared" si="1"/>
        <v>0</v>
      </c>
      <c r="P35" s="686" t="e">
        <f>(O35/O112)*100</f>
        <v>#DIV/0!</v>
      </c>
      <c r="Q35" s="676"/>
      <c r="R35" s="677" t="e">
        <f t="shared" si="2"/>
        <v>#DIV/0!</v>
      </c>
      <c r="S35" s="688"/>
      <c r="U35" s="679">
        <f t="shared" si="3"/>
        <v>0</v>
      </c>
      <c r="V35" s="679">
        <f t="shared" si="4"/>
        <v>0</v>
      </c>
      <c r="W35" s="679">
        <f t="shared" si="5"/>
        <v>0</v>
      </c>
      <c r="X35" s="679">
        <f t="shared" si="6"/>
        <v>0</v>
      </c>
      <c r="Y35" s="679">
        <f t="shared" si="7"/>
        <v>0</v>
      </c>
      <c r="Z35" s="679">
        <f t="shared" si="8"/>
        <v>0</v>
      </c>
      <c r="AA35" s="679">
        <f t="shared" si="9"/>
        <v>0</v>
      </c>
      <c r="AB35" s="679">
        <f t="shared" si="10"/>
        <v>0</v>
      </c>
      <c r="AC35" s="679">
        <f t="shared" si="11"/>
        <v>0</v>
      </c>
      <c r="AD35" s="679">
        <f t="shared" si="12"/>
        <v>0</v>
      </c>
      <c r="AE35" s="610"/>
    </row>
    <row r="36" spans="1:31" ht="24.95" customHeight="1" x14ac:dyDescent="0.2">
      <c r="A36" s="667">
        <v>29</v>
      </c>
      <c r="B36" s="680" t="s">
        <v>464</v>
      </c>
      <c r="C36" s="681" t="s">
        <v>465</v>
      </c>
      <c r="D36" s="682"/>
      <c r="E36" s="683"/>
      <c r="F36" s="682"/>
      <c r="G36" s="683"/>
      <c r="H36" s="682"/>
      <c r="I36" s="683"/>
      <c r="J36" s="682"/>
      <c r="K36" s="683"/>
      <c r="L36" s="682"/>
      <c r="M36" s="684"/>
      <c r="N36" s="673">
        <f t="shared" si="0"/>
        <v>0</v>
      </c>
      <c r="O36" s="674">
        <f t="shared" si="1"/>
        <v>0</v>
      </c>
      <c r="P36" s="686" t="e">
        <f>(O36/O112)*100</f>
        <v>#DIV/0!</v>
      </c>
      <c r="Q36" s="676"/>
      <c r="R36" s="677" t="e">
        <f t="shared" si="2"/>
        <v>#DIV/0!</v>
      </c>
      <c r="S36" s="688">
        <v>28350</v>
      </c>
      <c r="U36" s="679">
        <f t="shared" si="3"/>
        <v>0</v>
      </c>
      <c r="V36" s="679">
        <f t="shared" si="4"/>
        <v>0</v>
      </c>
      <c r="W36" s="679">
        <f t="shared" si="5"/>
        <v>0</v>
      </c>
      <c r="X36" s="679">
        <f t="shared" si="6"/>
        <v>0</v>
      </c>
      <c r="Y36" s="679">
        <f t="shared" si="7"/>
        <v>0</v>
      </c>
      <c r="Z36" s="679">
        <f t="shared" si="8"/>
        <v>0</v>
      </c>
      <c r="AA36" s="679">
        <f t="shared" si="9"/>
        <v>0</v>
      </c>
      <c r="AB36" s="679">
        <f t="shared" si="10"/>
        <v>0</v>
      </c>
      <c r="AC36" s="679">
        <f t="shared" si="11"/>
        <v>0</v>
      </c>
      <c r="AD36" s="679">
        <f t="shared" si="12"/>
        <v>0</v>
      </c>
      <c r="AE36" s="610"/>
    </row>
    <row r="37" spans="1:31" ht="24.95" customHeight="1" x14ac:dyDescent="0.2">
      <c r="A37" s="667">
        <v>30</v>
      </c>
      <c r="B37" s="680" t="s">
        <v>466</v>
      </c>
      <c r="C37" s="681" t="s">
        <v>467</v>
      </c>
      <c r="D37" s="682"/>
      <c r="E37" s="683"/>
      <c r="F37" s="682"/>
      <c r="G37" s="683"/>
      <c r="H37" s="682"/>
      <c r="I37" s="683"/>
      <c r="J37" s="682"/>
      <c r="K37" s="683"/>
      <c r="L37" s="682"/>
      <c r="M37" s="684"/>
      <c r="N37" s="673">
        <f t="shared" si="0"/>
        <v>0</v>
      </c>
      <c r="O37" s="674">
        <f t="shared" si="1"/>
        <v>0</v>
      </c>
      <c r="P37" s="686" t="e">
        <f>(O37/O112)*100</f>
        <v>#DIV/0!</v>
      </c>
      <c r="Q37" s="676"/>
      <c r="R37" s="677" t="e">
        <f t="shared" si="2"/>
        <v>#DIV/0!</v>
      </c>
      <c r="S37" s="688">
        <v>31050</v>
      </c>
      <c r="U37" s="679">
        <f t="shared" si="3"/>
        <v>0</v>
      </c>
      <c r="V37" s="679">
        <f t="shared" si="4"/>
        <v>0</v>
      </c>
      <c r="W37" s="679">
        <f t="shared" si="5"/>
        <v>0</v>
      </c>
      <c r="X37" s="679">
        <f t="shared" si="6"/>
        <v>0</v>
      </c>
      <c r="Y37" s="679">
        <f t="shared" si="7"/>
        <v>0</v>
      </c>
      <c r="Z37" s="679">
        <f t="shared" si="8"/>
        <v>0</v>
      </c>
      <c r="AA37" s="679">
        <f t="shared" si="9"/>
        <v>0</v>
      </c>
      <c r="AB37" s="679">
        <f t="shared" si="10"/>
        <v>0</v>
      </c>
      <c r="AC37" s="679">
        <f t="shared" si="11"/>
        <v>0</v>
      </c>
      <c r="AD37" s="679">
        <f t="shared" si="12"/>
        <v>0</v>
      </c>
      <c r="AE37" s="610"/>
    </row>
    <row r="38" spans="1:31" ht="24.95" customHeight="1" x14ac:dyDescent="0.2">
      <c r="A38" s="667">
        <v>31</v>
      </c>
      <c r="B38" s="680"/>
      <c r="C38" s="680" t="s">
        <v>868</v>
      </c>
      <c r="D38" s="682"/>
      <c r="E38" s="683"/>
      <c r="F38" s="682"/>
      <c r="G38" s="683"/>
      <c r="H38" s="682"/>
      <c r="I38" s="683"/>
      <c r="J38" s="682"/>
      <c r="K38" s="683"/>
      <c r="L38" s="682"/>
      <c r="M38" s="684"/>
      <c r="N38" s="673">
        <f t="shared" si="0"/>
        <v>0</v>
      </c>
      <c r="O38" s="674">
        <f t="shared" si="1"/>
        <v>0</v>
      </c>
      <c r="P38" s="686" t="e">
        <f>(O38/O112)*100</f>
        <v>#DIV/0!</v>
      </c>
      <c r="Q38" s="676"/>
      <c r="R38" s="677" t="e">
        <f t="shared" si="2"/>
        <v>#DIV/0!</v>
      </c>
      <c r="S38" s="689">
        <v>33750</v>
      </c>
      <c r="U38" s="679">
        <f t="shared" si="3"/>
        <v>0</v>
      </c>
      <c r="V38" s="679">
        <f t="shared" si="4"/>
        <v>0</v>
      </c>
      <c r="W38" s="679">
        <f t="shared" si="5"/>
        <v>0</v>
      </c>
      <c r="X38" s="679">
        <f t="shared" si="6"/>
        <v>0</v>
      </c>
      <c r="Y38" s="679">
        <f t="shared" si="7"/>
        <v>0</v>
      </c>
      <c r="Z38" s="679">
        <f t="shared" si="8"/>
        <v>0</v>
      </c>
      <c r="AA38" s="679">
        <f t="shared" si="9"/>
        <v>0</v>
      </c>
      <c r="AB38" s="679">
        <f t="shared" si="10"/>
        <v>0</v>
      </c>
      <c r="AC38" s="679">
        <f t="shared" si="11"/>
        <v>0</v>
      </c>
      <c r="AD38" s="679">
        <f t="shared" si="12"/>
        <v>0</v>
      </c>
      <c r="AE38" s="610"/>
    </row>
    <row r="39" spans="1:31" ht="24.95" customHeight="1" x14ac:dyDescent="0.2">
      <c r="A39" s="667">
        <v>32</v>
      </c>
      <c r="B39" s="680"/>
      <c r="C39" s="680" t="s">
        <v>869</v>
      </c>
      <c r="D39" s="682"/>
      <c r="E39" s="683"/>
      <c r="F39" s="682"/>
      <c r="G39" s="683"/>
      <c r="H39" s="682"/>
      <c r="I39" s="683"/>
      <c r="J39" s="682"/>
      <c r="K39" s="683"/>
      <c r="L39" s="682"/>
      <c r="M39" s="684"/>
      <c r="N39" s="673">
        <f t="shared" si="0"/>
        <v>0</v>
      </c>
      <c r="O39" s="674">
        <f t="shared" si="1"/>
        <v>0</v>
      </c>
      <c r="P39" s="686" t="e">
        <f>(O39/O112)*100</f>
        <v>#DIV/0!</v>
      </c>
      <c r="Q39" s="676"/>
      <c r="R39" s="677" t="e">
        <f t="shared" si="2"/>
        <v>#DIV/0!</v>
      </c>
      <c r="S39" s="689">
        <v>33750</v>
      </c>
      <c r="U39" s="679">
        <f t="shared" si="3"/>
        <v>0</v>
      </c>
      <c r="V39" s="679">
        <f t="shared" si="4"/>
        <v>0</v>
      </c>
      <c r="W39" s="679">
        <f t="shared" si="5"/>
        <v>0</v>
      </c>
      <c r="X39" s="679">
        <f t="shared" si="6"/>
        <v>0</v>
      </c>
      <c r="Y39" s="679">
        <f t="shared" si="7"/>
        <v>0</v>
      </c>
      <c r="Z39" s="679">
        <f t="shared" si="8"/>
        <v>0</v>
      </c>
      <c r="AA39" s="679">
        <f t="shared" si="9"/>
        <v>0</v>
      </c>
      <c r="AB39" s="679">
        <f t="shared" si="10"/>
        <v>0</v>
      </c>
      <c r="AC39" s="679">
        <f t="shared" si="11"/>
        <v>0</v>
      </c>
      <c r="AD39" s="679">
        <f t="shared" si="12"/>
        <v>0</v>
      </c>
      <c r="AE39" s="610"/>
    </row>
    <row r="40" spans="1:31" ht="24.95" customHeight="1" x14ac:dyDescent="0.2">
      <c r="A40" s="667">
        <v>33</v>
      </c>
      <c r="B40" s="691" t="s">
        <v>468</v>
      </c>
      <c r="C40" s="681"/>
      <c r="D40" s="682"/>
      <c r="E40" s="683"/>
      <c r="F40" s="682"/>
      <c r="G40" s="683"/>
      <c r="H40" s="682"/>
      <c r="I40" s="683"/>
      <c r="J40" s="682"/>
      <c r="K40" s="683"/>
      <c r="L40" s="682"/>
      <c r="M40" s="684"/>
      <c r="N40" s="673"/>
      <c r="O40" s="674">
        <f t="shared" si="1"/>
        <v>0</v>
      </c>
      <c r="P40" s="686" t="e">
        <f>(O40/O112)*100</f>
        <v>#DIV/0!</v>
      </c>
      <c r="Q40" s="676"/>
      <c r="R40" s="677" t="e">
        <f t="shared" si="2"/>
        <v>#DIV/0!</v>
      </c>
      <c r="S40" s="688"/>
      <c r="U40" s="679">
        <f t="shared" si="3"/>
        <v>0</v>
      </c>
      <c r="V40" s="679">
        <f t="shared" si="4"/>
        <v>0</v>
      </c>
      <c r="W40" s="679">
        <f t="shared" si="5"/>
        <v>0</v>
      </c>
      <c r="X40" s="679">
        <f t="shared" si="6"/>
        <v>0</v>
      </c>
      <c r="Y40" s="679">
        <f t="shared" si="7"/>
        <v>0</v>
      </c>
      <c r="Z40" s="679">
        <f t="shared" si="8"/>
        <v>0</v>
      </c>
      <c r="AA40" s="679">
        <f t="shared" si="9"/>
        <v>0</v>
      </c>
      <c r="AB40" s="679">
        <f t="shared" si="10"/>
        <v>0</v>
      </c>
      <c r="AC40" s="679">
        <f t="shared" si="11"/>
        <v>0</v>
      </c>
      <c r="AD40" s="679">
        <f t="shared" si="12"/>
        <v>0</v>
      </c>
      <c r="AE40" s="610"/>
    </row>
    <row r="41" spans="1:31" ht="24.95" customHeight="1" x14ac:dyDescent="0.2">
      <c r="A41" s="667">
        <v>34</v>
      </c>
      <c r="B41" s="692" t="s">
        <v>469</v>
      </c>
      <c r="C41" s="681" t="s">
        <v>470</v>
      </c>
      <c r="D41" s="682"/>
      <c r="E41" s="683"/>
      <c r="F41" s="682"/>
      <c r="G41" s="683"/>
      <c r="H41" s="682"/>
      <c r="I41" s="683"/>
      <c r="J41" s="682"/>
      <c r="K41" s="683"/>
      <c r="L41" s="682"/>
      <c r="M41" s="684"/>
      <c r="N41" s="673">
        <f t="shared" si="0"/>
        <v>0</v>
      </c>
      <c r="O41" s="674">
        <f t="shared" si="1"/>
        <v>0</v>
      </c>
      <c r="P41" s="686" t="e">
        <f>(O41/O112)*100</f>
        <v>#DIV/0!</v>
      </c>
      <c r="Q41" s="676"/>
      <c r="R41" s="677" t="e">
        <f t="shared" si="2"/>
        <v>#DIV/0!</v>
      </c>
      <c r="S41" s="688">
        <v>32400</v>
      </c>
      <c r="U41" s="679">
        <f t="shared" si="3"/>
        <v>0</v>
      </c>
      <c r="V41" s="679">
        <f t="shared" si="4"/>
        <v>0</v>
      </c>
      <c r="W41" s="679">
        <f t="shared" si="5"/>
        <v>0</v>
      </c>
      <c r="X41" s="679">
        <f t="shared" si="6"/>
        <v>0</v>
      </c>
      <c r="Y41" s="679">
        <f t="shared" si="7"/>
        <v>0</v>
      </c>
      <c r="Z41" s="679">
        <f t="shared" si="8"/>
        <v>0</v>
      </c>
      <c r="AA41" s="679">
        <f t="shared" si="9"/>
        <v>0</v>
      </c>
      <c r="AB41" s="679">
        <f t="shared" si="10"/>
        <v>0</v>
      </c>
      <c r="AC41" s="679">
        <f t="shared" si="11"/>
        <v>0</v>
      </c>
      <c r="AD41" s="679">
        <f t="shared" si="12"/>
        <v>0</v>
      </c>
      <c r="AE41" s="610"/>
    </row>
    <row r="42" spans="1:31" ht="24.95" customHeight="1" x14ac:dyDescent="0.2">
      <c r="A42" s="667">
        <v>35</v>
      </c>
      <c r="B42" s="692" t="s">
        <v>471</v>
      </c>
      <c r="C42" s="681" t="s">
        <v>472</v>
      </c>
      <c r="D42" s="682"/>
      <c r="E42" s="683"/>
      <c r="F42" s="682"/>
      <c r="G42" s="683"/>
      <c r="H42" s="682"/>
      <c r="I42" s="683"/>
      <c r="J42" s="682"/>
      <c r="K42" s="683"/>
      <c r="L42" s="682"/>
      <c r="M42" s="684"/>
      <c r="N42" s="673">
        <f t="shared" si="0"/>
        <v>0</v>
      </c>
      <c r="O42" s="674">
        <f t="shared" si="1"/>
        <v>0</v>
      </c>
      <c r="P42" s="686" t="e">
        <f>(O42/O112)*100</f>
        <v>#DIV/0!</v>
      </c>
      <c r="Q42" s="676"/>
      <c r="R42" s="677" t="e">
        <f t="shared" si="2"/>
        <v>#DIV/0!</v>
      </c>
      <c r="S42" s="688">
        <v>33750</v>
      </c>
      <c r="U42" s="679">
        <f t="shared" si="3"/>
        <v>0</v>
      </c>
      <c r="V42" s="679">
        <f t="shared" si="4"/>
        <v>0</v>
      </c>
      <c r="W42" s="679">
        <f t="shared" si="5"/>
        <v>0</v>
      </c>
      <c r="X42" s="679">
        <f t="shared" si="6"/>
        <v>0</v>
      </c>
      <c r="Y42" s="679">
        <f t="shared" si="7"/>
        <v>0</v>
      </c>
      <c r="Z42" s="679">
        <f t="shared" si="8"/>
        <v>0</v>
      </c>
      <c r="AA42" s="679">
        <f t="shared" si="9"/>
        <v>0</v>
      </c>
      <c r="AB42" s="679">
        <f t="shared" si="10"/>
        <v>0</v>
      </c>
      <c r="AC42" s="679">
        <f t="shared" si="11"/>
        <v>0</v>
      </c>
      <c r="AD42" s="679">
        <f t="shared" si="12"/>
        <v>0</v>
      </c>
      <c r="AE42" s="610"/>
    </row>
    <row r="43" spans="1:31" ht="24.95" customHeight="1" x14ac:dyDescent="0.2">
      <c r="A43" s="667">
        <v>36</v>
      </c>
      <c r="B43" s="692" t="s">
        <v>473</v>
      </c>
      <c r="C43" s="681" t="s">
        <v>474</v>
      </c>
      <c r="D43" s="682"/>
      <c r="E43" s="683"/>
      <c r="F43" s="682"/>
      <c r="G43" s="683"/>
      <c r="H43" s="682"/>
      <c r="I43" s="683"/>
      <c r="J43" s="682"/>
      <c r="K43" s="683"/>
      <c r="L43" s="682"/>
      <c r="M43" s="684"/>
      <c r="N43" s="673">
        <f t="shared" si="0"/>
        <v>0</v>
      </c>
      <c r="O43" s="674">
        <f t="shared" si="1"/>
        <v>0</v>
      </c>
      <c r="P43" s="686" t="e">
        <f>(O43/O112)*100</f>
        <v>#DIV/0!</v>
      </c>
      <c r="Q43" s="676"/>
      <c r="R43" s="677" t="e">
        <f t="shared" si="2"/>
        <v>#DIV/0!</v>
      </c>
      <c r="S43" s="688">
        <v>32400</v>
      </c>
      <c r="U43" s="679">
        <f t="shared" si="3"/>
        <v>0</v>
      </c>
      <c r="V43" s="679">
        <f t="shared" si="4"/>
        <v>0</v>
      </c>
      <c r="W43" s="679">
        <f t="shared" si="5"/>
        <v>0</v>
      </c>
      <c r="X43" s="679">
        <f t="shared" si="6"/>
        <v>0</v>
      </c>
      <c r="Y43" s="679">
        <f t="shared" si="7"/>
        <v>0</v>
      </c>
      <c r="Z43" s="679">
        <f t="shared" si="8"/>
        <v>0</v>
      </c>
      <c r="AA43" s="679">
        <f t="shared" si="9"/>
        <v>0</v>
      </c>
      <c r="AB43" s="679">
        <f t="shared" si="10"/>
        <v>0</v>
      </c>
      <c r="AC43" s="679">
        <f t="shared" si="11"/>
        <v>0</v>
      </c>
      <c r="AD43" s="679">
        <f t="shared" si="12"/>
        <v>0</v>
      </c>
      <c r="AE43" s="610"/>
    </row>
    <row r="44" spans="1:31" ht="24.95" customHeight="1" x14ac:dyDescent="0.2">
      <c r="A44" s="667">
        <v>37</v>
      </c>
      <c r="B44" s="692" t="s">
        <v>475</v>
      </c>
      <c r="C44" s="681" t="s">
        <v>476</v>
      </c>
      <c r="D44" s="682"/>
      <c r="E44" s="683"/>
      <c r="F44" s="682"/>
      <c r="G44" s="683"/>
      <c r="H44" s="682"/>
      <c r="I44" s="683"/>
      <c r="J44" s="682"/>
      <c r="K44" s="683"/>
      <c r="L44" s="682"/>
      <c r="M44" s="684"/>
      <c r="N44" s="673">
        <f t="shared" si="0"/>
        <v>0</v>
      </c>
      <c r="O44" s="674">
        <f t="shared" si="1"/>
        <v>0</v>
      </c>
      <c r="P44" s="686" t="e">
        <f>(O44/O112)*100</f>
        <v>#DIV/0!</v>
      </c>
      <c r="Q44" s="676"/>
      <c r="R44" s="677" t="e">
        <f t="shared" si="2"/>
        <v>#DIV/0!</v>
      </c>
      <c r="S44" s="688">
        <v>29700.000000000004</v>
      </c>
      <c r="U44" s="679">
        <f t="shared" si="3"/>
        <v>0</v>
      </c>
      <c r="V44" s="679">
        <f t="shared" si="4"/>
        <v>0</v>
      </c>
      <c r="W44" s="679">
        <f t="shared" si="5"/>
        <v>0</v>
      </c>
      <c r="X44" s="679">
        <f t="shared" si="6"/>
        <v>0</v>
      </c>
      <c r="Y44" s="679">
        <f t="shared" si="7"/>
        <v>0</v>
      </c>
      <c r="Z44" s="679">
        <f t="shared" si="8"/>
        <v>0</v>
      </c>
      <c r="AA44" s="679">
        <f t="shared" si="9"/>
        <v>0</v>
      </c>
      <c r="AB44" s="679">
        <f t="shared" si="10"/>
        <v>0</v>
      </c>
      <c r="AC44" s="679">
        <f t="shared" si="11"/>
        <v>0</v>
      </c>
      <c r="AD44" s="679">
        <f t="shared" si="12"/>
        <v>0</v>
      </c>
      <c r="AE44" s="610"/>
    </row>
    <row r="45" spans="1:31" ht="24.95" customHeight="1" x14ac:dyDescent="0.2">
      <c r="A45" s="667">
        <v>38</v>
      </c>
      <c r="B45" s="692"/>
      <c r="C45" s="680"/>
      <c r="D45" s="682"/>
      <c r="E45" s="683"/>
      <c r="F45" s="682"/>
      <c r="G45" s="683"/>
      <c r="H45" s="682"/>
      <c r="I45" s="683"/>
      <c r="J45" s="682"/>
      <c r="K45" s="683"/>
      <c r="L45" s="682"/>
      <c r="M45" s="684"/>
      <c r="N45" s="673"/>
      <c r="O45" s="674">
        <f t="shared" si="1"/>
        <v>0</v>
      </c>
      <c r="P45" s="686" t="e">
        <f>(O45/O112)*100</f>
        <v>#DIV/0!</v>
      </c>
      <c r="Q45" s="676"/>
      <c r="R45" s="677" t="e">
        <f t="shared" si="2"/>
        <v>#DIV/0!</v>
      </c>
      <c r="S45" s="689"/>
      <c r="U45" s="679">
        <f t="shared" si="3"/>
        <v>0</v>
      </c>
      <c r="V45" s="679">
        <f t="shared" si="4"/>
        <v>0</v>
      </c>
      <c r="W45" s="679">
        <f t="shared" si="5"/>
        <v>0</v>
      </c>
      <c r="X45" s="679">
        <f t="shared" si="6"/>
        <v>0</v>
      </c>
      <c r="Y45" s="679">
        <f t="shared" si="7"/>
        <v>0</v>
      </c>
      <c r="Z45" s="679">
        <f t="shared" si="8"/>
        <v>0</v>
      </c>
      <c r="AA45" s="679">
        <f t="shared" si="9"/>
        <v>0</v>
      </c>
      <c r="AB45" s="679">
        <f t="shared" si="10"/>
        <v>0</v>
      </c>
      <c r="AC45" s="679">
        <f t="shared" si="11"/>
        <v>0</v>
      </c>
      <c r="AD45" s="679">
        <f t="shared" si="12"/>
        <v>0</v>
      </c>
      <c r="AE45" s="610"/>
    </row>
    <row r="46" spans="1:31" ht="24.95" customHeight="1" x14ac:dyDescent="0.2">
      <c r="A46" s="667">
        <v>39</v>
      </c>
      <c r="B46" s="692" t="s">
        <v>477</v>
      </c>
      <c r="C46" s="681" t="s">
        <v>478</v>
      </c>
      <c r="D46" s="682"/>
      <c r="E46" s="683"/>
      <c r="F46" s="682"/>
      <c r="G46" s="683"/>
      <c r="H46" s="682"/>
      <c r="I46" s="683"/>
      <c r="J46" s="682"/>
      <c r="K46" s="683"/>
      <c r="L46" s="682"/>
      <c r="M46" s="684"/>
      <c r="N46" s="673">
        <f t="shared" si="0"/>
        <v>0</v>
      </c>
      <c r="O46" s="674">
        <f t="shared" si="1"/>
        <v>0</v>
      </c>
      <c r="P46" s="686" t="e">
        <f>(O46/O112)*100</f>
        <v>#DIV/0!</v>
      </c>
      <c r="Q46" s="676"/>
      <c r="R46" s="677" t="e">
        <f t="shared" si="2"/>
        <v>#DIV/0!</v>
      </c>
      <c r="S46" s="688">
        <v>18900</v>
      </c>
      <c r="U46" s="679">
        <f t="shared" si="3"/>
        <v>0</v>
      </c>
      <c r="V46" s="679">
        <f t="shared" si="4"/>
        <v>0</v>
      </c>
      <c r="W46" s="679">
        <f t="shared" si="5"/>
        <v>0</v>
      </c>
      <c r="X46" s="679">
        <f t="shared" si="6"/>
        <v>0</v>
      </c>
      <c r="Y46" s="679">
        <f t="shared" si="7"/>
        <v>0</v>
      </c>
      <c r="Z46" s="679">
        <f t="shared" si="8"/>
        <v>0</v>
      </c>
      <c r="AA46" s="679">
        <f t="shared" si="9"/>
        <v>0</v>
      </c>
      <c r="AB46" s="679">
        <f t="shared" si="10"/>
        <v>0</v>
      </c>
      <c r="AC46" s="679">
        <f t="shared" si="11"/>
        <v>0</v>
      </c>
      <c r="AD46" s="679">
        <f t="shared" si="12"/>
        <v>0</v>
      </c>
      <c r="AE46" s="610"/>
    </row>
    <row r="47" spans="1:31" ht="24.95" customHeight="1" x14ac:dyDescent="0.2">
      <c r="A47" s="667">
        <v>40</v>
      </c>
      <c r="B47" s="692" t="s">
        <v>479</v>
      </c>
      <c r="C47" s="681" t="s">
        <v>480</v>
      </c>
      <c r="D47" s="682"/>
      <c r="E47" s="683"/>
      <c r="F47" s="682"/>
      <c r="G47" s="683"/>
      <c r="H47" s="682"/>
      <c r="I47" s="683"/>
      <c r="J47" s="682"/>
      <c r="K47" s="683"/>
      <c r="L47" s="682"/>
      <c r="M47" s="684"/>
      <c r="N47" s="673">
        <f t="shared" si="0"/>
        <v>0</v>
      </c>
      <c r="O47" s="674">
        <f t="shared" si="1"/>
        <v>0</v>
      </c>
      <c r="P47" s="686" t="e">
        <f>(O47/O112)*100</f>
        <v>#DIV/0!</v>
      </c>
      <c r="Q47" s="676"/>
      <c r="R47" s="677" t="e">
        <f t="shared" si="2"/>
        <v>#DIV/0!</v>
      </c>
      <c r="S47" s="688">
        <v>20250</v>
      </c>
      <c r="U47" s="679">
        <f t="shared" si="3"/>
        <v>0</v>
      </c>
      <c r="V47" s="679">
        <f t="shared" si="4"/>
        <v>0</v>
      </c>
      <c r="W47" s="679">
        <f t="shared" si="5"/>
        <v>0</v>
      </c>
      <c r="X47" s="679">
        <f t="shared" si="6"/>
        <v>0</v>
      </c>
      <c r="Y47" s="679">
        <f t="shared" si="7"/>
        <v>0</v>
      </c>
      <c r="Z47" s="679">
        <f t="shared" si="8"/>
        <v>0</v>
      </c>
      <c r="AA47" s="679">
        <f t="shared" si="9"/>
        <v>0</v>
      </c>
      <c r="AB47" s="679">
        <f t="shared" si="10"/>
        <v>0</v>
      </c>
      <c r="AC47" s="679">
        <f t="shared" si="11"/>
        <v>0</v>
      </c>
      <c r="AD47" s="679">
        <f t="shared" si="12"/>
        <v>0</v>
      </c>
      <c r="AE47" s="610"/>
    </row>
    <row r="48" spans="1:31" ht="24.95" customHeight="1" x14ac:dyDescent="0.2">
      <c r="A48" s="667">
        <v>41</v>
      </c>
      <c r="B48" s="692" t="s">
        <v>481</v>
      </c>
      <c r="C48" s="681" t="s">
        <v>482</v>
      </c>
      <c r="D48" s="682"/>
      <c r="E48" s="683"/>
      <c r="F48" s="682"/>
      <c r="G48" s="683"/>
      <c r="H48" s="682"/>
      <c r="I48" s="683"/>
      <c r="J48" s="682"/>
      <c r="K48" s="683"/>
      <c r="L48" s="682"/>
      <c r="M48" s="684"/>
      <c r="N48" s="673">
        <f t="shared" si="0"/>
        <v>0</v>
      </c>
      <c r="O48" s="674">
        <f t="shared" si="1"/>
        <v>0</v>
      </c>
      <c r="P48" s="686" t="e">
        <f>(O48/O112)*100</f>
        <v>#DIV/0!</v>
      </c>
      <c r="Q48" s="676"/>
      <c r="R48" s="677" t="e">
        <f t="shared" si="2"/>
        <v>#DIV/0!</v>
      </c>
      <c r="S48" s="688">
        <v>22950</v>
      </c>
      <c r="U48" s="679">
        <f t="shared" si="3"/>
        <v>0</v>
      </c>
      <c r="V48" s="679">
        <f t="shared" si="4"/>
        <v>0</v>
      </c>
      <c r="W48" s="679">
        <f t="shared" si="5"/>
        <v>0</v>
      </c>
      <c r="X48" s="679">
        <f t="shared" si="6"/>
        <v>0</v>
      </c>
      <c r="Y48" s="679">
        <f t="shared" si="7"/>
        <v>0</v>
      </c>
      <c r="Z48" s="679">
        <f t="shared" si="8"/>
        <v>0</v>
      </c>
      <c r="AA48" s="679">
        <f t="shared" si="9"/>
        <v>0</v>
      </c>
      <c r="AB48" s="679">
        <f t="shared" si="10"/>
        <v>0</v>
      </c>
      <c r="AC48" s="679">
        <f t="shared" si="11"/>
        <v>0</v>
      </c>
      <c r="AD48" s="679">
        <f t="shared" si="12"/>
        <v>0</v>
      </c>
      <c r="AE48" s="610"/>
    </row>
    <row r="49" spans="1:31" ht="24.95" customHeight="1" x14ac:dyDescent="0.2">
      <c r="A49" s="667">
        <v>42</v>
      </c>
      <c r="B49" s="692" t="s">
        <v>478</v>
      </c>
      <c r="C49" s="681" t="s">
        <v>483</v>
      </c>
      <c r="D49" s="682"/>
      <c r="E49" s="683"/>
      <c r="F49" s="682"/>
      <c r="G49" s="683"/>
      <c r="H49" s="682"/>
      <c r="I49" s="683"/>
      <c r="J49" s="682"/>
      <c r="K49" s="683"/>
      <c r="L49" s="682"/>
      <c r="M49" s="684"/>
      <c r="N49" s="673">
        <f t="shared" si="0"/>
        <v>0</v>
      </c>
      <c r="O49" s="674">
        <f t="shared" si="1"/>
        <v>0</v>
      </c>
      <c r="P49" s="686" t="e">
        <f>(O49/O112)*100</f>
        <v>#DIV/0!</v>
      </c>
      <c r="Q49" s="676"/>
      <c r="R49" s="677" t="e">
        <f t="shared" si="2"/>
        <v>#DIV/0!</v>
      </c>
      <c r="S49" s="688">
        <v>5400</v>
      </c>
      <c r="U49" s="679">
        <f t="shared" si="3"/>
        <v>0</v>
      </c>
      <c r="V49" s="679">
        <f t="shared" si="4"/>
        <v>0</v>
      </c>
      <c r="W49" s="679">
        <f t="shared" si="5"/>
        <v>0</v>
      </c>
      <c r="X49" s="679">
        <f t="shared" si="6"/>
        <v>0</v>
      </c>
      <c r="Y49" s="679">
        <f t="shared" si="7"/>
        <v>0</v>
      </c>
      <c r="Z49" s="679">
        <f t="shared" si="8"/>
        <v>0</v>
      </c>
      <c r="AA49" s="679">
        <f t="shared" si="9"/>
        <v>0</v>
      </c>
      <c r="AB49" s="679">
        <f t="shared" si="10"/>
        <v>0</v>
      </c>
      <c r="AC49" s="679">
        <f t="shared" si="11"/>
        <v>0</v>
      </c>
      <c r="AD49" s="679">
        <f t="shared" si="12"/>
        <v>0</v>
      </c>
      <c r="AE49" s="610"/>
    </row>
    <row r="50" spans="1:31" ht="24.95" customHeight="1" x14ac:dyDescent="0.2">
      <c r="A50" s="667">
        <v>43</v>
      </c>
      <c r="B50" s="692"/>
      <c r="C50" s="681"/>
      <c r="D50" s="682"/>
      <c r="E50" s="683"/>
      <c r="F50" s="682"/>
      <c r="G50" s="683"/>
      <c r="H50" s="682"/>
      <c r="I50" s="683"/>
      <c r="J50" s="682"/>
      <c r="K50" s="683"/>
      <c r="L50" s="682"/>
      <c r="M50" s="684"/>
      <c r="N50" s="673"/>
      <c r="O50" s="674">
        <f t="shared" si="1"/>
        <v>0</v>
      </c>
      <c r="P50" s="686" t="e">
        <f>(O50/O112)*100</f>
        <v>#DIV/0!</v>
      </c>
      <c r="Q50" s="676"/>
      <c r="R50" s="677" t="e">
        <f t="shared" si="2"/>
        <v>#DIV/0!</v>
      </c>
      <c r="S50" s="688"/>
      <c r="U50" s="679">
        <f t="shared" si="3"/>
        <v>0</v>
      </c>
      <c r="V50" s="679">
        <f t="shared" si="4"/>
        <v>0</v>
      </c>
      <c r="W50" s="679">
        <f t="shared" si="5"/>
        <v>0</v>
      </c>
      <c r="X50" s="679">
        <f t="shared" si="6"/>
        <v>0</v>
      </c>
      <c r="Y50" s="679">
        <f t="shared" si="7"/>
        <v>0</v>
      </c>
      <c r="Z50" s="679">
        <f t="shared" si="8"/>
        <v>0</v>
      </c>
      <c r="AA50" s="679">
        <f t="shared" si="9"/>
        <v>0</v>
      </c>
      <c r="AB50" s="679">
        <f t="shared" si="10"/>
        <v>0</v>
      </c>
      <c r="AC50" s="679">
        <f t="shared" si="11"/>
        <v>0</v>
      </c>
      <c r="AD50" s="679">
        <f t="shared" si="12"/>
        <v>0</v>
      </c>
      <c r="AE50" s="610"/>
    </row>
    <row r="51" spans="1:31" ht="24.95" customHeight="1" x14ac:dyDescent="0.2">
      <c r="A51" s="667">
        <v>44</v>
      </c>
      <c r="B51" s="692" t="s">
        <v>480</v>
      </c>
      <c r="C51" s="681" t="s">
        <v>484</v>
      </c>
      <c r="D51" s="682"/>
      <c r="E51" s="683"/>
      <c r="F51" s="682"/>
      <c r="G51" s="683"/>
      <c r="H51" s="682"/>
      <c r="I51" s="683"/>
      <c r="J51" s="682"/>
      <c r="K51" s="683"/>
      <c r="L51" s="682"/>
      <c r="M51" s="684"/>
      <c r="N51" s="673">
        <f t="shared" si="0"/>
        <v>0</v>
      </c>
      <c r="O51" s="674">
        <f t="shared" si="1"/>
        <v>0</v>
      </c>
      <c r="P51" s="686" t="e">
        <f>(O51/O112)*100</f>
        <v>#DIV/0!</v>
      </c>
      <c r="Q51" s="676"/>
      <c r="R51" s="677" t="e">
        <f t="shared" si="2"/>
        <v>#DIV/0!</v>
      </c>
      <c r="S51" s="688">
        <v>31050</v>
      </c>
      <c r="U51" s="679">
        <f t="shared" si="3"/>
        <v>0</v>
      </c>
      <c r="V51" s="679">
        <f t="shared" si="4"/>
        <v>0</v>
      </c>
      <c r="W51" s="679">
        <f t="shared" si="5"/>
        <v>0</v>
      </c>
      <c r="X51" s="679">
        <f t="shared" si="6"/>
        <v>0</v>
      </c>
      <c r="Y51" s="679">
        <f t="shared" si="7"/>
        <v>0</v>
      </c>
      <c r="Z51" s="679">
        <f t="shared" si="8"/>
        <v>0</v>
      </c>
      <c r="AA51" s="679">
        <f t="shared" si="9"/>
        <v>0</v>
      </c>
      <c r="AB51" s="679">
        <f t="shared" si="10"/>
        <v>0</v>
      </c>
      <c r="AC51" s="679">
        <f t="shared" si="11"/>
        <v>0</v>
      </c>
      <c r="AD51" s="679">
        <f t="shared" si="12"/>
        <v>0</v>
      </c>
      <c r="AE51" s="610"/>
    </row>
    <row r="52" spans="1:31" ht="24.95" customHeight="1" x14ac:dyDescent="0.2">
      <c r="A52" s="667">
        <v>45</v>
      </c>
      <c r="B52" s="692" t="s">
        <v>485</v>
      </c>
      <c r="C52" s="681" t="s">
        <v>486</v>
      </c>
      <c r="D52" s="682"/>
      <c r="E52" s="683"/>
      <c r="F52" s="682"/>
      <c r="G52" s="683"/>
      <c r="H52" s="682"/>
      <c r="I52" s="683"/>
      <c r="J52" s="682"/>
      <c r="K52" s="683"/>
      <c r="L52" s="682"/>
      <c r="M52" s="684"/>
      <c r="N52" s="673">
        <f t="shared" si="0"/>
        <v>0</v>
      </c>
      <c r="O52" s="674">
        <f t="shared" si="1"/>
        <v>0</v>
      </c>
      <c r="P52" s="686" t="e">
        <f>(O52/O112)*100</f>
        <v>#DIV/0!</v>
      </c>
      <c r="Q52" s="676"/>
      <c r="R52" s="677" t="e">
        <f t="shared" si="2"/>
        <v>#DIV/0!</v>
      </c>
      <c r="S52" s="688">
        <v>32400</v>
      </c>
      <c r="U52" s="679">
        <f t="shared" si="3"/>
        <v>0</v>
      </c>
      <c r="V52" s="679">
        <f t="shared" si="4"/>
        <v>0</v>
      </c>
      <c r="W52" s="679">
        <f t="shared" si="5"/>
        <v>0</v>
      </c>
      <c r="X52" s="679">
        <f t="shared" si="6"/>
        <v>0</v>
      </c>
      <c r="Y52" s="679">
        <f t="shared" si="7"/>
        <v>0</v>
      </c>
      <c r="Z52" s="679">
        <f t="shared" si="8"/>
        <v>0</v>
      </c>
      <c r="AA52" s="679">
        <f t="shared" si="9"/>
        <v>0</v>
      </c>
      <c r="AB52" s="679">
        <f t="shared" si="10"/>
        <v>0</v>
      </c>
      <c r="AC52" s="679">
        <f t="shared" si="11"/>
        <v>0</v>
      </c>
      <c r="AD52" s="679">
        <f t="shared" si="12"/>
        <v>0</v>
      </c>
      <c r="AE52" s="610"/>
    </row>
    <row r="53" spans="1:31" ht="24.95" customHeight="1" x14ac:dyDescent="0.2">
      <c r="A53" s="667">
        <v>46</v>
      </c>
      <c r="B53" s="692" t="s">
        <v>487</v>
      </c>
      <c r="C53" s="681" t="s">
        <v>488</v>
      </c>
      <c r="D53" s="682"/>
      <c r="E53" s="683"/>
      <c r="F53" s="682"/>
      <c r="G53" s="683"/>
      <c r="H53" s="682"/>
      <c r="I53" s="683"/>
      <c r="J53" s="682"/>
      <c r="K53" s="683"/>
      <c r="L53" s="682"/>
      <c r="M53" s="684"/>
      <c r="N53" s="673">
        <f t="shared" si="0"/>
        <v>0</v>
      </c>
      <c r="O53" s="674">
        <f t="shared" si="1"/>
        <v>0</v>
      </c>
      <c r="P53" s="686" t="e">
        <f>(O53/O112)*100</f>
        <v>#DIV/0!</v>
      </c>
      <c r="Q53" s="676"/>
      <c r="R53" s="677" t="e">
        <f t="shared" si="2"/>
        <v>#DIV/0!</v>
      </c>
      <c r="S53" s="689">
        <v>24300</v>
      </c>
      <c r="U53" s="679">
        <f t="shared" si="3"/>
        <v>0</v>
      </c>
      <c r="V53" s="679">
        <f t="shared" si="4"/>
        <v>0</v>
      </c>
      <c r="W53" s="679">
        <f t="shared" si="5"/>
        <v>0</v>
      </c>
      <c r="X53" s="679">
        <f t="shared" si="6"/>
        <v>0</v>
      </c>
      <c r="Y53" s="679">
        <f t="shared" si="7"/>
        <v>0</v>
      </c>
      <c r="Z53" s="679">
        <f t="shared" si="8"/>
        <v>0</v>
      </c>
      <c r="AA53" s="679">
        <f t="shared" si="9"/>
        <v>0</v>
      </c>
      <c r="AB53" s="679">
        <f t="shared" si="10"/>
        <v>0</v>
      </c>
      <c r="AC53" s="679">
        <f t="shared" si="11"/>
        <v>0</v>
      </c>
      <c r="AD53" s="679">
        <f t="shared" si="12"/>
        <v>0</v>
      </c>
      <c r="AE53" s="610"/>
    </row>
    <row r="54" spans="1:31" ht="24.95" customHeight="1" x14ac:dyDescent="0.2">
      <c r="A54" s="667">
        <v>47</v>
      </c>
      <c r="B54" s="692"/>
      <c r="C54" s="680" t="s">
        <v>489</v>
      </c>
      <c r="D54" s="682"/>
      <c r="E54" s="683"/>
      <c r="F54" s="682"/>
      <c r="G54" s="683"/>
      <c r="H54" s="682"/>
      <c r="I54" s="683"/>
      <c r="J54" s="682"/>
      <c r="K54" s="683"/>
      <c r="L54" s="682"/>
      <c r="M54" s="684"/>
      <c r="N54" s="673">
        <f t="shared" si="0"/>
        <v>0</v>
      </c>
      <c r="O54" s="674">
        <f t="shared" si="1"/>
        <v>0</v>
      </c>
      <c r="P54" s="686" t="e">
        <f>(O54/O112)*100</f>
        <v>#DIV/0!</v>
      </c>
      <c r="Q54" s="676"/>
      <c r="R54" s="677" t="e">
        <f t="shared" si="2"/>
        <v>#DIV/0!</v>
      </c>
      <c r="S54" s="689">
        <v>32400</v>
      </c>
      <c r="U54" s="679">
        <f t="shared" si="3"/>
        <v>0</v>
      </c>
      <c r="V54" s="679">
        <f t="shared" si="4"/>
        <v>0</v>
      </c>
      <c r="W54" s="679">
        <f t="shared" si="5"/>
        <v>0</v>
      </c>
      <c r="X54" s="679">
        <f t="shared" si="6"/>
        <v>0</v>
      </c>
      <c r="Y54" s="679">
        <f t="shared" si="7"/>
        <v>0</v>
      </c>
      <c r="Z54" s="679">
        <f t="shared" si="8"/>
        <v>0</v>
      </c>
      <c r="AA54" s="679">
        <f t="shared" si="9"/>
        <v>0</v>
      </c>
      <c r="AB54" s="679">
        <f t="shared" si="10"/>
        <v>0</v>
      </c>
      <c r="AC54" s="679">
        <f t="shared" si="11"/>
        <v>0</v>
      </c>
      <c r="AD54" s="679">
        <f t="shared" si="12"/>
        <v>0</v>
      </c>
      <c r="AE54" s="610"/>
    </row>
    <row r="55" spans="1:31" ht="24.95" customHeight="1" x14ac:dyDescent="0.2">
      <c r="A55" s="667">
        <v>48</v>
      </c>
      <c r="B55" s="692" t="s">
        <v>490</v>
      </c>
      <c r="C55" s="681"/>
      <c r="D55" s="682"/>
      <c r="E55" s="683"/>
      <c r="F55" s="682"/>
      <c r="G55" s="683"/>
      <c r="H55" s="682"/>
      <c r="I55" s="683"/>
      <c r="J55" s="682"/>
      <c r="K55" s="683"/>
      <c r="L55" s="682"/>
      <c r="M55" s="684"/>
      <c r="N55" s="673"/>
      <c r="O55" s="674">
        <f t="shared" si="1"/>
        <v>0</v>
      </c>
      <c r="P55" s="686" t="e">
        <f>(O55/O112)*100</f>
        <v>#DIV/0!</v>
      </c>
      <c r="Q55" s="676"/>
      <c r="R55" s="677" t="e">
        <f t="shared" si="2"/>
        <v>#DIV/0!</v>
      </c>
      <c r="S55" s="688"/>
      <c r="U55" s="679">
        <f t="shared" si="3"/>
        <v>0</v>
      </c>
      <c r="V55" s="679">
        <f t="shared" si="4"/>
        <v>0</v>
      </c>
      <c r="W55" s="679">
        <f t="shared" si="5"/>
        <v>0</v>
      </c>
      <c r="X55" s="679">
        <f t="shared" si="6"/>
        <v>0</v>
      </c>
      <c r="Y55" s="679">
        <f t="shared" si="7"/>
        <v>0</v>
      </c>
      <c r="Z55" s="679">
        <f t="shared" si="8"/>
        <v>0</v>
      </c>
      <c r="AA55" s="679">
        <f t="shared" si="9"/>
        <v>0</v>
      </c>
      <c r="AB55" s="679">
        <f t="shared" si="10"/>
        <v>0</v>
      </c>
      <c r="AC55" s="679">
        <f t="shared" si="11"/>
        <v>0</v>
      </c>
      <c r="AD55" s="679">
        <f t="shared" si="12"/>
        <v>0</v>
      </c>
      <c r="AE55" s="610"/>
    </row>
    <row r="56" spans="1:31" ht="24.95" customHeight="1" x14ac:dyDescent="0.2">
      <c r="A56" s="667">
        <v>49</v>
      </c>
      <c r="B56" s="692" t="s">
        <v>491</v>
      </c>
      <c r="C56" s="681" t="s">
        <v>492</v>
      </c>
      <c r="D56" s="682"/>
      <c r="E56" s="683"/>
      <c r="F56" s="682"/>
      <c r="G56" s="683"/>
      <c r="H56" s="682"/>
      <c r="I56" s="683"/>
      <c r="J56" s="682"/>
      <c r="K56" s="683"/>
      <c r="L56" s="682"/>
      <c r="M56" s="684"/>
      <c r="N56" s="673">
        <f t="shared" si="0"/>
        <v>0</v>
      </c>
      <c r="O56" s="674">
        <f t="shared" si="1"/>
        <v>0</v>
      </c>
      <c r="P56" s="686" t="e">
        <f>(O56/O112)*100</f>
        <v>#DIV/0!</v>
      </c>
      <c r="Q56" s="676"/>
      <c r="R56" s="677" t="e">
        <f t="shared" si="2"/>
        <v>#DIV/0!</v>
      </c>
      <c r="S56" s="688">
        <v>15525.000000000002</v>
      </c>
      <c r="U56" s="679">
        <f t="shared" si="3"/>
        <v>0</v>
      </c>
      <c r="V56" s="679">
        <f t="shared" si="4"/>
        <v>0</v>
      </c>
      <c r="W56" s="679">
        <f t="shared" si="5"/>
        <v>0</v>
      </c>
      <c r="X56" s="679">
        <f t="shared" si="6"/>
        <v>0</v>
      </c>
      <c r="Y56" s="679">
        <f t="shared" si="7"/>
        <v>0</v>
      </c>
      <c r="Z56" s="679">
        <f t="shared" si="8"/>
        <v>0</v>
      </c>
      <c r="AA56" s="679">
        <f t="shared" si="9"/>
        <v>0</v>
      </c>
      <c r="AB56" s="679">
        <f t="shared" si="10"/>
        <v>0</v>
      </c>
      <c r="AC56" s="679">
        <f t="shared" si="11"/>
        <v>0</v>
      </c>
      <c r="AD56" s="679">
        <f t="shared" si="12"/>
        <v>0</v>
      </c>
      <c r="AE56" s="610"/>
    </row>
    <row r="57" spans="1:31" ht="24.95" customHeight="1" x14ac:dyDescent="0.2">
      <c r="A57" s="667">
        <v>50</v>
      </c>
      <c r="B57" s="692" t="s">
        <v>493</v>
      </c>
      <c r="C57" s="681" t="s">
        <v>494</v>
      </c>
      <c r="D57" s="682"/>
      <c r="E57" s="683"/>
      <c r="F57" s="682"/>
      <c r="G57" s="683"/>
      <c r="H57" s="682"/>
      <c r="I57" s="683"/>
      <c r="J57" s="682"/>
      <c r="K57" s="683"/>
      <c r="L57" s="682"/>
      <c r="M57" s="684"/>
      <c r="N57" s="673">
        <f t="shared" si="0"/>
        <v>0</v>
      </c>
      <c r="O57" s="674">
        <f t="shared" si="1"/>
        <v>0</v>
      </c>
      <c r="P57" s="686" t="e">
        <f>(O57/O112)*100</f>
        <v>#DIV/0!</v>
      </c>
      <c r="Q57" s="676"/>
      <c r="R57" s="677" t="e">
        <f t="shared" si="2"/>
        <v>#DIV/0!</v>
      </c>
      <c r="S57" s="688">
        <v>17550</v>
      </c>
      <c r="U57" s="679">
        <f t="shared" si="3"/>
        <v>0</v>
      </c>
      <c r="V57" s="679">
        <f t="shared" si="4"/>
        <v>0</v>
      </c>
      <c r="W57" s="679">
        <f t="shared" si="5"/>
        <v>0</v>
      </c>
      <c r="X57" s="679">
        <f t="shared" si="6"/>
        <v>0</v>
      </c>
      <c r="Y57" s="679">
        <f t="shared" si="7"/>
        <v>0</v>
      </c>
      <c r="Z57" s="679">
        <f t="shared" si="8"/>
        <v>0</v>
      </c>
      <c r="AA57" s="679">
        <f t="shared" si="9"/>
        <v>0</v>
      </c>
      <c r="AB57" s="679">
        <f t="shared" si="10"/>
        <v>0</v>
      </c>
      <c r="AC57" s="679">
        <f t="shared" si="11"/>
        <v>0</v>
      </c>
      <c r="AD57" s="679">
        <f t="shared" si="12"/>
        <v>0</v>
      </c>
      <c r="AE57" s="610"/>
    </row>
    <row r="58" spans="1:31" ht="24.95" customHeight="1" x14ac:dyDescent="0.2">
      <c r="A58" s="667">
        <v>51</v>
      </c>
      <c r="B58" s="692" t="s">
        <v>495</v>
      </c>
      <c r="C58" s="681" t="s">
        <v>496</v>
      </c>
      <c r="D58" s="682"/>
      <c r="E58" s="683"/>
      <c r="F58" s="682"/>
      <c r="G58" s="683"/>
      <c r="H58" s="682"/>
      <c r="I58" s="683"/>
      <c r="J58" s="682"/>
      <c r="K58" s="683"/>
      <c r="L58" s="682"/>
      <c r="M58" s="684"/>
      <c r="N58" s="673">
        <f t="shared" si="0"/>
        <v>0</v>
      </c>
      <c r="O58" s="674">
        <f t="shared" si="1"/>
        <v>0</v>
      </c>
      <c r="P58" s="686" t="e">
        <f>(O58/O112)*100</f>
        <v>#DIV/0!</v>
      </c>
      <c r="Q58" s="676"/>
      <c r="R58" s="677" t="e">
        <f t="shared" si="2"/>
        <v>#DIV/0!</v>
      </c>
      <c r="S58" s="688">
        <v>21600</v>
      </c>
      <c r="U58" s="679">
        <f t="shared" si="3"/>
        <v>0</v>
      </c>
      <c r="V58" s="679">
        <f t="shared" si="4"/>
        <v>0</v>
      </c>
      <c r="W58" s="679">
        <f t="shared" si="5"/>
        <v>0</v>
      </c>
      <c r="X58" s="679">
        <f t="shared" si="6"/>
        <v>0</v>
      </c>
      <c r="Y58" s="679">
        <f t="shared" si="7"/>
        <v>0</v>
      </c>
      <c r="Z58" s="679">
        <f t="shared" si="8"/>
        <v>0</v>
      </c>
      <c r="AA58" s="679">
        <f t="shared" si="9"/>
        <v>0</v>
      </c>
      <c r="AB58" s="679">
        <f t="shared" si="10"/>
        <v>0</v>
      </c>
      <c r="AC58" s="679">
        <f t="shared" si="11"/>
        <v>0</v>
      </c>
      <c r="AD58" s="679">
        <f t="shared" si="12"/>
        <v>0</v>
      </c>
      <c r="AE58" s="610"/>
    </row>
    <row r="59" spans="1:31" ht="24.95" customHeight="1" x14ac:dyDescent="0.2">
      <c r="A59" s="667">
        <v>52</v>
      </c>
      <c r="B59" s="692" t="s">
        <v>497</v>
      </c>
      <c r="C59" s="681"/>
      <c r="D59" s="682"/>
      <c r="E59" s="683"/>
      <c r="F59" s="682"/>
      <c r="G59" s="683"/>
      <c r="H59" s="682"/>
      <c r="I59" s="683"/>
      <c r="J59" s="682"/>
      <c r="K59" s="683"/>
      <c r="L59" s="682"/>
      <c r="M59" s="684"/>
      <c r="N59" s="673"/>
      <c r="O59" s="674">
        <f t="shared" si="1"/>
        <v>0</v>
      </c>
      <c r="P59" s="686" t="e">
        <f>(O59/O112)*100</f>
        <v>#DIV/0!</v>
      </c>
      <c r="Q59" s="676"/>
      <c r="R59" s="677" t="e">
        <f t="shared" si="2"/>
        <v>#DIV/0!</v>
      </c>
      <c r="S59" s="688"/>
      <c r="U59" s="679">
        <f t="shared" si="3"/>
        <v>0</v>
      </c>
      <c r="V59" s="679">
        <f t="shared" si="4"/>
        <v>0</v>
      </c>
      <c r="W59" s="679">
        <f t="shared" si="5"/>
        <v>0</v>
      </c>
      <c r="X59" s="679">
        <f t="shared" si="6"/>
        <v>0</v>
      </c>
      <c r="Y59" s="679">
        <f t="shared" si="7"/>
        <v>0</v>
      </c>
      <c r="Z59" s="679">
        <f t="shared" si="8"/>
        <v>0</v>
      </c>
      <c r="AA59" s="679">
        <f t="shared" si="9"/>
        <v>0</v>
      </c>
      <c r="AB59" s="679">
        <f t="shared" si="10"/>
        <v>0</v>
      </c>
      <c r="AC59" s="679">
        <f t="shared" si="11"/>
        <v>0</v>
      </c>
      <c r="AD59" s="679">
        <f t="shared" si="12"/>
        <v>0</v>
      </c>
      <c r="AE59" s="610"/>
    </row>
    <row r="60" spans="1:31" ht="24.95" customHeight="1" x14ac:dyDescent="0.2">
      <c r="A60" s="667">
        <v>53</v>
      </c>
      <c r="B60" s="692" t="s">
        <v>498</v>
      </c>
      <c r="C60" s="681" t="s">
        <v>499</v>
      </c>
      <c r="D60" s="682"/>
      <c r="E60" s="683"/>
      <c r="F60" s="682"/>
      <c r="G60" s="683"/>
      <c r="H60" s="682"/>
      <c r="I60" s="683"/>
      <c r="J60" s="682"/>
      <c r="K60" s="683"/>
      <c r="L60" s="682"/>
      <c r="M60" s="684"/>
      <c r="N60" s="673">
        <f t="shared" si="0"/>
        <v>0</v>
      </c>
      <c r="O60" s="674">
        <f t="shared" si="1"/>
        <v>0</v>
      </c>
      <c r="P60" s="686" t="e">
        <f>(O60/O112)*100</f>
        <v>#DIV/0!</v>
      </c>
      <c r="Q60" s="676"/>
      <c r="R60" s="677" t="e">
        <f t="shared" si="2"/>
        <v>#DIV/0!</v>
      </c>
      <c r="S60" s="688">
        <v>101250</v>
      </c>
      <c r="U60" s="679">
        <f t="shared" si="3"/>
        <v>0</v>
      </c>
      <c r="V60" s="679">
        <f t="shared" si="4"/>
        <v>0</v>
      </c>
      <c r="W60" s="679">
        <f t="shared" si="5"/>
        <v>0</v>
      </c>
      <c r="X60" s="679">
        <f t="shared" si="6"/>
        <v>0</v>
      </c>
      <c r="Y60" s="679">
        <f t="shared" si="7"/>
        <v>0</v>
      </c>
      <c r="Z60" s="679">
        <f t="shared" si="8"/>
        <v>0</v>
      </c>
      <c r="AA60" s="679">
        <f t="shared" si="9"/>
        <v>0</v>
      </c>
      <c r="AB60" s="679">
        <f t="shared" si="10"/>
        <v>0</v>
      </c>
      <c r="AC60" s="679">
        <f t="shared" si="11"/>
        <v>0</v>
      </c>
      <c r="AD60" s="679">
        <f t="shared" si="12"/>
        <v>0</v>
      </c>
      <c r="AE60" s="610"/>
    </row>
    <row r="61" spans="1:31" ht="24.95" customHeight="1" x14ac:dyDescent="0.2">
      <c r="A61" s="667">
        <v>54</v>
      </c>
      <c r="B61" s="692" t="s">
        <v>500</v>
      </c>
      <c r="C61" s="681" t="s">
        <v>501</v>
      </c>
      <c r="D61" s="682"/>
      <c r="E61" s="683"/>
      <c r="F61" s="682"/>
      <c r="G61" s="683"/>
      <c r="H61" s="682"/>
      <c r="I61" s="683"/>
      <c r="J61" s="682"/>
      <c r="K61" s="683"/>
      <c r="L61" s="682"/>
      <c r="M61" s="684"/>
      <c r="N61" s="673">
        <f t="shared" si="0"/>
        <v>0</v>
      </c>
      <c r="O61" s="674">
        <f t="shared" si="1"/>
        <v>0</v>
      </c>
      <c r="P61" s="686" t="e">
        <f>(O61/O112)*100</f>
        <v>#DIV/0!</v>
      </c>
      <c r="Q61" s="676"/>
      <c r="R61" s="677" t="e">
        <f t="shared" si="2"/>
        <v>#DIV/0!</v>
      </c>
      <c r="S61" s="689">
        <v>114750.00000000001</v>
      </c>
      <c r="U61" s="679">
        <f t="shared" si="3"/>
        <v>0</v>
      </c>
      <c r="V61" s="679">
        <f t="shared" si="4"/>
        <v>0</v>
      </c>
      <c r="W61" s="679">
        <f t="shared" si="5"/>
        <v>0</v>
      </c>
      <c r="X61" s="679">
        <f t="shared" si="6"/>
        <v>0</v>
      </c>
      <c r="Y61" s="679">
        <f t="shared" si="7"/>
        <v>0</v>
      </c>
      <c r="Z61" s="679">
        <f t="shared" si="8"/>
        <v>0</v>
      </c>
      <c r="AA61" s="679">
        <f t="shared" si="9"/>
        <v>0</v>
      </c>
      <c r="AB61" s="679">
        <f t="shared" si="10"/>
        <v>0</v>
      </c>
      <c r="AC61" s="679">
        <f t="shared" si="11"/>
        <v>0</v>
      </c>
      <c r="AD61" s="679">
        <f t="shared" si="12"/>
        <v>0</v>
      </c>
      <c r="AE61" s="610"/>
    </row>
    <row r="62" spans="1:31" ht="24.95" customHeight="1" x14ac:dyDescent="0.2">
      <c r="A62" s="667">
        <v>55</v>
      </c>
      <c r="B62" s="692"/>
      <c r="C62" s="680" t="s">
        <v>502</v>
      </c>
      <c r="D62" s="682"/>
      <c r="E62" s="683"/>
      <c r="F62" s="682"/>
      <c r="G62" s="683"/>
      <c r="H62" s="682"/>
      <c r="I62" s="683"/>
      <c r="J62" s="682"/>
      <c r="K62" s="683"/>
      <c r="L62" s="682"/>
      <c r="M62" s="684"/>
      <c r="N62" s="673">
        <f t="shared" si="0"/>
        <v>0</v>
      </c>
      <c r="O62" s="674">
        <f t="shared" si="1"/>
        <v>0</v>
      </c>
      <c r="P62" s="686" t="e">
        <f>(O62/O112)*100</f>
        <v>#DIV/0!</v>
      </c>
      <c r="Q62" s="676"/>
      <c r="R62" s="677" t="e">
        <f t="shared" si="2"/>
        <v>#DIV/0!</v>
      </c>
      <c r="S62" s="689">
        <v>121500.00000000001</v>
      </c>
      <c r="U62" s="679">
        <f t="shared" si="3"/>
        <v>0</v>
      </c>
      <c r="V62" s="679">
        <f t="shared" si="4"/>
        <v>0</v>
      </c>
      <c r="W62" s="679">
        <f t="shared" si="5"/>
        <v>0</v>
      </c>
      <c r="X62" s="679">
        <f t="shared" si="6"/>
        <v>0</v>
      </c>
      <c r="Y62" s="679">
        <f t="shared" si="7"/>
        <v>0</v>
      </c>
      <c r="Z62" s="679">
        <f t="shared" si="8"/>
        <v>0</v>
      </c>
      <c r="AA62" s="679">
        <f t="shared" si="9"/>
        <v>0</v>
      </c>
      <c r="AB62" s="679">
        <f t="shared" si="10"/>
        <v>0</v>
      </c>
      <c r="AC62" s="679">
        <f t="shared" si="11"/>
        <v>0</v>
      </c>
      <c r="AD62" s="679">
        <f t="shared" si="12"/>
        <v>0</v>
      </c>
      <c r="AE62" s="610"/>
    </row>
    <row r="63" spans="1:31" ht="24.95" customHeight="1" x14ac:dyDescent="0.2">
      <c r="A63" s="667">
        <v>56</v>
      </c>
      <c r="B63" s="692" t="s">
        <v>503</v>
      </c>
      <c r="C63" s="681" t="s">
        <v>504</v>
      </c>
      <c r="D63" s="682"/>
      <c r="E63" s="683"/>
      <c r="F63" s="682"/>
      <c r="G63" s="683"/>
      <c r="H63" s="682"/>
      <c r="I63" s="683"/>
      <c r="J63" s="682"/>
      <c r="K63" s="683"/>
      <c r="L63" s="682"/>
      <c r="M63" s="684"/>
      <c r="N63" s="673">
        <f t="shared" si="0"/>
        <v>0</v>
      </c>
      <c r="O63" s="674">
        <f t="shared" si="1"/>
        <v>0</v>
      </c>
      <c r="P63" s="686" t="e">
        <f>(O63/O112)*100</f>
        <v>#DIV/0!</v>
      </c>
      <c r="Q63" s="676"/>
      <c r="R63" s="677" t="e">
        <f t="shared" si="2"/>
        <v>#DIV/0!</v>
      </c>
      <c r="S63" s="693">
        <v>135000</v>
      </c>
      <c r="U63" s="679">
        <f t="shared" si="3"/>
        <v>0</v>
      </c>
      <c r="V63" s="679">
        <f t="shared" si="4"/>
        <v>0</v>
      </c>
      <c r="W63" s="679">
        <f t="shared" si="5"/>
        <v>0</v>
      </c>
      <c r="X63" s="679">
        <f t="shared" si="6"/>
        <v>0</v>
      </c>
      <c r="Y63" s="679">
        <f t="shared" si="7"/>
        <v>0</v>
      </c>
      <c r="Z63" s="679">
        <f t="shared" si="8"/>
        <v>0</v>
      </c>
      <c r="AA63" s="679">
        <f t="shared" si="9"/>
        <v>0</v>
      </c>
      <c r="AB63" s="679">
        <f t="shared" si="10"/>
        <v>0</v>
      </c>
      <c r="AC63" s="679">
        <f t="shared" si="11"/>
        <v>0</v>
      </c>
      <c r="AD63" s="679">
        <f t="shared" si="12"/>
        <v>0</v>
      </c>
      <c r="AE63" s="610"/>
    </row>
    <row r="64" spans="1:31" ht="24.95" customHeight="1" x14ac:dyDescent="0.2">
      <c r="A64" s="667">
        <v>57</v>
      </c>
      <c r="B64" s="692" t="s">
        <v>505</v>
      </c>
      <c r="C64" s="681"/>
      <c r="D64" s="682"/>
      <c r="E64" s="683"/>
      <c r="F64" s="682"/>
      <c r="G64" s="683"/>
      <c r="H64" s="682"/>
      <c r="I64" s="683"/>
      <c r="J64" s="682"/>
      <c r="K64" s="683"/>
      <c r="L64" s="682"/>
      <c r="M64" s="684"/>
      <c r="N64" s="673"/>
      <c r="O64" s="674">
        <f t="shared" si="1"/>
        <v>0</v>
      </c>
      <c r="P64" s="686" t="e">
        <f>(O64/O112)*100</f>
        <v>#DIV/0!</v>
      </c>
      <c r="Q64" s="676"/>
      <c r="R64" s="677" t="e">
        <f t="shared" si="2"/>
        <v>#DIV/0!</v>
      </c>
      <c r="S64" s="688"/>
      <c r="U64" s="679">
        <f t="shared" si="3"/>
        <v>0</v>
      </c>
      <c r="V64" s="679">
        <f t="shared" si="4"/>
        <v>0</v>
      </c>
      <c r="W64" s="679">
        <f t="shared" si="5"/>
        <v>0</v>
      </c>
      <c r="X64" s="679">
        <f t="shared" si="6"/>
        <v>0</v>
      </c>
      <c r="Y64" s="679">
        <f t="shared" si="7"/>
        <v>0</v>
      </c>
      <c r="Z64" s="679">
        <f t="shared" si="8"/>
        <v>0</v>
      </c>
      <c r="AA64" s="679">
        <f t="shared" si="9"/>
        <v>0</v>
      </c>
      <c r="AB64" s="679">
        <f t="shared" si="10"/>
        <v>0</v>
      </c>
      <c r="AC64" s="679">
        <f t="shared" si="11"/>
        <v>0</v>
      </c>
      <c r="AD64" s="679">
        <f t="shared" si="12"/>
        <v>0</v>
      </c>
      <c r="AE64" s="610"/>
    </row>
    <row r="65" spans="1:33" ht="24.95" customHeight="1" x14ac:dyDescent="0.2">
      <c r="A65" s="667">
        <v>58</v>
      </c>
      <c r="B65" s="692" t="s">
        <v>506</v>
      </c>
      <c r="C65" s="681" t="s">
        <v>507</v>
      </c>
      <c r="D65" s="682"/>
      <c r="E65" s="683"/>
      <c r="F65" s="682"/>
      <c r="G65" s="683"/>
      <c r="H65" s="682"/>
      <c r="I65" s="683"/>
      <c r="J65" s="682"/>
      <c r="K65" s="683"/>
      <c r="L65" s="682"/>
      <c r="M65" s="684"/>
      <c r="N65" s="673">
        <f t="shared" si="0"/>
        <v>0</v>
      </c>
      <c r="O65" s="674">
        <f t="shared" si="1"/>
        <v>0</v>
      </c>
      <c r="P65" s="686" t="e">
        <f>(O65/O112)*100</f>
        <v>#DIV/0!</v>
      </c>
      <c r="Q65" s="676"/>
      <c r="R65" s="677" t="e">
        <f t="shared" si="2"/>
        <v>#DIV/0!</v>
      </c>
      <c r="S65" s="688">
        <v>14850.000000000002</v>
      </c>
      <c r="U65" s="679">
        <f t="shared" si="3"/>
        <v>0</v>
      </c>
      <c r="V65" s="679">
        <f t="shared" si="4"/>
        <v>0</v>
      </c>
      <c r="W65" s="679">
        <f t="shared" si="5"/>
        <v>0</v>
      </c>
      <c r="X65" s="679">
        <f t="shared" si="6"/>
        <v>0</v>
      </c>
      <c r="Y65" s="679">
        <f t="shared" si="7"/>
        <v>0</v>
      </c>
      <c r="Z65" s="679">
        <f t="shared" si="8"/>
        <v>0</v>
      </c>
      <c r="AA65" s="679">
        <f t="shared" si="9"/>
        <v>0</v>
      </c>
      <c r="AB65" s="679">
        <f t="shared" si="10"/>
        <v>0</v>
      </c>
      <c r="AC65" s="679">
        <f t="shared" si="11"/>
        <v>0</v>
      </c>
      <c r="AD65" s="679">
        <f t="shared" si="12"/>
        <v>0</v>
      </c>
      <c r="AE65" s="610"/>
    </row>
    <row r="66" spans="1:33" ht="24.95" customHeight="1" x14ac:dyDescent="0.2">
      <c r="A66" s="667">
        <v>59</v>
      </c>
      <c r="B66" s="692"/>
      <c r="C66" s="681" t="s">
        <v>508</v>
      </c>
      <c r="D66" s="682"/>
      <c r="E66" s="683"/>
      <c r="F66" s="682"/>
      <c r="G66" s="683"/>
      <c r="H66" s="682"/>
      <c r="I66" s="683"/>
      <c r="J66" s="682"/>
      <c r="K66" s="683"/>
      <c r="L66" s="682"/>
      <c r="M66" s="684"/>
      <c r="N66" s="673">
        <f t="shared" si="0"/>
        <v>0</v>
      </c>
      <c r="O66" s="674">
        <f t="shared" si="1"/>
        <v>0</v>
      </c>
      <c r="P66" s="686" t="e">
        <f>(O66/O112)*100</f>
        <v>#DIV/0!</v>
      </c>
      <c r="Q66" s="676"/>
      <c r="R66" s="677" t="e">
        <f t="shared" si="2"/>
        <v>#DIV/0!</v>
      </c>
      <c r="S66" s="688">
        <v>16200.000000000002</v>
      </c>
      <c r="U66" s="679">
        <f t="shared" si="3"/>
        <v>0</v>
      </c>
      <c r="V66" s="679">
        <f t="shared" si="4"/>
        <v>0</v>
      </c>
      <c r="W66" s="679">
        <f t="shared" si="5"/>
        <v>0</v>
      </c>
      <c r="X66" s="679">
        <f t="shared" si="6"/>
        <v>0</v>
      </c>
      <c r="Y66" s="679">
        <f t="shared" si="7"/>
        <v>0</v>
      </c>
      <c r="Z66" s="679">
        <f t="shared" si="8"/>
        <v>0</v>
      </c>
      <c r="AA66" s="679">
        <f t="shared" si="9"/>
        <v>0</v>
      </c>
      <c r="AB66" s="679">
        <f t="shared" si="10"/>
        <v>0</v>
      </c>
      <c r="AC66" s="679">
        <f t="shared" si="11"/>
        <v>0</v>
      </c>
      <c r="AD66" s="679">
        <f t="shared" si="12"/>
        <v>0</v>
      </c>
      <c r="AE66" s="610"/>
    </row>
    <row r="67" spans="1:33" ht="24.95" customHeight="1" x14ac:dyDescent="0.2">
      <c r="A67" s="667">
        <v>60</v>
      </c>
      <c r="B67" s="692"/>
      <c r="C67" s="681" t="s">
        <v>509</v>
      </c>
      <c r="D67" s="682"/>
      <c r="E67" s="683"/>
      <c r="F67" s="682"/>
      <c r="G67" s="683"/>
      <c r="H67" s="682"/>
      <c r="I67" s="683"/>
      <c r="J67" s="682"/>
      <c r="K67" s="683"/>
      <c r="L67" s="682"/>
      <c r="M67" s="684"/>
      <c r="N67" s="673">
        <f t="shared" si="0"/>
        <v>0</v>
      </c>
      <c r="O67" s="674">
        <f t="shared" si="1"/>
        <v>0</v>
      </c>
      <c r="P67" s="686" t="e">
        <f>(O67/O112)*100</f>
        <v>#DIV/0!</v>
      </c>
      <c r="Q67" s="676"/>
      <c r="R67" s="677" t="e">
        <f t="shared" si="2"/>
        <v>#DIV/0!</v>
      </c>
      <c r="S67" s="693">
        <v>17550</v>
      </c>
      <c r="U67" s="679">
        <f t="shared" si="3"/>
        <v>0</v>
      </c>
      <c r="V67" s="679">
        <f t="shared" si="4"/>
        <v>0</v>
      </c>
      <c r="W67" s="679">
        <f t="shared" si="5"/>
        <v>0</v>
      </c>
      <c r="X67" s="679">
        <f t="shared" si="6"/>
        <v>0</v>
      </c>
      <c r="Y67" s="679">
        <f t="shared" si="7"/>
        <v>0</v>
      </c>
      <c r="Z67" s="679">
        <f t="shared" si="8"/>
        <v>0</v>
      </c>
      <c r="AA67" s="679">
        <f t="shared" si="9"/>
        <v>0</v>
      </c>
      <c r="AB67" s="679">
        <f t="shared" si="10"/>
        <v>0</v>
      </c>
      <c r="AC67" s="679">
        <f t="shared" si="11"/>
        <v>0</v>
      </c>
      <c r="AD67" s="679">
        <f t="shared" si="12"/>
        <v>0</v>
      </c>
      <c r="AE67" s="610"/>
    </row>
    <row r="68" spans="1:33" ht="24.95" customHeight="1" x14ac:dyDescent="0.2">
      <c r="A68" s="667">
        <v>61</v>
      </c>
      <c r="B68" s="692"/>
      <c r="C68" s="681" t="s">
        <v>510</v>
      </c>
      <c r="D68" s="682"/>
      <c r="E68" s="683"/>
      <c r="F68" s="682"/>
      <c r="G68" s="683"/>
      <c r="H68" s="682"/>
      <c r="I68" s="683"/>
      <c r="J68" s="682"/>
      <c r="K68" s="683"/>
      <c r="L68" s="682"/>
      <c r="M68" s="684"/>
      <c r="N68" s="673">
        <f t="shared" si="0"/>
        <v>0</v>
      </c>
      <c r="O68" s="674">
        <f t="shared" si="1"/>
        <v>0</v>
      </c>
      <c r="P68" s="686" t="e">
        <f>(O68/O112)*100</f>
        <v>#DIV/0!</v>
      </c>
      <c r="Q68" s="676"/>
      <c r="R68" s="677" t="e">
        <f t="shared" si="2"/>
        <v>#DIV/0!</v>
      </c>
      <c r="S68" s="695">
        <v>20250</v>
      </c>
      <c r="U68" s="679">
        <f t="shared" si="3"/>
        <v>0</v>
      </c>
      <c r="V68" s="679">
        <f t="shared" si="4"/>
        <v>0</v>
      </c>
      <c r="W68" s="679">
        <f t="shared" si="5"/>
        <v>0</v>
      </c>
      <c r="X68" s="679">
        <f t="shared" si="6"/>
        <v>0</v>
      </c>
      <c r="Y68" s="679">
        <f t="shared" si="7"/>
        <v>0</v>
      </c>
      <c r="Z68" s="679">
        <f t="shared" si="8"/>
        <v>0</v>
      </c>
      <c r="AA68" s="679">
        <f t="shared" si="9"/>
        <v>0</v>
      </c>
      <c r="AB68" s="679">
        <f t="shared" si="10"/>
        <v>0</v>
      </c>
      <c r="AC68" s="679">
        <f t="shared" si="11"/>
        <v>0</v>
      </c>
      <c r="AD68" s="679">
        <f t="shared" si="12"/>
        <v>0</v>
      </c>
      <c r="AE68" s="610"/>
    </row>
    <row r="69" spans="1:33" ht="24.95" customHeight="1" thickBot="1" x14ac:dyDescent="0.25">
      <c r="A69" s="667">
        <v>62</v>
      </c>
      <c r="B69" s="696"/>
      <c r="C69" s="697"/>
      <c r="D69" s="698"/>
      <c r="E69" s="699"/>
      <c r="F69" s="698"/>
      <c r="G69" s="699"/>
      <c r="H69" s="698"/>
      <c r="I69" s="699"/>
      <c r="J69" s="698"/>
      <c r="K69" s="699"/>
      <c r="L69" s="698"/>
      <c r="M69" s="700"/>
      <c r="N69" s="701"/>
      <c r="O69" s="702">
        <f t="shared" si="1"/>
        <v>0</v>
      </c>
      <c r="P69" s="703" t="e">
        <f>(O69/O112)*100</f>
        <v>#DIV/0!</v>
      </c>
      <c r="Q69" s="1113"/>
      <c r="R69" s="1114" t="e">
        <f t="shared" si="2"/>
        <v>#DIV/0!</v>
      </c>
      <c r="S69" s="705"/>
      <c r="U69" s="679">
        <f t="shared" si="3"/>
        <v>0</v>
      </c>
      <c r="V69" s="679">
        <f t="shared" si="4"/>
        <v>0</v>
      </c>
      <c r="W69" s="679">
        <f t="shared" si="5"/>
        <v>0</v>
      </c>
      <c r="X69" s="679">
        <f t="shared" si="6"/>
        <v>0</v>
      </c>
      <c r="Y69" s="679">
        <f t="shared" si="7"/>
        <v>0</v>
      </c>
      <c r="Z69" s="679">
        <f t="shared" si="8"/>
        <v>0</v>
      </c>
      <c r="AA69" s="679">
        <f t="shared" si="9"/>
        <v>0</v>
      </c>
      <c r="AB69" s="679">
        <f t="shared" si="10"/>
        <v>0</v>
      </c>
      <c r="AC69" s="679">
        <f t="shared" si="11"/>
        <v>0</v>
      </c>
      <c r="AD69" s="679">
        <f t="shared" si="12"/>
        <v>0</v>
      </c>
      <c r="AE69" s="610"/>
      <c r="AF69" s="1458"/>
      <c r="AG69" s="1458"/>
    </row>
    <row r="70" spans="1:33" ht="24.95" customHeight="1" x14ac:dyDescent="0.2">
      <c r="A70" s="667">
        <v>63</v>
      </c>
      <c r="B70" s="706"/>
      <c r="C70" s="706" t="s">
        <v>847</v>
      </c>
      <c r="D70" s="670"/>
      <c r="E70" s="671"/>
      <c r="F70" s="670"/>
      <c r="G70" s="671"/>
      <c r="H70" s="670"/>
      <c r="I70" s="671"/>
      <c r="J70" s="670"/>
      <c r="K70" s="671"/>
      <c r="L70" s="670"/>
      <c r="M70" s="672"/>
      <c r="N70" s="673">
        <f t="shared" si="0"/>
        <v>0</v>
      </c>
      <c r="O70" s="674">
        <f t="shared" si="1"/>
        <v>0</v>
      </c>
      <c r="P70" s="675" t="e">
        <f>(O70/O112)*100</f>
        <v>#DIV/0!</v>
      </c>
      <c r="Q70" s="694"/>
      <c r="R70" s="675" t="e">
        <f t="shared" si="2"/>
        <v>#DIV/0!</v>
      </c>
      <c r="S70" s="708">
        <v>10800</v>
      </c>
      <c r="U70" s="679">
        <f t="shared" si="3"/>
        <v>0</v>
      </c>
      <c r="V70" s="679">
        <f t="shared" si="4"/>
        <v>0</v>
      </c>
      <c r="W70" s="679">
        <f t="shared" si="5"/>
        <v>0</v>
      </c>
      <c r="X70" s="679">
        <f t="shared" si="6"/>
        <v>0</v>
      </c>
      <c r="Y70" s="679">
        <f t="shared" si="7"/>
        <v>0</v>
      </c>
      <c r="Z70" s="679">
        <f t="shared" si="8"/>
        <v>0</v>
      </c>
      <c r="AA70" s="679">
        <f t="shared" si="9"/>
        <v>0</v>
      </c>
      <c r="AB70" s="679">
        <f t="shared" si="10"/>
        <v>0</v>
      </c>
      <c r="AC70" s="679">
        <f t="shared" si="11"/>
        <v>0</v>
      </c>
      <c r="AD70" s="679">
        <f t="shared" si="12"/>
        <v>0</v>
      </c>
      <c r="AE70" s="610"/>
    </row>
    <row r="71" spans="1:33" ht="24.95" customHeight="1" x14ac:dyDescent="0.2">
      <c r="A71" s="667">
        <v>64</v>
      </c>
      <c r="B71" s="692"/>
      <c r="C71" s="709" t="s">
        <v>848</v>
      </c>
      <c r="D71" s="682"/>
      <c r="E71" s="683"/>
      <c r="F71" s="682"/>
      <c r="G71" s="683"/>
      <c r="H71" s="682"/>
      <c r="I71" s="683"/>
      <c r="J71" s="682"/>
      <c r="K71" s="683"/>
      <c r="L71" s="682"/>
      <c r="M71" s="684"/>
      <c r="N71" s="673">
        <f t="shared" si="0"/>
        <v>0</v>
      </c>
      <c r="O71" s="674">
        <f t="shared" si="1"/>
        <v>0</v>
      </c>
      <c r="P71" s="686" t="e">
        <f>(O71/O112)*100</f>
        <v>#DIV/0!</v>
      </c>
      <c r="Q71" s="690"/>
      <c r="R71" s="677" t="e">
        <f t="shared" si="2"/>
        <v>#DIV/0!</v>
      </c>
      <c r="S71" s="695">
        <v>16200.000000000002</v>
      </c>
      <c r="U71" s="679">
        <f t="shared" si="3"/>
        <v>0</v>
      </c>
      <c r="V71" s="679">
        <f t="shared" si="4"/>
        <v>0</v>
      </c>
      <c r="W71" s="679">
        <f t="shared" si="5"/>
        <v>0</v>
      </c>
      <c r="X71" s="679">
        <f t="shared" si="6"/>
        <v>0</v>
      </c>
      <c r="Y71" s="679">
        <f t="shared" si="7"/>
        <v>0</v>
      </c>
      <c r="Z71" s="679">
        <f t="shared" si="8"/>
        <v>0</v>
      </c>
      <c r="AA71" s="679">
        <f t="shared" si="9"/>
        <v>0</v>
      </c>
      <c r="AB71" s="679">
        <f t="shared" si="10"/>
        <v>0</v>
      </c>
      <c r="AC71" s="679">
        <f t="shared" si="11"/>
        <v>0</v>
      </c>
      <c r="AD71" s="679">
        <f t="shared" si="12"/>
        <v>0</v>
      </c>
      <c r="AE71" s="610"/>
    </row>
    <row r="72" spans="1:33" ht="24.95" customHeight="1" x14ac:dyDescent="0.2">
      <c r="A72" s="667">
        <v>65</v>
      </c>
      <c r="B72" s="692"/>
      <c r="C72" s="709" t="s">
        <v>849</v>
      </c>
      <c r="D72" s="682"/>
      <c r="E72" s="683"/>
      <c r="F72" s="682"/>
      <c r="G72" s="683"/>
      <c r="H72" s="682"/>
      <c r="I72" s="683"/>
      <c r="J72" s="682"/>
      <c r="K72" s="683"/>
      <c r="L72" s="682"/>
      <c r="M72" s="684"/>
      <c r="N72" s="673">
        <f t="shared" si="0"/>
        <v>0</v>
      </c>
      <c r="O72" s="674">
        <f t="shared" si="1"/>
        <v>0</v>
      </c>
      <c r="P72" s="686" t="e">
        <f>(O72/O112)*100</f>
        <v>#DIV/0!</v>
      </c>
      <c r="Q72" s="690"/>
      <c r="R72" s="677" t="e">
        <f t="shared" si="2"/>
        <v>#DIV/0!</v>
      </c>
      <c r="S72" s="695">
        <v>20250</v>
      </c>
      <c r="U72" s="679">
        <f t="shared" si="3"/>
        <v>0</v>
      </c>
      <c r="V72" s="679">
        <f t="shared" si="4"/>
        <v>0</v>
      </c>
      <c r="W72" s="679">
        <f t="shared" si="5"/>
        <v>0</v>
      </c>
      <c r="X72" s="679">
        <f t="shared" si="6"/>
        <v>0</v>
      </c>
      <c r="Y72" s="679">
        <f t="shared" si="7"/>
        <v>0</v>
      </c>
      <c r="Z72" s="679">
        <f t="shared" si="8"/>
        <v>0</v>
      </c>
      <c r="AA72" s="679">
        <f t="shared" si="9"/>
        <v>0</v>
      </c>
      <c r="AB72" s="679">
        <f t="shared" si="10"/>
        <v>0</v>
      </c>
      <c r="AC72" s="679">
        <f t="shared" si="11"/>
        <v>0</v>
      </c>
      <c r="AD72" s="679">
        <f t="shared" si="12"/>
        <v>0</v>
      </c>
      <c r="AE72" s="610"/>
    </row>
    <row r="73" spans="1:33" ht="24.95" customHeight="1" x14ac:dyDescent="0.2">
      <c r="A73" s="667">
        <v>66</v>
      </c>
      <c r="B73" s="692"/>
      <c r="C73" s="709"/>
      <c r="D73" s="682"/>
      <c r="E73" s="683"/>
      <c r="F73" s="682"/>
      <c r="G73" s="683"/>
      <c r="H73" s="682"/>
      <c r="I73" s="683"/>
      <c r="J73" s="682"/>
      <c r="K73" s="683"/>
      <c r="L73" s="682"/>
      <c r="M73" s="684"/>
      <c r="N73" s="673">
        <f t="shared" si="0"/>
        <v>0</v>
      </c>
      <c r="O73" s="674">
        <f t="shared" si="1"/>
        <v>0</v>
      </c>
      <c r="P73" s="686" t="e">
        <f>(O73/O112)*100</f>
        <v>#DIV/0!</v>
      </c>
      <c r="Q73" s="690"/>
      <c r="R73" s="677" t="e">
        <f t="shared" si="2"/>
        <v>#DIV/0!</v>
      </c>
      <c r="S73" s="695"/>
      <c r="U73" s="679">
        <f t="shared" si="3"/>
        <v>0</v>
      </c>
      <c r="V73" s="679">
        <f t="shared" si="4"/>
        <v>0</v>
      </c>
      <c r="W73" s="679">
        <f t="shared" si="5"/>
        <v>0</v>
      </c>
      <c r="X73" s="679">
        <f t="shared" si="6"/>
        <v>0</v>
      </c>
      <c r="Y73" s="679">
        <f t="shared" si="7"/>
        <v>0</v>
      </c>
      <c r="Z73" s="679">
        <f t="shared" si="8"/>
        <v>0</v>
      </c>
      <c r="AA73" s="679">
        <f t="shared" si="9"/>
        <v>0</v>
      </c>
      <c r="AB73" s="679">
        <f t="shared" si="10"/>
        <v>0</v>
      </c>
      <c r="AC73" s="679">
        <f t="shared" si="11"/>
        <v>0</v>
      </c>
      <c r="AD73" s="679">
        <f t="shared" si="12"/>
        <v>0</v>
      </c>
      <c r="AE73" s="610"/>
    </row>
    <row r="74" spans="1:33" ht="24.95" customHeight="1" x14ac:dyDescent="0.2">
      <c r="A74" s="667">
        <v>67</v>
      </c>
      <c r="B74" s="692"/>
      <c r="C74" s="709" t="s">
        <v>444</v>
      </c>
      <c r="D74" s="682"/>
      <c r="E74" s="683"/>
      <c r="F74" s="682"/>
      <c r="G74" s="683"/>
      <c r="H74" s="682"/>
      <c r="I74" s="683"/>
      <c r="J74" s="682"/>
      <c r="K74" s="683"/>
      <c r="L74" s="682"/>
      <c r="M74" s="684"/>
      <c r="N74" s="673">
        <f t="shared" si="0"/>
        <v>0</v>
      </c>
      <c r="O74" s="674">
        <f t="shared" si="1"/>
        <v>0</v>
      </c>
      <c r="P74" s="686" t="e">
        <f>(O74/O112)*100</f>
        <v>#DIV/0!</v>
      </c>
      <c r="Q74" s="690"/>
      <c r="R74" s="677" t="e">
        <f t="shared" si="2"/>
        <v>#DIV/0!</v>
      </c>
      <c r="S74" s="688">
        <v>6750</v>
      </c>
      <c r="U74" s="679">
        <f t="shared" si="3"/>
        <v>0</v>
      </c>
      <c r="V74" s="679">
        <f t="shared" si="4"/>
        <v>0</v>
      </c>
      <c r="W74" s="679">
        <f t="shared" si="5"/>
        <v>0</v>
      </c>
      <c r="X74" s="679">
        <f t="shared" si="6"/>
        <v>0</v>
      </c>
      <c r="Y74" s="679">
        <f t="shared" si="7"/>
        <v>0</v>
      </c>
      <c r="Z74" s="679">
        <f t="shared" si="8"/>
        <v>0</v>
      </c>
      <c r="AA74" s="679">
        <f t="shared" si="9"/>
        <v>0</v>
      </c>
      <c r="AB74" s="679">
        <f t="shared" si="10"/>
        <v>0</v>
      </c>
      <c r="AC74" s="679">
        <f t="shared" si="11"/>
        <v>0</v>
      </c>
      <c r="AD74" s="679">
        <f t="shared" si="12"/>
        <v>0</v>
      </c>
      <c r="AE74" s="610"/>
    </row>
    <row r="75" spans="1:33" ht="24.95" customHeight="1" x14ac:dyDescent="0.2">
      <c r="A75" s="667">
        <v>68</v>
      </c>
      <c r="B75" s="692"/>
      <c r="C75" s="709"/>
      <c r="D75" s="682"/>
      <c r="E75" s="683"/>
      <c r="F75" s="682"/>
      <c r="G75" s="683"/>
      <c r="H75" s="682"/>
      <c r="I75" s="683"/>
      <c r="J75" s="682"/>
      <c r="K75" s="683"/>
      <c r="L75" s="682"/>
      <c r="M75" s="684"/>
      <c r="N75" s="673">
        <f t="shared" si="0"/>
        <v>0</v>
      </c>
      <c r="O75" s="674">
        <f t="shared" si="1"/>
        <v>0</v>
      </c>
      <c r="P75" s="686" t="e">
        <f>(O75/O112)*100</f>
        <v>#DIV/0!</v>
      </c>
      <c r="Q75" s="690"/>
      <c r="R75" s="677" t="e">
        <f t="shared" si="2"/>
        <v>#DIV/0!</v>
      </c>
      <c r="S75" s="688"/>
      <c r="U75" s="679">
        <f t="shared" si="3"/>
        <v>0</v>
      </c>
      <c r="V75" s="679">
        <f t="shared" si="4"/>
        <v>0</v>
      </c>
      <c r="W75" s="679">
        <f t="shared" si="5"/>
        <v>0</v>
      </c>
      <c r="X75" s="679">
        <f t="shared" si="6"/>
        <v>0</v>
      </c>
      <c r="Y75" s="679">
        <f t="shared" si="7"/>
        <v>0</v>
      </c>
      <c r="Z75" s="679">
        <f t="shared" si="8"/>
        <v>0</v>
      </c>
      <c r="AA75" s="679">
        <f t="shared" si="9"/>
        <v>0</v>
      </c>
      <c r="AB75" s="679">
        <f t="shared" si="10"/>
        <v>0</v>
      </c>
      <c r="AC75" s="679">
        <f t="shared" si="11"/>
        <v>0</v>
      </c>
      <c r="AD75" s="679">
        <f t="shared" si="12"/>
        <v>0</v>
      </c>
      <c r="AE75" s="610"/>
    </row>
    <row r="76" spans="1:33" ht="24.95" customHeight="1" x14ac:dyDescent="0.2">
      <c r="A76" s="667">
        <v>69</v>
      </c>
      <c r="B76" s="692"/>
      <c r="C76" s="709" t="s">
        <v>979</v>
      </c>
      <c r="D76" s="682"/>
      <c r="E76" s="683"/>
      <c r="F76" s="682"/>
      <c r="G76" s="683"/>
      <c r="H76" s="682"/>
      <c r="I76" s="683"/>
      <c r="J76" s="682"/>
      <c r="K76" s="683"/>
      <c r="L76" s="682"/>
      <c r="M76" s="684"/>
      <c r="N76" s="673">
        <f t="shared" si="0"/>
        <v>0</v>
      </c>
      <c r="O76" s="674">
        <f t="shared" si="1"/>
        <v>0</v>
      </c>
      <c r="P76" s="686" t="e">
        <f>(O76/O112)*100</f>
        <v>#DIV/0!</v>
      </c>
      <c r="Q76" s="690"/>
      <c r="R76" s="677" t="e">
        <f t="shared" si="2"/>
        <v>#DIV/0!</v>
      </c>
      <c r="S76" s="688">
        <v>31050</v>
      </c>
      <c r="U76" s="679">
        <f t="shared" ref="U76:U82" si="15">D76*S76</f>
        <v>0</v>
      </c>
      <c r="V76" s="679">
        <f t="shared" ref="V76:V82" si="16">E76*S76</f>
        <v>0</v>
      </c>
      <c r="W76" s="679">
        <f t="shared" ref="W76:W82" si="17">F76*S76</f>
        <v>0</v>
      </c>
      <c r="X76" s="679">
        <f t="shared" ref="X76:X82" si="18">G76*S76</f>
        <v>0</v>
      </c>
      <c r="Y76" s="679">
        <f t="shared" ref="Y76:Y82" si="19">H76*S76</f>
        <v>0</v>
      </c>
      <c r="Z76" s="679">
        <f t="shared" ref="Z76:Z82" si="20">I76*S76</f>
        <v>0</v>
      </c>
      <c r="AA76" s="679">
        <f t="shared" ref="AA76:AA82" si="21">J76*S76</f>
        <v>0</v>
      </c>
      <c r="AB76" s="679">
        <f t="shared" ref="AB76:AB82" si="22">K76*S76</f>
        <v>0</v>
      </c>
      <c r="AC76" s="679">
        <f t="shared" ref="AC76:AC82" si="23">L76*S76</f>
        <v>0</v>
      </c>
      <c r="AD76" s="679">
        <f t="shared" ref="AD76:AD82" si="24">M76*S76</f>
        <v>0</v>
      </c>
      <c r="AE76" s="610"/>
    </row>
    <row r="77" spans="1:33" ht="24.95" customHeight="1" x14ac:dyDescent="0.2">
      <c r="A77" s="667">
        <v>70</v>
      </c>
      <c r="B77" s="692"/>
      <c r="C77" s="709" t="s">
        <v>980</v>
      </c>
      <c r="D77" s="682"/>
      <c r="E77" s="683"/>
      <c r="F77" s="682"/>
      <c r="G77" s="683"/>
      <c r="H77" s="682"/>
      <c r="I77" s="683"/>
      <c r="J77" s="682"/>
      <c r="K77" s="683"/>
      <c r="L77" s="682"/>
      <c r="M77" s="684"/>
      <c r="N77" s="673">
        <f t="shared" si="0"/>
        <v>0</v>
      </c>
      <c r="O77" s="674">
        <f t="shared" si="1"/>
        <v>0</v>
      </c>
      <c r="P77" s="686" t="e">
        <f>(O77/O112)*100</f>
        <v>#DIV/0!</v>
      </c>
      <c r="Q77" s="690"/>
      <c r="R77" s="677" t="e">
        <f t="shared" si="2"/>
        <v>#DIV/0!</v>
      </c>
      <c r="S77" s="688">
        <v>28350.000000000004</v>
      </c>
      <c r="U77" s="679">
        <f t="shared" si="15"/>
        <v>0</v>
      </c>
      <c r="V77" s="679">
        <f t="shared" si="16"/>
        <v>0</v>
      </c>
      <c r="W77" s="679">
        <f t="shared" si="17"/>
        <v>0</v>
      </c>
      <c r="X77" s="679">
        <f t="shared" si="18"/>
        <v>0</v>
      </c>
      <c r="Y77" s="679">
        <f t="shared" si="19"/>
        <v>0</v>
      </c>
      <c r="Z77" s="679">
        <f t="shared" si="20"/>
        <v>0</v>
      </c>
      <c r="AA77" s="679">
        <f t="shared" si="21"/>
        <v>0</v>
      </c>
      <c r="AB77" s="679">
        <f t="shared" si="22"/>
        <v>0</v>
      </c>
      <c r="AC77" s="679">
        <f t="shared" si="23"/>
        <v>0</v>
      </c>
      <c r="AD77" s="679">
        <f t="shared" si="24"/>
        <v>0</v>
      </c>
      <c r="AE77" s="610"/>
    </row>
    <row r="78" spans="1:33" ht="24.95" customHeight="1" x14ac:dyDescent="0.2">
      <c r="A78" s="667">
        <v>71</v>
      </c>
      <c r="B78" s="692"/>
      <c r="C78" s="709"/>
      <c r="D78" s="682"/>
      <c r="E78" s="683"/>
      <c r="F78" s="682"/>
      <c r="G78" s="683"/>
      <c r="H78" s="682"/>
      <c r="I78" s="683"/>
      <c r="J78" s="682"/>
      <c r="K78" s="683"/>
      <c r="L78" s="682"/>
      <c r="M78" s="684"/>
      <c r="N78" s="673">
        <f t="shared" si="0"/>
        <v>0</v>
      </c>
      <c r="O78" s="674">
        <f t="shared" si="1"/>
        <v>0</v>
      </c>
      <c r="P78" s="686" t="e">
        <f>(O78/O112)*100</f>
        <v>#DIV/0!</v>
      </c>
      <c r="Q78" s="690"/>
      <c r="R78" s="677" t="e">
        <f t="shared" si="2"/>
        <v>#DIV/0!</v>
      </c>
      <c r="S78" s="688"/>
      <c r="U78" s="679">
        <f t="shared" si="15"/>
        <v>0</v>
      </c>
      <c r="V78" s="679">
        <f t="shared" si="16"/>
        <v>0</v>
      </c>
      <c r="W78" s="679">
        <f t="shared" si="17"/>
        <v>0</v>
      </c>
      <c r="X78" s="679">
        <f t="shared" si="18"/>
        <v>0</v>
      </c>
      <c r="Y78" s="679">
        <f t="shared" si="19"/>
        <v>0</v>
      </c>
      <c r="Z78" s="679">
        <f t="shared" si="20"/>
        <v>0</v>
      </c>
      <c r="AA78" s="679">
        <f t="shared" si="21"/>
        <v>0</v>
      </c>
      <c r="AB78" s="679">
        <f t="shared" si="22"/>
        <v>0</v>
      </c>
      <c r="AC78" s="679">
        <f t="shared" si="23"/>
        <v>0</v>
      </c>
      <c r="AD78" s="679">
        <f t="shared" si="24"/>
        <v>0</v>
      </c>
      <c r="AE78" s="610"/>
    </row>
    <row r="79" spans="1:33" ht="24.95" customHeight="1" x14ac:dyDescent="0.2">
      <c r="A79" s="667">
        <v>72</v>
      </c>
      <c r="B79" s="692"/>
      <c r="C79" s="709" t="s">
        <v>985</v>
      </c>
      <c r="D79" s="682"/>
      <c r="E79" s="683"/>
      <c r="F79" s="682"/>
      <c r="G79" s="683"/>
      <c r="H79" s="682"/>
      <c r="I79" s="683"/>
      <c r="J79" s="682"/>
      <c r="K79" s="683"/>
      <c r="L79" s="682"/>
      <c r="M79" s="684"/>
      <c r="N79" s="673">
        <f>SUM(D79:M79)</f>
        <v>0</v>
      </c>
      <c r="O79" s="674">
        <f t="shared" ref="O79:O82" si="25">N79*S79</f>
        <v>0</v>
      </c>
      <c r="P79" s="686" t="e">
        <f>(O79/O112)*100</f>
        <v>#DIV/0!</v>
      </c>
      <c r="Q79" s="690"/>
      <c r="R79" s="677" t="e">
        <f>P79*Q79</f>
        <v>#DIV/0!</v>
      </c>
      <c r="S79" s="688">
        <v>16200</v>
      </c>
      <c r="U79" s="679">
        <f t="shared" si="15"/>
        <v>0</v>
      </c>
      <c r="V79" s="679">
        <f t="shared" si="16"/>
        <v>0</v>
      </c>
      <c r="W79" s="679">
        <f t="shared" si="17"/>
        <v>0</v>
      </c>
      <c r="X79" s="679">
        <f t="shared" si="18"/>
        <v>0</v>
      </c>
      <c r="Y79" s="679">
        <f t="shared" si="19"/>
        <v>0</v>
      </c>
      <c r="Z79" s="679">
        <f t="shared" si="20"/>
        <v>0</v>
      </c>
      <c r="AA79" s="679">
        <f t="shared" si="21"/>
        <v>0</v>
      </c>
      <c r="AB79" s="679">
        <f t="shared" si="22"/>
        <v>0</v>
      </c>
      <c r="AC79" s="679">
        <f t="shared" si="23"/>
        <v>0</v>
      </c>
      <c r="AD79" s="679">
        <f t="shared" si="24"/>
        <v>0</v>
      </c>
      <c r="AE79" s="610"/>
    </row>
    <row r="80" spans="1:33" ht="24.95" customHeight="1" x14ac:dyDescent="0.2">
      <c r="A80" s="667">
        <v>73</v>
      </c>
      <c r="B80" s="692"/>
      <c r="C80" s="709" t="s">
        <v>986</v>
      </c>
      <c r="D80" s="682"/>
      <c r="E80" s="710"/>
      <c r="F80" s="687"/>
      <c r="G80" s="710"/>
      <c r="H80" s="687"/>
      <c r="I80" s="710"/>
      <c r="J80" s="687"/>
      <c r="K80" s="710"/>
      <c r="L80" s="687"/>
      <c r="M80" s="711"/>
      <c r="N80" s="712">
        <f>SUM(D80:M80)</f>
        <v>0</v>
      </c>
      <c r="O80" s="674">
        <f t="shared" si="25"/>
        <v>0</v>
      </c>
      <c r="P80" s="686" t="e">
        <f>(O80/O112)*100</f>
        <v>#DIV/0!</v>
      </c>
      <c r="Q80" s="694"/>
      <c r="R80" s="677" t="e">
        <f>P80*Q80</f>
        <v>#DIV/0!</v>
      </c>
      <c r="S80" s="713">
        <v>20250</v>
      </c>
      <c r="U80" s="679">
        <f t="shared" si="15"/>
        <v>0</v>
      </c>
      <c r="V80" s="679">
        <f t="shared" si="16"/>
        <v>0</v>
      </c>
      <c r="W80" s="679">
        <f t="shared" si="17"/>
        <v>0</v>
      </c>
      <c r="X80" s="679">
        <f t="shared" si="18"/>
        <v>0</v>
      </c>
      <c r="Y80" s="679">
        <f t="shared" si="19"/>
        <v>0</v>
      </c>
      <c r="Z80" s="679">
        <f t="shared" si="20"/>
        <v>0</v>
      </c>
      <c r="AA80" s="679">
        <f t="shared" si="21"/>
        <v>0</v>
      </c>
      <c r="AB80" s="679">
        <f t="shared" si="22"/>
        <v>0</v>
      </c>
      <c r="AC80" s="679">
        <f t="shared" si="23"/>
        <v>0</v>
      </c>
      <c r="AD80" s="679">
        <f t="shared" si="24"/>
        <v>0</v>
      </c>
      <c r="AE80" s="610"/>
    </row>
    <row r="81" spans="1:31" ht="24.95" customHeight="1" x14ac:dyDescent="0.2">
      <c r="A81" s="667">
        <v>74</v>
      </c>
      <c r="B81" s="706"/>
      <c r="C81" s="714"/>
      <c r="D81" s="670"/>
      <c r="E81" s="683"/>
      <c r="F81" s="682"/>
      <c r="G81" s="683"/>
      <c r="H81" s="682"/>
      <c r="I81" s="683"/>
      <c r="J81" s="682"/>
      <c r="K81" s="683"/>
      <c r="L81" s="682"/>
      <c r="M81" s="684"/>
      <c r="N81" s="715">
        <f>SUM(D81:M81)</f>
        <v>0</v>
      </c>
      <c r="O81" s="674">
        <f t="shared" si="25"/>
        <v>0</v>
      </c>
      <c r="P81" s="686" t="e">
        <f>(O81/O112)*100</f>
        <v>#DIV/0!</v>
      </c>
      <c r="Q81" s="690"/>
      <c r="R81" s="677" t="e">
        <f>P81*Q81</f>
        <v>#DIV/0!</v>
      </c>
      <c r="S81" s="716"/>
      <c r="U81" s="679">
        <f t="shared" si="15"/>
        <v>0</v>
      </c>
      <c r="V81" s="679">
        <f t="shared" si="16"/>
        <v>0</v>
      </c>
      <c r="W81" s="679">
        <f t="shared" si="17"/>
        <v>0</v>
      </c>
      <c r="X81" s="679">
        <f t="shared" si="18"/>
        <v>0</v>
      </c>
      <c r="Y81" s="679">
        <f t="shared" si="19"/>
        <v>0</v>
      </c>
      <c r="Z81" s="679">
        <f t="shared" si="20"/>
        <v>0</v>
      </c>
      <c r="AA81" s="679">
        <f t="shared" si="21"/>
        <v>0</v>
      </c>
      <c r="AB81" s="679">
        <f t="shared" si="22"/>
        <v>0</v>
      </c>
      <c r="AC81" s="679">
        <f t="shared" si="23"/>
        <v>0</v>
      </c>
      <c r="AD81" s="679">
        <f t="shared" si="24"/>
        <v>0</v>
      </c>
      <c r="AE81" s="610"/>
    </row>
    <row r="82" spans="1:31" ht="24.95" customHeight="1" thickBot="1" x14ac:dyDescent="0.25">
      <c r="A82" s="667">
        <v>75</v>
      </c>
      <c r="B82" s="692"/>
      <c r="C82" s="692"/>
      <c r="D82" s="682"/>
      <c r="E82" s="683"/>
      <c r="F82" s="682"/>
      <c r="G82" s="683"/>
      <c r="H82" s="682"/>
      <c r="I82" s="683"/>
      <c r="J82" s="682"/>
      <c r="K82" s="683"/>
      <c r="L82" s="682"/>
      <c r="M82" s="684"/>
      <c r="N82" s="673">
        <f>SUM(D82:M82)</f>
        <v>0</v>
      </c>
      <c r="O82" s="674">
        <f t="shared" si="25"/>
        <v>0</v>
      </c>
      <c r="P82" s="686" t="e">
        <f>(O82/O112)*100</f>
        <v>#DIV/0!</v>
      </c>
      <c r="Q82" s="717"/>
      <c r="R82" s="704" t="e">
        <f>P82*Q82</f>
        <v>#DIV/0!</v>
      </c>
      <c r="S82" s="689"/>
      <c r="U82" s="679">
        <f t="shared" si="15"/>
        <v>0</v>
      </c>
      <c r="V82" s="679">
        <f t="shared" si="16"/>
        <v>0</v>
      </c>
      <c r="W82" s="679">
        <f t="shared" si="17"/>
        <v>0</v>
      </c>
      <c r="X82" s="679">
        <f t="shared" si="18"/>
        <v>0</v>
      </c>
      <c r="Y82" s="679">
        <f t="shared" si="19"/>
        <v>0</v>
      </c>
      <c r="Z82" s="679">
        <f t="shared" si="20"/>
        <v>0</v>
      </c>
      <c r="AA82" s="679">
        <f t="shared" si="21"/>
        <v>0</v>
      </c>
      <c r="AB82" s="679">
        <f t="shared" si="22"/>
        <v>0</v>
      </c>
      <c r="AC82" s="679">
        <f t="shared" si="23"/>
        <v>0</v>
      </c>
      <c r="AD82" s="679">
        <f t="shared" si="24"/>
        <v>0</v>
      </c>
      <c r="AE82" s="610"/>
    </row>
    <row r="83" spans="1:31" ht="99.95" customHeight="1" thickBot="1" x14ac:dyDescent="0.25">
      <c r="A83" s="718"/>
      <c r="B83" s="459" t="s">
        <v>340</v>
      </c>
      <c r="C83" s="719" t="str">
        <f>B83</f>
        <v>TOTAL FOOD</v>
      </c>
      <c r="D83" s="720">
        <f t="shared" ref="D83:M83" si="26">U83</f>
        <v>0</v>
      </c>
      <c r="E83" s="720">
        <f t="shared" si="26"/>
        <v>0</v>
      </c>
      <c r="F83" s="720">
        <f>W83</f>
        <v>0</v>
      </c>
      <c r="G83" s="720">
        <f t="shared" si="26"/>
        <v>0</v>
      </c>
      <c r="H83" s="720">
        <f t="shared" si="26"/>
        <v>0</v>
      </c>
      <c r="I83" s="720">
        <f t="shared" si="26"/>
        <v>0</v>
      </c>
      <c r="J83" s="720">
        <f t="shared" si="26"/>
        <v>0</v>
      </c>
      <c r="K83" s="720">
        <f t="shared" si="26"/>
        <v>0</v>
      </c>
      <c r="L83" s="720">
        <f t="shared" si="26"/>
        <v>0</v>
      </c>
      <c r="M83" s="720">
        <f t="shared" si="26"/>
        <v>0</v>
      </c>
      <c r="N83" s="721"/>
      <c r="O83" s="722">
        <f>SUM(D83:M83)</f>
        <v>0</v>
      </c>
      <c r="P83" s="723" t="e">
        <f>SUM(P8:P82)/100</f>
        <v>#DIV/0!</v>
      </c>
      <c r="Q83" s="724"/>
      <c r="R83" s="725" t="e">
        <f>SUM(R8:R82)/100</f>
        <v>#DIV/0!</v>
      </c>
      <c r="S83" s="726"/>
      <c r="U83" s="727">
        <f t="shared" ref="U83:AD83" si="27">SUM(U8:U82)</f>
        <v>0</v>
      </c>
      <c r="V83" s="727">
        <f t="shared" si="27"/>
        <v>0</v>
      </c>
      <c r="W83" s="727">
        <f t="shared" si="27"/>
        <v>0</v>
      </c>
      <c r="X83" s="727">
        <f t="shared" si="27"/>
        <v>0</v>
      </c>
      <c r="Y83" s="727">
        <f t="shared" si="27"/>
        <v>0</v>
      </c>
      <c r="Z83" s="727">
        <f t="shared" si="27"/>
        <v>0</v>
      </c>
      <c r="AA83" s="727">
        <f t="shared" si="27"/>
        <v>0</v>
      </c>
      <c r="AB83" s="727">
        <f t="shared" si="27"/>
        <v>0</v>
      </c>
      <c r="AC83" s="727">
        <f t="shared" si="27"/>
        <v>0</v>
      </c>
      <c r="AD83" s="727">
        <f t="shared" si="27"/>
        <v>0</v>
      </c>
      <c r="AE83" s="610"/>
    </row>
    <row r="84" spans="1:31" ht="45" customHeight="1" thickBot="1" x14ac:dyDescent="0.25">
      <c r="A84" s="162"/>
      <c r="B84" s="162"/>
      <c r="C84" s="162"/>
      <c r="D84" s="728"/>
      <c r="E84" s="728"/>
      <c r="F84" s="728"/>
      <c r="G84" s="728"/>
      <c r="H84" s="728"/>
      <c r="I84" s="728"/>
      <c r="J84" s="728"/>
      <c r="K84" s="729"/>
      <c r="L84" s="729"/>
      <c r="M84" s="729"/>
      <c r="N84" s="729"/>
      <c r="O84" s="729"/>
      <c r="P84" s="658"/>
      <c r="Q84" s="730"/>
      <c r="R84" s="731"/>
      <c r="S84" s="729"/>
      <c r="U84" s="732"/>
      <c r="V84" s="732"/>
      <c r="W84" s="732"/>
      <c r="X84" s="732"/>
      <c r="Y84" s="732"/>
      <c r="Z84" s="732"/>
      <c r="AA84" s="732"/>
      <c r="AB84" s="610"/>
      <c r="AC84" s="610"/>
      <c r="AD84" s="610"/>
      <c r="AE84" s="610"/>
    </row>
    <row r="85" spans="1:31" ht="45" customHeight="1" thickBot="1" x14ac:dyDescent="0.35">
      <c r="A85" s="459" t="s">
        <v>89</v>
      </c>
      <c r="B85" s="459" t="s">
        <v>511</v>
      </c>
      <c r="C85" s="719" t="str">
        <f>B85</f>
        <v>BEVERAGES</v>
      </c>
      <c r="D85" s="733"/>
      <c r="E85" s="733"/>
      <c r="F85" s="733"/>
      <c r="G85" s="733"/>
      <c r="H85" s="733"/>
      <c r="I85" s="733"/>
      <c r="J85" s="733"/>
      <c r="K85" s="733"/>
      <c r="L85" s="733"/>
      <c r="M85" s="733"/>
      <c r="N85" s="734"/>
      <c r="O85" s="734"/>
      <c r="P85" s="735"/>
      <c r="Q85" s="736"/>
      <c r="R85" s="737"/>
      <c r="S85" s="734"/>
      <c r="U85" s="732"/>
      <c r="V85" s="732"/>
      <c r="W85" s="732"/>
      <c r="X85" s="732"/>
      <c r="Y85" s="732"/>
      <c r="Z85" s="732"/>
      <c r="AA85" s="732"/>
      <c r="AB85" s="732"/>
      <c r="AC85" s="610"/>
      <c r="AD85" s="610"/>
      <c r="AE85" s="610"/>
    </row>
    <row r="86" spans="1:31" ht="24.95" customHeight="1" x14ac:dyDescent="0.3">
      <c r="A86" s="738">
        <v>1</v>
      </c>
      <c r="B86" s="739" t="s">
        <v>512</v>
      </c>
      <c r="C86" s="740" t="str">
        <f>B86</f>
        <v xml:space="preserve">Air Mineral Botol </v>
      </c>
      <c r="D86" s="741"/>
      <c r="E86" s="742"/>
      <c r="F86" s="743"/>
      <c r="G86" s="742"/>
      <c r="H86" s="743"/>
      <c r="I86" s="742"/>
      <c r="J86" s="743"/>
      <c r="K86" s="742"/>
      <c r="L86" s="743"/>
      <c r="M86" s="742"/>
      <c r="N86" s="744">
        <f>SUM(D86:M86)</f>
        <v>0</v>
      </c>
      <c r="O86" s="745">
        <f t="shared" ref="O86:O110" si="28">N86*S86</f>
        <v>0</v>
      </c>
      <c r="P86" s="746" t="e">
        <f>(O86/O112)*100</f>
        <v>#DIV/0!</v>
      </c>
      <c r="Q86" s="747"/>
      <c r="R86" s="707" t="e">
        <f>P86*Q86</f>
        <v>#DIV/0!</v>
      </c>
      <c r="S86" s="741">
        <v>5400</v>
      </c>
      <c r="U86" s="679">
        <f>D86*S86</f>
        <v>0</v>
      </c>
      <c r="V86" s="679">
        <f>E86*S86</f>
        <v>0</v>
      </c>
      <c r="W86" s="679">
        <f>F86*S86</f>
        <v>0</v>
      </c>
      <c r="X86" s="679">
        <f>G86*S86</f>
        <v>0</v>
      </c>
      <c r="Y86" s="679">
        <f>H86*S86</f>
        <v>0</v>
      </c>
      <c r="Z86" s="679">
        <f>I86*S86</f>
        <v>0</v>
      </c>
      <c r="AA86" s="679">
        <f>J86*S86</f>
        <v>0</v>
      </c>
      <c r="AB86" s="748">
        <f>K86*S86</f>
        <v>0</v>
      </c>
      <c r="AC86" s="679">
        <f>L86*S86</f>
        <v>0</v>
      </c>
      <c r="AD86" s="679">
        <f>M86*S86</f>
        <v>0</v>
      </c>
      <c r="AE86" s="610"/>
    </row>
    <row r="87" spans="1:31" ht="24.95" customHeight="1" x14ac:dyDescent="0.3">
      <c r="A87" s="749">
        <v>2</v>
      </c>
      <c r="B87" s="750" t="s">
        <v>513</v>
      </c>
      <c r="C87" s="740" t="str">
        <f>B87</f>
        <v>Air Mineral Cup</v>
      </c>
      <c r="D87" s="741"/>
      <c r="E87" s="742"/>
      <c r="F87" s="743"/>
      <c r="G87" s="742"/>
      <c r="H87" s="743"/>
      <c r="I87" s="742"/>
      <c r="J87" s="743"/>
      <c r="K87" s="742"/>
      <c r="L87" s="743"/>
      <c r="M87" s="742"/>
      <c r="N87" s="744">
        <f t="shared" ref="N87:N110" si="29">SUM(D87:M87)</f>
        <v>0</v>
      </c>
      <c r="O87" s="745">
        <f t="shared" si="28"/>
        <v>0</v>
      </c>
      <c r="P87" s="746" t="e">
        <f>(O87/O112)*100</f>
        <v>#DIV/0!</v>
      </c>
      <c r="Q87" s="747"/>
      <c r="R87" s="677" t="e">
        <f>P87*Q87</f>
        <v>#DIV/0!</v>
      </c>
      <c r="S87" s="752">
        <v>2700</v>
      </c>
      <c r="T87" s="63" t="s">
        <v>112</v>
      </c>
      <c r="U87" s="679">
        <f t="shared" ref="U87:U110" si="30">D87*S87</f>
        <v>0</v>
      </c>
      <c r="V87" s="679">
        <f t="shared" ref="V87:V110" si="31">E87*S87</f>
        <v>0</v>
      </c>
      <c r="W87" s="679">
        <f t="shared" ref="W87:W110" si="32">F87*S87</f>
        <v>0</v>
      </c>
      <c r="X87" s="679">
        <f t="shared" ref="X87:X110" si="33">G87*S87</f>
        <v>0</v>
      </c>
      <c r="Y87" s="679">
        <f t="shared" ref="Y87:Y110" si="34">H87*S87</f>
        <v>0</v>
      </c>
      <c r="Z87" s="679">
        <f t="shared" ref="Z87:Z110" si="35">I87*S87</f>
        <v>0</v>
      </c>
      <c r="AA87" s="679">
        <f t="shared" ref="AA87:AA110" si="36">J87*S87</f>
        <v>0</v>
      </c>
      <c r="AB87" s="679">
        <f t="shared" ref="AB87:AB110" si="37">K87*S87</f>
        <v>0</v>
      </c>
      <c r="AC87" s="679">
        <f t="shared" ref="AC87:AC110" si="38">L87*S87</f>
        <v>0</v>
      </c>
      <c r="AD87" s="679">
        <f t="shared" ref="AD87:AD110" si="39">M87*S87</f>
        <v>0</v>
      </c>
      <c r="AE87" s="610"/>
    </row>
    <row r="88" spans="1:31" ht="24.95" customHeight="1" x14ac:dyDescent="0.3">
      <c r="A88" s="749">
        <v>3</v>
      </c>
      <c r="B88" s="750" t="s">
        <v>514</v>
      </c>
      <c r="C88" s="740" t="str">
        <f>B88</f>
        <v>Teh Botol</v>
      </c>
      <c r="D88" s="741"/>
      <c r="E88" s="742"/>
      <c r="F88" s="743"/>
      <c r="G88" s="742"/>
      <c r="H88" s="743"/>
      <c r="I88" s="742"/>
      <c r="J88" s="743"/>
      <c r="K88" s="742"/>
      <c r="L88" s="743"/>
      <c r="M88" s="742"/>
      <c r="N88" s="744">
        <f t="shared" si="29"/>
        <v>0</v>
      </c>
      <c r="O88" s="745">
        <f t="shared" si="28"/>
        <v>0</v>
      </c>
      <c r="P88" s="746" t="e">
        <f>(O88/O112)*100</f>
        <v>#DIV/0!</v>
      </c>
      <c r="Q88" s="747"/>
      <c r="R88" s="677" t="e">
        <f t="shared" ref="R88:R110" si="40">P88*Q88</f>
        <v>#DIV/0!</v>
      </c>
      <c r="S88" s="753">
        <v>8100.0000000000009</v>
      </c>
      <c r="U88" s="679">
        <f t="shared" si="30"/>
        <v>0</v>
      </c>
      <c r="V88" s="679">
        <f t="shared" si="31"/>
        <v>0</v>
      </c>
      <c r="W88" s="679">
        <f t="shared" si="32"/>
        <v>0</v>
      </c>
      <c r="X88" s="679">
        <f t="shared" si="33"/>
        <v>0</v>
      </c>
      <c r="Y88" s="679">
        <f t="shared" si="34"/>
        <v>0</v>
      </c>
      <c r="Z88" s="679">
        <f t="shared" si="35"/>
        <v>0</v>
      </c>
      <c r="AA88" s="679">
        <f t="shared" si="36"/>
        <v>0</v>
      </c>
      <c r="AB88" s="679">
        <f t="shared" si="37"/>
        <v>0</v>
      </c>
      <c r="AC88" s="679">
        <f t="shared" si="38"/>
        <v>0</v>
      </c>
      <c r="AD88" s="679">
        <f t="shared" si="39"/>
        <v>0</v>
      </c>
      <c r="AE88" s="610"/>
    </row>
    <row r="89" spans="1:31" ht="24.95" customHeight="1" x14ac:dyDescent="0.3">
      <c r="A89" s="749">
        <v>4</v>
      </c>
      <c r="B89" s="750" t="s">
        <v>515</v>
      </c>
      <c r="C89" s="740" t="str">
        <f>B89</f>
        <v>Teh Sosro Genggam</v>
      </c>
      <c r="D89" s="741"/>
      <c r="E89" s="742"/>
      <c r="F89" s="743"/>
      <c r="G89" s="742"/>
      <c r="H89" s="743"/>
      <c r="I89" s="742"/>
      <c r="J89" s="743"/>
      <c r="K89" s="742"/>
      <c r="L89" s="743"/>
      <c r="M89" s="742"/>
      <c r="N89" s="744">
        <f t="shared" si="29"/>
        <v>0</v>
      </c>
      <c r="O89" s="745">
        <f t="shared" si="28"/>
        <v>0</v>
      </c>
      <c r="P89" s="746" t="e">
        <f>(O89/O112)*100</f>
        <v>#DIV/0!</v>
      </c>
      <c r="Q89" s="747"/>
      <c r="R89" s="677" t="e">
        <f t="shared" si="40"/>
        <v>#DIV/0!</v>
      </c>
      <c r="S89" s="753">
        <v>8100</v>
      </c>
      <c r="U89" s="679">
        <f t="shared" si="30"/>
        <v>0</v>
      </c>
      <c r="V89" s="679">
        <f t="shared" si="31"/>
        <v>0</v>
      </c>
      <c r="W89" s="679">
        <f t="shared" si="32"/>
        <v>0</v>
      </c>
      <c r="X89" s="679">
        <f t="shared" si="33"/>
        <v>0</v>
      </c>
      <c r="Y89" s="679">
        <f t="shared" si="34"/>
        <v>0</v>
      </c>
      <c r="Z89" s="679">
        <f t="shared" si="35"/>
        <v>0</v>
      </c>
      <c r="AA89" s="679">
        <f t="shared" si="36"/>
        <v>0</v>
      </c>
      <c r="AB89" s="679">
        <f t="shared" si="37"/>
        <v>0</v>
      </c>
      <c r="AC89" s="679">
        <f t="shared" si="38"/>
        <v>0</v>
      </c>
      <c r="AD89" s="679">
        <f t="shared" si="39"/>
        <v>0</v>
      </c>
      <c r="AE89" s="610"/>
    </row>
    <row r="90" spans="1:31" ht="24.95" customHeight="1" x14ac:dyDescent="0.3">
      <c r="A90" s="749">
        <v>5</v>
      </c>
      <c r="B90" s="750" t="s">
        <v>516</v>
      </c>
      <c r="C90" s="740"/>
      <c r="D90" s="754"/>
      <c r="E90" s="755"/>
      <c r="F90" s="753"/>
      <c r="G90" s="755"/>
      <c r="H90" s="753"/>
      <c r="I90" s="755"/>
      <c r="J90" s="753"/>
      <c r="K90" s="755"/>
      <c r="L90" s="753"/>
      <c r="M90" s="755"/>
      <c r="N90" s="744">
        <f t="shared" si="29"/>
        <v>0</v>
      </c>
      <c r="O90" s="745">
        <f t="shared" si="28"/>
        <v>0</v>
      </c>
      <c r="P90" s="756" t="e">
        <f>(O90/O112)*100</f>
        <v>#DIV/0!</v>
      </c>
      <c r="Q90" s="747"/>
      <c r="R90" s="677" t="e">
        <f t="shared" si="40"/>
        <v>#DIV/0!</v>
      </c>
      <c r="S90" s="743"/>
      <c r="U90" s="679">
        <f t="shared" si="30"/>
        <v>0</v>
      </c>
      <c r="V90" s="679">
        <f t="shared" si="31"/>
        <v>0</v>
      </c>
      <c r="W90" s="679">
        <f t="shared" si="32"/>
        <v>0</v>
      </c>
      <c r="X90" s="679">
        <f t="shared" si="33"/>
        <v>0</v>
      </c>
      <c r="Y90" s="679">
        <f t="shared" si="34"/>
        <v>0</v>
      </c>
      <c r="Z90" s="679">
        <f t="shared" si="35"/>
        <v>0</v>
      </c>
      <c r="AA90" s="679">
        <f t="shared" si="36"/>
        <v>0</v>
      </c>
      <c r="AB90" s="679">
        <f t="shared" si="37"/>
        <v>0</v>
      </c>
      <c r="AC90" s="679">
        <f t="shared" si="38"/>
        <v>0</v>
      </c>
      <c r="AD90" s="679">
        <f t="shared" si="39"/>
        <v>0</v>
      </c>
      <c r="AE90" s="610"/>
    </row>
    <row r="91" spans="1:31" ht="24.95" customHeight="1" x14ac:dyDescent="0.3">
      <c r="A91" s="749">
        <v>6</v>
      </c>
      <c r="B91" s="750" t="s">
        <v>518</v>
      </c>
      <c r="C91" s="740" t="s">
        <v>519</v>
      </c>
      <c r="D91" s="754"/>
      <c r="E91" s="755"/>
      <c r="F91" s="753"/>
      <c r="G91" s="755"/>
      <c r="H91" s="753"/>
      <c r="I91" s="755"/>
      <c r="J91" s="753"/>
      <c r="K91" s="755"/>
      <c r="L91" s="753"/>
      <c r="M91" s="755"/>
      <c r="N91" s="744">
        <f t="shared" si="29"/>
        <v>0</v>
      </c>
      <c r="O91" s="745">
        <f t="shared" si="28"/>
        <v>0</v>
      </c>
      <c r="P91" s="756" t="e">
        <f>(O91/O112)*100</f>
        <v>#DIV/0!</v>
      </c>
      <c r="Q91" s="747"/>
      <c r="R91" s="677" t="e">
        <f t="shared" si="40"/>
        <v>#DIV/0!</v>
      </c>
      <c r="S91" s="743">
        <v>4050.0000000000005</v>
      </c>
      <c r="U91" s="679">
        <f t="shared" si="30"/>
        <v>0</v>
      </c>
      <c r="V91" s="679">
        <f t="shared" si="31"/>
        <v>0</v>
      </c>
      <c r="W91" s="679">
        <f t="shared" si="32"/>
        <v>0</v>
      </c>
      <c r="X91" s="679">
        <f t="shared" si="33"/>
        <v>0</v>
      </c>
      <c r="Y91" s="679">
        <f t="shared" si="34"/>
        <v>0</v>
      </c>
      <c r="Z91" s="679">
        <f t="shared" si="35"/>
        <v>0</v>
      </c>
      <c r="AA91" s="679">
        <f t="shared" si="36"/>
        <v>0</v>
      </c>
      <c r="AB91" s="679">
        <f t="shared" si="37"/>
        <v>0</v>
      </c>
      <c r="AC91" s="679">
        <f t="shared" si="38"/>
        <v>0</v>
      </c>
      <c r="AD91" s="679">
        <f t="shared" si="39"/>
        <v>0</v>
      </c>
      <c r="AE91" s="610"/>
    </row>
    <row r="92" spans="1:31" ht="24.95" customHeight="1" x14ac:dyDescent="0.3">
      <c r="A92" s="749"/>
      <c r="B92" s="750" t="s">
        <v>520</v>
      </c>
      <c r="C92" s="740"/>
      <c r="D92" s="754"/>
      <c r="E92" s="755"/>
      <c r="F92" s="753"/>
      <c r="G92" s="755"/>
      <c r="H92" s="753"/>
      <c r="I92" s="755"/>
      <c r="J92" s="753"/>
      <c r="K92" s="755"/>
      <c r="L92" s="753"/>
      <c r="M92" s="755"/>
      <c r="N92" s="744"/>
      <c r="O92" s="745">
        <f t="shared" si="28"/>
        <v>0</v>
      </c>
      <c r="P92" s="756" t="e">
        <f>(O92/O112)*100</f>
        <v>#DIV/0!</v>
      </c>
      <c r="Q92" s="747"/>
      <c r="R92" s="677" t="e">
        <f t="shared" si="40"/>
        <v>#DIV/0!</v>
      </c>
      <c r="S92" s="757"/>
      <c r="U92" s="679">
        <f t="shared" si="30"/>
        <v>0</v>
      </c>
      <c r="V92" s="679">
        <f t="shared" si="31"/>
        <v>0</v>
      </c>
      <c r="W92" s="679">
        <f t="shared" si="32"/>
        <v>0</v>
      </c>
      <c r="X92" s="679">
        <f t="shared" si="33"/>
        <v>0</v>
      </c>
      <c r="Y92" s="679">
        <f t="shared" si="34"/>
        <v>0</v>
      </c>
      <c r="Z92" s="679">
        <f t="shared" si="35"/>
        <v>0</v>
      </c>
      <c r="AA92" s="679">
        <f t="shared" si="36"/>
        <v>0</v>
      </c>
      <c r="AB92" s="679">
        <f t="shared" si="37"/>
        <v>0</v>
      </c>
      <c r="AC92" s="679">
        <f t="shared" si="38"/>
        <v>0</v>
      </c>
      <c r="AD92" s="679">
        <f t="shared" si="39"/>
        <v>0</v>
      </c>
      <c r="AE92" s="610"/>
    </row>
    <row r="93" spans="1:31" ht="24.95" customHeight="1" x14ac:dyDescent="0.3">
      <c r="A93" s="749">
        <v>7</v>
      </c>
      <c r="B93" s="750" t="s">
        <v>521</v>
      </c>
      <c r="C93" s="740" t="s">
        <v>522</v>
      </c>
      <c r="D93" s="754"/>
      <c r="E93" s="755"/>
      <c r="F93" s="753"/>
      <c r="G93" s="755"/>
      <c r="H93" s="753"/>
      <c r="I93" s="755"/>
      <c r="J93" s="753"/>
      <c r="K93" s="755"/>
      <c r="L93" s="753"/>
      <c r="M93" s="755"/>
      <c r="N93" s="744">
        <f t="shared" si="29"/>
        <v>0</v>
      </c>
      <c r="O93" s="745">
        <f t="shared" si="28"/>
        <v>0</v>
      </c>
      <c r="P93" s="756" t="e">
        <f>(O93/O112)*100</f>
        <v>#DIV/0!</v>
      </c>
      <c r="Q93" s="747"/>
      <c r="R93" s="677" t="e">
        <f t="shared" si="40"/>
        <v>#DIV/0!</v>
      </c>
      <c r="S93" s="753">
        <v>12150</v>
      </c>
      <c r="U93" s="679">
        <f t="shared" si="30"/>
        <v>0</v>
      </c>
      <c r="V93" s="679">
        <f t="shared" si="31"/>
        <v>0</v>
      </c>
      <c r="W93" s="679">
        <f t="shared" si="32"/>
        <v>0</v>
      </c>
      <c r="X93" s="679">
        <f t="shared" si="33"/>
        <v>0</v>
      </c>
      <c r="Y93" s="679">
        <f t="shared" si="34"/>
        <v>0</v>
      </c>
      <c r="Z93" s="679">
        <f t="shared" si="35"/>
        <v>0</v>
      </c>
      <c r="AA93" s="679">
        <f t="shared" si="36"/>
        <v>0</v>
      </c>
      <c r="AB93" s="679">
        <f t="shared" si="37"/>
        <v>0</v>
      </c>
      <c r="AC93" s="679">
        <f t="shared" si="38"/>
        <v>0</v>
      </c>
      <c r="AD93" s="679">
        <f t="shared" si="39"/>
        <v>0</v>
      </c>
      <c r="AE93" s="610"/>
    </row>
    <row r="94" spans="1:31" ht="24.95" customHeight="1" x14ac:dyDescent="0.3">
      <c r="A94" s="749">
        <v>8</v>
      </c>
      <c r="B94" s="750"/>
      <c r="C94" s="739" t="s">
        <v>523</v>
      </c>
      <c r="D94" s="754"/>
      <c r="E94" s="755"/>
      <c r="F94" s="753"/>
      <c r="G94" s="755"/>
      <c r="H94" s="753"/>
      <c r="I94" s="755"/>
      <c r="J94" s="753"/>
      <c r="K94" s="755"/>
      <c r="L94" s="753"/>
      <c r="M94" s="755"/>
      <c r="N94" s="744">
        <f t="shared" si="29"/>
        <v>0</v>
      </c>
      <c r="O94" s="745">
        <f t="shared" si="28"/>
        <v>0</v>
      </c>
      <c r="P94" s="756" t="e">
        <f>(O94/O112)*100</f>
        <v>#DIV/0!</v>
      </c>
      <c r="Q94" s="747"/>
      <c r="R94" s="677" t="e">
        <f t="shared" si="40"/>
        <v>#DIV/0!</v>
      </c>
      <c r="S94" s="753">
        <v>10800</v>
      </c>
      <c r="U94" s="679">
        <f t="shared" si="30"/>
        <v>0</v>
      </c>
      <c r="V94" s="679">
        <f t="shared" si="31"/>
        <v>0</v>
      </c>
      <c r="W94" s="679">
        <f t="shared" si="32"/>
        <v>0</v>
      </c>
      <c r="X94" s="679">
        <f t="shared" si="33"/>
        <v>0</v>
      </c>
      <c r="Y94" s="679">
        <f t="shared" si="34"/>
        <v>0</v>
      </c>
      <c r="Z94" s="679">
        <f t="shared" si="35"/>
        <v>0</v>
      </c>
      <c r="AA94" s="679">
        <f t="shared" si="36"/>
        <v>0</v>
      </c>
      <c r="AB94" s="679">
        <f t="shared" si="37"/>
        <v>0</v>
      </c>
      <c r="AC94" s="679">
        <f t="shared" si="38"/>
        <v>0</v>
      </c>
      <c r="AD94" s="679">
        <f t="shared" si="39"/>
        <v>0</v>
      </c>
      <c r="AE94" s="610"/>
    </row>
    <row r="95" spans="1:31" ht="24.95" customHeight="1" x14ac:dyDescent="0.3">
      <c r="A95" s="749">
        <v>9</v>
      </c>
      <c r="B95" s="750" t="s">
        <v>524</v>
      </c>
      <c r="C95" s="740" t="s">
        <v>525</v>
      </c>
      <c r="D95" s="754"/>
      <c r="E95" s="755"/>
      <c r="F95" s="753"/>
      <c r="G95" s="755"/>
      <c r="H95" s="753"/>
      <c r="I95" s="755"/>
      <c r="J95" s="753"/>
      <c r="K95" s="755"/>
      <c r="L95" s="753"/>
      <c r="M95" s="755"/>
      <c r="N95" s="744">
        <f t="shared" si="29"/>
        <v>0</v>
      </c>
      <c r="O95" s="745">
        <f t="shared" si="28"/>
        <v>0</v>
      </c>
      <c r="P95" s="756" t="e">
        <f>(O95/O112)*100</f>
        <v>#DIV/0!</v>
      </c>
      <c r="Q95" s="747"/>
      <c r="R95" s="677" t="e">
        <f t="shared" si="40"/>
        <v>#DIV/0!</v>
      </c>
      <c r="S95" s="753">
        <v>9450</v>
      </c>
      <c r="U95" s="679">
        <f t="shared" si="30"/>
        <v>0</v>
      </c>
      <c r="V95" s="679">
        <f t="shared" si="31"/>
        <v>0</v>
      </c>
      <c r="W95" s="679">
        <f t="shared" si="32"/>
        <v>0</v>
      </c>
      <c r="X95" s="679">
        <f t="shared" si="33"/>
        <v>0</v>
      </c>
      <c r="Y95" s="679">
        <f t="shared" si="34"/>
        <v>0</v>
      </c>
      <c r="Z95" s="679">
        <f t="shared" si="35"/>
        <v>0</v>
      </c>
      <c r="AA95" s="679">
        <f t="shared" si="36"/>
        <v>0</v>
      </c>
      <c r="AB95" s="679">
        <f t="shared" si="37"/>
        <v>0</v>
      </c>
      <c r="AC95" s="679">
        <f t="shared" si="38"/>
        <v>0</v>
      </c>
      <c r="AD95" s="679">
        <f t="shared" si="39"/>
        <v>0</v>
      </c>
      <c r="AE95" s="610"/>
    </row>
    <row r="96" spans="1:31" ht="24.95" customHeight="1" x14ac:dyDescent="0.3">
      <c r="A96" s="749">
        <v>10</v>
      </c>
      <c r="B96" s="750" t="s">
        <v>526</v>
      </c>
      <c r="C96" s="740" t="s">
        <v>527</v>
      </c>
      <c r="D96" s="754"/>
      <c r="E96" s="755"/>
      <c r="F96" s="753"/>
      <c r="G96" s="755"/>
      <c r="H96" s="753"/>
      <c r="I96" s="755"/>
      <c r="J96" s="753"/>
      <c r="K96" s="755"/>
      <c r="L96" s="753"/>
      <c r="M96" s="755"/>
      <c r="N96" s="744">
        <f t="shared" si="29"/>
        <v>0</v>
      </c>
      <c r="O96" s="745">
        <f t="shared" si="28"/>
        <v>0</v>
      </c>
      <c r="P96" s="756" t="e">
        <f>(O96/O112)*100</f>
        <v>#DIV/0!</v>
      </c>
      <c r="Q96" s="747"/>
      <c r="R96" s="677" t="e">
        <f t="shared" si="40"/>
        <v>#DIV/0!</v>
      </c>
      <c r="S96" s="753">
        <v>12150</v>
      </c>
      <c r="U96" s="679">
        <f t="shared" si="30"/>
        <v>0</v>
      </c>
      <c r="V96" s="679">
        <f t="shared" si="31"/>
        <v>0</v>
      </c>
      <c r="W96" s="679">
        <f t="shared" si="32"/>
        <v>0</v>
      </c>
      <c r="X96" s="679">
        <f t="shared" si="33"/>
        <v>0</v>
      </c>
      <c r="Y96" s="679">
        <f t="shared" si="34"/>
        <v>0</v>
      </c>
      <c r="Z96" s="679">
        <f t="shared" si="35"/>
        <v>0</v>
      </c>
      <c r="AA96" s="679">
        <f t="shared" si="36"/>
        <v>0</v>
      </c>
      <c r="AB96" s="679">
        <f t="shared" si="37"/>
        <v>0</v>
      </c>
      <c r="AC96" s="679">
        <f t="shared" si="38"/>
        <v>0</v>
      </c>
      <c r="AD96" s="679">
        <f t="shared" si="39"/>
        <v>0</v>
      </c>
      <c r="AE96" s="610"/>
    </row>
    <row r="97" spans="1:31" ht="24.95" customHeight="1" x14ac:dyDescent="0.3">
      <c r="A97" s="749">
        <v>11</v>
      </c>
      <c r="B97" s="750" t="s">
        <v>528</v>
      </c>
      <c r="C97" s="740" t="s">
        <v>529</v>
      </c>
      <c r="D97" s="754"/>
      <c r="E97" s="755"/>
      <c r="F97" s="753"/>
      <c r="G97" s="755"/>
      <c r="H97" s="753"/>
      <c r="I97" s="755"/>
      <c r="J97" s="753"/>
      <c r="K97" s="755"/>
      <c r="L97" s="753"/>
      <c r="M97" s="755"/>
      <c r="N97" s="744">
        <f t="shared" si="29"/>
        <v>0</v>
      </c>
      <c r="O97" s="745">
        <f t="shared" si="28"/>
        <v>0</v>
      </c>
      <c r="P97" s="756" t="e">
        <f>(O97/O112)*100</f>
        <v>#DIV/0!</v>
      </c>
      <c r="Q97" s="747"/>
      <c r="R97" s="677" t="e">
        <f t="shared" si="40"/>
        <v>#DIV/0!</v>
      </c>
      <c r="S97" s="753">
        <v>20250</v>
      </c>
      <c r="U97" s="679">
        <f t="shared" si="30"/>
        <v>0</v>
      </c>
      <c r="V97" s="679">
        <f t="shared" si="31"/>
        <v>0</v>
      </c>
      <c r="W97" s="679">
        <f t="shared" si="32"/>
        <v>0</v>
      </c>
      <c r="X97" s="679">
        <f t="shared" si="33"/>
        <v>0</v>
      </c>
      <c r="Y97" s="679">
        <f t="shared" si="34"/>
        <v>0</v>
      </c>
      <c r="Z97" s="679">
        <f t="shared" si="35"/>
        <v>0</v>
      </c>
      <c r="AA97" s="679">
        <f t="shared" si="36"/>
        <v>0</v>
      </c>
      <c r="AB97" s="679">
        <f t="shared" si="37"/>
        <v>0</v>
      </c>
      <c r="AC97" s="679">
        <f t="shared" si="38"/>
        <v>0</v>
      </c>
      <c r="AD97" s="679">
        <f t="shared" si="39"/>
        <v>0</v>
      </c>
      <c r="AE97" s="610"/>
    </row>
    <row r="98" spans="1:31" ht="24.95" customHeight="1" x14ac:dyDescent="0.3">
      <c r="A98" s="749">
        <v>12</v>
      </c>
      <c r="B98" s="750" t="s">
        <v>530</v>
      </c>
      <c r="C98" s="740"/>
      <c r="D98" s="754"/>
      <c r="E98" s="755"/>
      <c r="F98" s="753"/>
      <c r="G98" s="755"/>
      <c r="H98" s="753"/>
      <c r="I98" s="755"/>
      <c r="J98" s="753"/>
      <c r="K98" s="755"/>
      <c r="L98" s="753"/>
      <c r="M98" s="755"/>
      <c r="N98" s="744">
        <f t="shared" si="29"/>
        <v>0</v>
      </c>
      <c r="O98" s="745">
        <f t="shared" si="28"/>
        <v>0</v>
      </c>
      <c r="P98" s="756" t="e">
        <f>(O98/O112)*100</f>
        <v>#DIV/0!</v>
      </c>
      <c r="Q98" s="747"/>
      <c r="R98" s="677" t="e">
        <f t="shared" si="40"/>
        <v>#DIV/0!</v>
      </c>
      <c r="S98" s="753"/>
      <c r="U98" s="679">
        <f t="shared" si="30"/>
        <v>0</v>
      </c>
      <c r="V98" s="679">
        <f t="shared" si="31"/>
        <v>0</v>
      </c>
      <c r="W98" s="679">
        <f t="shared" si="32"/>
        <v>0</v>
      </c>
      <c r="X98" s="679">
        <f t="shared" si="33"/>
        <v>0</v>
      </c>
      <c r="Y98" s="679">
        <f t="shared" si="34"/>
        <v>0</v>
      </c>
      <c r="Z98" s="679">
        <f t="shared" si="35"/>
        <v>0</v>
      </c>
      <c r="AA98" s="679">
        <f t="shared" si="36"/>
        <v>0</v>
      </c>
      <c r="AB98" s="679">
        <f t="shared" si="37"/>
        <v>0</v>
      </c>
      <c r="AC98" s="679">
        <f t="shared" si="38"/>
        <v>0</v>
      </c>
      <c r="AD98" s="679">
        <f t="shared" si="39"/>
        <v>0</v>
      </c>
      <c r="AE98" s="610"/>
    </row>
    <row r="99" spans="1:31" ht="24.95" customHeight="1" x14ac:dyDescent="0.3">
      <c r="A99" s="749">
        <v>13</v>
      </c>
      <c r="B99" s="750" t="s">
        <v>532</v>
      </c>
      <c r="C99" s="740" t="s">
        <v>870</v>
      </c>
      <c r="D99" s="754"/>
      <c r="E99" s="755"/>
      <c r="F99" s="753"/>
      <c r="G99" s="755"/>
      <c r="H99" s="753"/>
      <c r="I99" s="755"/>
      <c r="J99" s="753"/>
      <c r="K99" s="755"/>
      <c r="L99" s="753"/>
      <c r="M99" s="755"/>
      <c r="N99" s="744">
        <f t="shared" si="29"/>
        <v>0</v>
      </c>
      <c r="O99" s="745">
        <f t="shared" si="28"/>
        <v>0</v>
      </c>
      <c r="P99" s="756" t="e">
        <f>(O99/O112)*100</f>
        <v>#DIV/0!</v>
      </c>
      <c r="Q99" s="747"/>
      <c r="R99" s="677" t="e">
        <f t="shared" si="40"/>
        <v>#DIV/0!</v>
      </c>
      <c r="S99" s="753">
        <v>6740</v>
      </c>
      <c r="U99" s="679">
        <f t="shared" si="30"/>
        <v>0</v>
      </c>
      <c r="V99" s="679">
        <f t="shared" si="31"/>
        <v>0</v>
      </c>
      <c r="W99" s="679">
        <f t="shared" si="32"/>
        <v>0</v>
      </c>
      <c r="X99" s="679">
        <f t="shared" si="33"/>
        <v>0</v>
      </c>
      <c r="Y99" s="679">
        <f t="shared" si="34"/>
        <v>0</v>
      </c>
      <c r="Z99" s="679">
        <f t="shared" si="35"/>
        <v>0</v>
      </c>
      <c r="AA99" s="679">
        <f t="shared" si="36"/>
        <v>0</v>
      </c>
      <c r="AB99" s="679">
        <f t="shared" si="37"/>
        <v>0</v>
      </c>
      <c r="AC99" s="679">
        <f t="shared" si="38"/>
        <v>0</v>
      </c>
      <c r="AD99" s="679">
        <f t="shared" si="39"/>
        <v>0</v>
      </c>
      <c r="AE99" s="610"/>
    </row>
    <row r="100" spans="1:31" ht="24.95" customHeight="1" x14ac:dyDescent="0.3">
      <c r="A100" s="749">
        <v>14</v>
      </c>
      <c r="B100" s="750" t="s">
        <v>534</v>
      </c>
      <c r="C100" s="740" t="s">
        <v>984</v>
      </c>
      <c r="D100" s="754"/>
      <c r="E100" s="755"/>
      <c r="F100" s="753"/>
      <c r="G100" s="755"/>
      <c r="H100" s="753"/>
      <c r="I100" s="755"/>
      <c r="J100" s="753"/>
      <c r="K100" s="755"/>
      <c r="L100" s="753"/>
      <c r="M100" s="755"/>
      <c r="N100" s="744">
        <f t="shared" si="29"/>
        <v>0</v>
      </c>
      <c r="O100" s="745">
        <f t="shared" si="28"/>
        <v>0</v>
      </c>
      <c r="P100" s="756" t="e">
        <f>(O100/O112)*100</f>
        <v>#DIV/0!</v>
      </c>
      <c r="Q100" s="747"/>
      <c r="R100" s="677" t="e">
        <f t="shared" si="40"/>
        <v>#DIV/0!</v>
      </c>
      <c r="S100" s="753"/>
      <c r="U100" s="679">
        <f t="shared" si="30"/>
        <v>0</v>
      </c>
      <c r="V100" s="679">
        <f t="shared" si="31"/>
        <v>0</v>
      </c>
      <c r="W100" s="679">
        <f t="shared" si="32"/>
        <v>0</v>
      </c>
      <c r="X100" s="679">
        <f t="shared" si="33"/>
        <v>0</v>
      </c>
      <c r="Y100" s="679">
        <f t="shared" si="34"/>
        <v>0</v>
      </c>
      <c r="Z100" s="679">
        <f t="shared" si="35"/>
        <v>0</v>
      </c>
      <c r="AA100" s="679">
        <f t="shared" si="36"/>
        <v>0</v>
      </c>
      <c r="AB100" s="679">
        <f t="shared" si="37"/>
        <v>0</v>
      </c>
      <c r="AC100" s="679">
        <f t="shared" si="38"/>
        <v>0</v>
      </c>
      <c r="AD100" s="679">
        <f t="shared" si="39"/>
        <v>0</v>
      </c>
      <c r="AE100" s="610"/>
    </row>
    <row r="101" spans="1:31" ht="24.95" customHeight="1" x14ac:dyDescent="0.3">
      <c r="A101" s="749">
        <v>15</v>
      </c>
      <c r="B101" s="750" t="s">
        <v>536</v>
      </c>
      <c r="C101" s="740"/>
      <c r="D101" s="758"/>
      <c r="E101" s="759"/>
      <c r="F101" s="752"/>
      <c r="G101" s="759"/>
      <c r="H101" s="752"/>
      <c r="I101" s="759"/>
      <c r="J101" s="752"/>
      <c r="K101" s="759"/>
      <c r="L101" s="752"/>
      <c r="M101" s="759"/>
      <c r="N101" s="744">
        <f t="shared" si="29"/>
        <v>0</v>
      </c>
      <c r="O101" s="745">
        <f t="shared" si="28"/>
        <v>0</v>
      </c>
      <c r="P101" s="760" t="e">
        <f>(O101/O112)*100</f>
        <v>#DIV/0!</v>
      </c>
      <c r="Q101" s="761"/>
      <c r="R101" s="677" t="e">
        <f t="shared" si="40"/>
        <v>#DIV/0!</v>
      </c>
      <c r="S101" s="753"/>
      <c r="U101" s="679">
        <f t="shared" si="30"/>
        <v>0</v>
      </c>
      <c r="V101" s="679">
        <f t="shared" si="31"/>
        <v>0</v>
      </c>
      <c r="W101" s="679">
        <f t="shared" si="32"/>
        <v>0</v>
      </c>
      <c r="X101" s="679">
        <f t="shared" si="33"/>
        <v>0</v>
      </c>
      <c r="Y101" s="679">
        <f t="shared" si="34"/>
        <v>0</v>
      </c>
      <c r="Z101" s="679">
        <f t="shared" si="35"/>
        <v>0</v>
      </c>
      <c r="AA101" s="679">
        <f t="shared" si="36"/>
        <v>0</v>
      </c>
      <c r="AB101" s="679">
        <f t="shared" si="37"/>
        <v>0</v>
      </c>
      <c r="AC101" s="679">
        <f t="shared" si="38"/>
        <v>0</v>
      </c>
      <c r="AD101" s="679">
        <f t="shared" si="39"/>
        <v>0</v>
      </c>
      <c r="AE101" s="610"/>
    </row>
    <row r="102" spans="1:31" ht="24.95" customHeight="1" x14ac:dyDescent="0.3">
      <c r="A102" s="749">
        <v>16</v>
      </c>
      <c r="B102" s="750" t="s">
        <v>537</v>
      </c>
      <c r="C102" s="740"/>
      <c r="D102" s="758"/>
      <c r="E102" s="759"/>
      <c r="F102" s="752"/>
      <c r="G102" s="759"/>
      <c r="H102" s="752"/>
      <c r="I102" s="759"/>
      <c r="J102" s="752"/>
      <c r="K102" s="759"/>
      <c r="L102" s="752"/>
      <c r="M102" s="759"/>
      <c r="N102" s="744">
        <f t="shared" si="29"/>
        <v>0</v>
      </c>
      <c r="O102" s="745">
        <f t="shared" si="28"/>
        <v>0</v>
      </c>
      <c r="P102" s="760" t="e">
        <f>(O102/O112)*100</f>
        <v>#DIV/0!</v>
      </c>
      <c r="Q102" s="761"/>
      <c r="R102" s="677" t="e">
        <f t="shared" si="40"/>
        <v>#DIV/0!</v>
      </c>
      <c r="S102" s="753"/>
      <c r="U102" s="679">
        <f t="shared" si="30"/>
        <v>0</v>
      </c>
      <c r="V102" s="679">
        <f t="shared" si="31"/>
        <v>0</v>
      </c>
      <c r="W102" s="679">
        <f t="shared" si="32"/>
        <v>0</v>
      </c>
      <c r="X102" s="679">
        <f t="shared" si="33"/>
        <v>0</v>
      </c>
      <c r="Y102" s="679">
        <f t="shared" si="34"/>
        <v>0</v>
      </c>
      <c r="Z102" s="679">
        <f t="shared" si="35"/>
        <v>0</v>
      </c>
      <c r="AA102" s="679">
        <f t="shared" si="36"/>
        <v>0</v>
      </c>
      <c r="AB102" s="679">
        <f t="shared" si="37"/>
        <v>0</v>
      </c>
      <c r="AC102" s="679">
        <f t="shared" si="38"/>
        <v>0</v>
      </c>
      <c r="AD102" s="679">
        <f t="shared" si="39"/>
        <v>0</v>
      </c>
      <c r="AE102" s="610"/>
    </row>
    <row r="103" spans="1:31" ht="24.95" customHeight="1" x14ac:dyDescent="0.3">
      <c r="A103" s="749"/>
      <c r="B103" s="750" t="s">
        <v>538</v>
      </c>
      <c r="C103" s="740"/>
      <c r="D103" s="758"/>
      <c r="E103" s="759"/>
      <c r="F103" s="752"/>
      <c r="G103" s="759"/>
      <c r="H103" s="752"/>
      <c r="I103" s="759"/>
      <c r="J103" s="752"/>
      <c r="K103" s="759"/>
      <c r="L103" s="752"/>
      <c r="M103" s="759"/>
      <c r="N103" s="744">
        <f t="shared" si="29"/>
        <v>0</v>
      </c>
      <c r="O103" s="745">
        <f t="shared" si="28"/>
        <v>0</v>
      </c>
      <c r="P103" s="760" t="e">
        <f>(O103/O112)*100</f>
        <v>#DIV/0!</v>
      </c>
      <c r="Q103" s="761"/>
      <c r="R103" s="677" t="e">
        <f t="shared" si="40"/>
        <v>#DIV/0!</v>
      </c>
      <c r="S103" s="753"/>
      <c r="U103" s="679">
        <f t="shared" si="30"/>
        <v>0</v>
      </c>
      <c r="V103" s="679">
        <f t="shared" si="31"/>
        <v>0</v>
      </c>
      <c r="W103" s="679">
        <f t="shared" si="32"/>
        <v>0</v>
      </c>
      <c r="X103" s="679">
        <f t="shared" si="33"/>
        <v>0</v>
      </c>
      <c r="Y103" s="679">
        <f t="shared" si="34"/>
        <v>0</v>
      </c>
      <c r="Z103" s="679">
        <f t="shared" si="35"/>
        <v>0</v>
      </c>
      <c r="AA103" s="679">
        <f t="shared" si="36"/>
        <v>0</v>
      </c>
      <c r="AB103" s="679">
        <f t="shared" si="37"/>
        <v>0</v>
      </c>
      <c r="AC103" s="679">
        <f t="shared" si="38"/>
        <v>0</v>
      </c>
      <c r="AD103" s="679">
        <f t="shared" si="39"/>
        <v>0</v>
      </c>
      <c r="AE103" s="610"/>
    </row>
    <row r="104" spans="1:31" ht="24.95" customHeight="1" x14ac:dyDescent="0.3">
      <c r="A104" s="749"/>
      <c r="B104" s="750" t="s">
        <v>539</v>
      </c>
      <c r="C104" s="740"/>
      <c r="D104" s="754"/>
      <c r="E104" s="755"/>
      <c r="F104" s="753"/>
      <c r="G104" s="755"/>
      <c r="H104" s="753"/>
      <c r="I104" s="755"/>
      <c r="J104" s="753"/>
      <c r="K104" s="755"/>
      <c r="L104" s="753"/>
      <c r="M104" s="755"/>
      <c r="N104" s="744">
        <f t="shared" si="29"/>
        <v>0</v>
      </c>
      <c r="O104" s="745">
        <f t="shared" si="28"/>
        <v>0</v>
      </c>
      <c r="P104" s="756" t="e">
        <f>(O104/O112)*100</f>
        <v>#DIV/0!</v>
      </c>
      <c r="Q104" s="751"/>
      <c r="R104" s="677" t="e">
        <f t="shared" si="40"/>
        <v>#DIV/0!</v>
      </c>
      <c r="S104" s="753"/>
      <c r="U104" s="679">
        <f t="shared" si="30"/>
        <v>0</v>
      </c>
      <c r="V104" s="679">
        <f t="shared" si="31"/>
        <v>0</v>
      </c>
      <c r="W104" s="679">
        <f t="shared" si="32"/>
        <v>0</v>
      </c>
      <c r="X104" s="679">
        <f t="shared" si="33"/>
        <v>0</v>
      </c>
      <c r="Y104" s="679">
        <f t="shared" si="34"/>
        <v>0</v>
      </c>
      <c r="Z104" s="679">
        <f t="shared" si="35"/>
        <v>0</v>
      </c>
      <c r="AA104" s="679">
        <f t="shared" si="36"/>
        <v>0</v>
      </c>
      <c r="AB104" s="679">
        <f t="shared" si="37"/>
        <v>0</v>
      </c>
      <c r="AC104" s="679">
        <f t="shared" si="38"/>
        <v>0</v>
      </c>
      <c r="AD104" s="679">
        <f t="shared" si="39"/>
        <v>0</v>
      </c>
      <c r="AE104" s="610"/>
    </row>
    <row r="105" spans="1:31" ht="24.95" customHeight="1" x14ac:dyDescent="0.3">
      <c r="A105" s="749"/>
      <c r="B105" s="750" t="s">
        <v>540</v>
      </c>
      <c r="C105" s="740"/>
      <c r="D105" s="754"/>
      <c r="E105" s="755"/>
      <c r="F105" s="753"/>
      <c r="G105" s="755"/>
      <c r="H105" s="753"/>
      <c r="I105" s="755"/>
      <c r="J105" s="753"/>
      <c r="K105" s="755"/>
      <c r="L105" s="753"/>
      <c r="M105" s="755"/>
      <c r="N105" s="744">
        <f t="shared" si="29"/>
        <v>0</v>
      </c>
      <c r="O105" s="745">
        <f t="shared" si="28"/>
        <v>0</v>
      </c>
      <c r="P105" s="756" t="e">
        <f>(O105/O112)*100</f>
        <v>#DIV/0!</v>
      </c>
      <c r="Q105" s="751"/>
      <c r="R105" s="677" t="e">
        <f t="shared" si="40"/>
        <v>#DIV/0!</v>
      </c>
      <c r="S105" s="753"/>
      <c r="U105" s="679">
        <f t="shared" si="30"/>
        <v>0</v>
      </c>
      <c r="V105" s="679">
        <f t="shared" si="31"/>
        <v>0</v>
      </c>
      <c r="W105" s="679">
        <f t="shared" si="32"/>
        <v>0</v>
      </c>
      <c r="X105" s="679">
        <f t="shared" si="33"/>
        <v>0</v>
      </c>
      <c r="Y105" s="679">
        <f t="shared" si="34"/>
        <v>0</v>
      </c>
      <c r="Z105" s="679">
        <f t="shared" si="35"/>
        <v>0</v>
      </c>
      <c r="AA105" s="679">
        <f t="shared" si="36"/>
        <v>0</v>
      </c>
      <c r="AB105" s="679">
        <f t="shared" si="37"/>
        <v>0</v>
      </c>
      <c r="AC105" s="679">
        <f t="shared" si="38"/>
        <v>0</v>
      </c>
      <c r="AD105" s="679">
        <f t="shared" si="39"/>
        <v>0</v>
      </c>
      <c r="AE105" s="610"/>
    </row>
    <row r="106" spans="1:31" ht="24.95" customHeight="1" x14ac:dyDescent="0.3">
      <c r="A106" s="749"/>
      <c r="B106" s="750" t="s">
        <v>541</v>
      </c>
      <c r="C106" s="740"/>
      <c r="D106" s="754"/>
      <c r="E106" s="755"/>
      <c r="F106" s="753"/>
      <c r="G106" s="755"/>
      <c r="H106" s="753"/>
      <c r="I106" s="755"/>
      <c r="J106" s="753"/>
      <c r="K106" s="755"/>
      <c r="L106" s="753"/>
      <c r="M106" s="755"/>
      <c r="N106" s="744">
        <f t="shared" si="29"/>
        <v>0</v>
      </c>
      <c r="O106" s="745">
        <f t="shared" si="28"/>
        <v>0</v>
      </c>
      <c r="P106" s="756" t="e">
        <f>(O106/O112)*100</f>
        <v>#DIV/0!</v>
      </c>
      <c r="Q106" s="751"/>
      <c r="R106" s="677" t="e">
        <f t="shared" si="40"/>
        <v>#DIV/0!</v>
      </c>
      <c r="S106" s="753"/>
      <c r="U106" s="679">
        <f t="shared" si="30"/>
        <v>0</v>
      </c>
      <c r="V106" s="679">
        <f t="shared" si="31"/>
        <v>0</v>
      </c>
      <c r="W106" s="679">
        <f t="shared" si="32"/>
        <v>0</v>
      </c>
      <c r="X106" s="679">
        <f t="shared" si="33"/>
        <v>0</v>
      </c>
      <c r="Y106" s="679">
        <f t="shared" si="34"/>
        <v>0</v>
      </c>
      <c r="Z106" s="679">
        <f t="shared" si="35"/>
        <v>0</v>
      </c>
      <c r="AA106" s="679">
        <f t="shared" si="36"/>
        <v>0</v>
      </c>
      <c r="AB106" s="679">
        <f t="shared" si="37"/>
        <v>0</v>
      </c>
      <c r="AC106" s="679">
        <f t="shared" si="38"/>
        <v>0</v>
      </c>
      <c r="AD106" s="679">
        <f t="shared" si="39"/>
        <v>0</v>
      </c>
      <c r="AE106" s="610"/>
    </row>
    <row r="107" spans="1:31" ht="24.95" customHeight="1" x14ac:dyDescent="0.3">
      <c r="A107" s="749"/>
      <c r="B107" s="750"/>
      <c r="C107" s="739"/>
      <c r="D107" s="754"/>
      <c r="E107" s="755"/>
      <c r="F107" s="753"/>
      <c r="G107" s="755"/>
      <c r="H107" s="753"/>
      <c r="I107" s="755"/>
      <c r="J107" s="753"/>
      <c r="K107" s="755"/>
      <c r="L107" s="753"/>
      <c r="M107" s="755"/>
      <c r="N107" s="744">
        <f t="shared" si="29"/>
        <v>0</v>
      </c>
      <c r="O107" s="745">
        <f t="shared" si="28"/>
        <v>0</v>
      </c>
      <c r="P107" s="756" t="e">
        <f>(O107/O112)*100</f>
        <v>#DIV/0!</v>
      </c>
      <c r="Q107" s="751"/>
      <c r="R107" s="677" t="e">
        <f t="shared" si="40"/>
        <v>#DIV/0!</v>
      </c>
      <c r="S107" s="753"/>
      <c r="U107" s="679">
        <f t="shared" si="30"/>
        <v>0</v>
      </c>
      <c r="V107" s="679">
        <f t="shared" si="31"/>
        <v>0</v>
      </c>
      <c r="W107" s="679">
        <f t="shared" si="32"/>
        <v>0</v>
      </c>
      <c r="X107" s="679">
        <f t="shared" si="33"/>
        <v>0</v>
      </c>
      <c r="Y107" s="679">
        <f t="shared" si="34"/>
        <v>0</v>
      </c>
      <c r="Z107" s="679">
        <f t="shared" si="35"/>
        <v>0</v>
      </c>
      <c r="AA107" s="679">
        <f t="shared" si="36"/>
        <v>0</v>
      </c>
      <c r="AB107" s="679">
        <f t="shared" si="37"/>
        <v>0</v>
      </c>
      <c r="AC107" s="679">
        <f t="shared" si="38"/>
        <v>0</v>
      </c>
      <c r="AD107" s="679">
        <f t="shared" si="39"/>
        <v>0</v>
      </c>
      <c r="AE107" s="610"/>
    </row>
    <row r="108" spans="1:31" ht="24.95" customHeight="1" x14ac:dyDescent="0.3">
      <c r="A108" s="749"/>
      <c r="B108" s="750" t="s">
        <v>542</v>
      </c>
      <c r="C108" s="740"/>
      <c r="D108" s="754"/>
      <c r="E108" s="755"/>
      <c r="F108" s="753"/>
      <c r="G108" s="755"/>
      <c r="H108" s="753"/>
      <c r="I108" s="755"/>
      <c r="J108" s="753"/>
      <c r="K108" s="755"/>
      <c r="L108" s="753"/>
      <c r="M108" s="755"/>
      <c r="N108" s="744">
        <f t="shared" si="29"/>
        <v>0</v>
      </c>
      <c r="O108" s="745">
        <f t="shared" si="28"/>
        <v>0</v>
      </c>
      <c r="P108" s="756" t="e">
        <f>(O108/O112)*100</f>
        <v>#DIV/0!</v>
      </c>
      <c r="Q108" s="751"/>
      <c r="R108" s="677" t="e">
        <f t="shared" si="40"/>
        <v>#DIV/0!</v>
      </c>
      <c r="S108" s="753"/>
      <c r="U108" s="679">
        <f t="shared" si="30"/>
        <v>0</v>
      </c>
      <c r="V108" s="679">
        <f t="shared" si="31"/>
        <v>0</v>
      </c>
      <c r="W108" s="679">
        <f t="shared" si="32"/>
        <v>0</v>
      </c>
      <c r="X108" s="679">
        <f t="shared" si="33"/>
        <v>0</v>
      </c>
      <c r="Y108" s="679">
        <f t="shared" si="34"/>
        <v>0</v>
      </c>
      <c r="Z108" s="679">
        <f t="shared" si="35"/>
        <v>0</v>
      </c>
      <c r="AA108" s="679">
        <f t="shared" si="36"/>
        <v>0</v>
      </c>
      <c r="AB108" s="679">
        <f t="shared" si="37"/>
        <v>0</v>
      </c>
      <c r="AC108" s="679">
        <f t="shared" si="38"/>
        <v>0</v>
      </c>
      <c r="AD108" s="679">
        <f t="shared" si="39"/>
        <v>0</v>
      </c>
      <c r="AE108" s="610"/>
    </row>
    <row r="109" spans="1:31" ht="24.95" customHeight="1" x14ac:dyDescent="0.3">
      <c r="A109" s="749"/>
      <c r="B109" s="750" t="s">
        <v>543</v>
      </c>
      <c r="C109" s="740"/>
      <c r="D109" s="754"/>
      <c r="E109" s="755"/>
      <c r="F109" s="753"/>
      <c r="G109" s="755"/>
      <c r="H109" s="753"/>
      <c r="I109" s="755"/>
      <c r="J109" s="753"/>
      <c r="K109" s="755"/>
      <c r="L109" s="753"/>
      <c r="M109" s="755"/>
      <c r="N109" s="744">
        <f t="shared" si="29"/>
        <v>0</v>
      </c>
      <c r="O109" s="745">
        <f t="shared" si="28"/>
        <v>0</v>
      </c>
      <c r="P109" s="756" t="e">
        <f>(O109/O112)*100</f>
        <v>#DIV/0!</v>
      </c>
      <c r="Q109" s="751"/>
      <c r="R109" s="677" t="e">
        <f t="shared" si="40"/>
        <v>#DIV/0!</v>
      </c>
      <c r="S109" s="753"/>
      <c r="U109" s="679">
        <f t="shared" si="30"/>
        <v>0</v>
      </c>
      <c r="V109" s="679">
        <f t="shared" si="31"/>
        <v>0</v>
      </c>
      <c r="W109" s="679">
        <f t="shared" si="32"/>
        <v>0</v>
      </c>
      <c r="X109" s="679">
        <f t="shared" si="33"/>
        <v>0</v>
      </c>
      <c r="Y109" s="679">
        <f t="shared" si="34"/>
        <v>0</v>
      </c>
      <c r="Z109" s="679">
        <f t="shared" si="35"/>
        <v>0</v>
      </c>
      <c r="AA109" s="679">
        <f t="shared" si="36"/>
        <v>0</v>
      </c>
      <c r="AB109" s="679">
        <f t="shared" si="37"/>
        <v>0</v>
      </c>
      <c r="AC109" s="679">
        <f t="shared" si="38"/>
        <v>0</v>
      </c>
      <c r="AD109" s="679">
        <f t="shared" si="39"/>
        <v>0</v>
      </c>
      <c r="AE109" s="610"/>
    </row>
    <row r="110" spans="1:31" ht="24.95" customHeight="1" thickBot="1" x14ac:dyDescent="0.35">
      <c r="A110" s="762"/>
      <c r="B110" s="763"/>
      <c r="C110" s="763"/>
      <c r="D110" s="764"/>
      <c r="E110" s="765"/>
      <c r="F110" s="766"/>
      <c r="G110" s="765"/>
      <c r="H110" s="767"/>
      <c r="I110" s="765"/>
      <c r="J110" s="766"/>
      <c r="K110" s="765"/>
      <c r="L110" s="766"/>
      <c r="M110" s="768"/>
      <c r="N110" s="744">
        <f t="shared" si="29"/>
        <v>0</v>
      </c>
      <c r="O110" s="745">
        <f t="shared" si="28"/>
        <v>0</v>
      </c>
      <c r="P110" s="769" t="e">
        <f>(O110/O112)*100</f>
        <v>#DIV/0!</v>
      </c>
      <c r="Q110" s="770"/>
      <c r="R110" s="677" t="e">
        <f t="shared" si="40"/>
        <v>#DIV/0!</v>
      </c>
      <c r="S110" s="767"/>
      <c r="U110" s="679">
        <f t="shared" si="30"/>
        <v>0</v>
      </c>
      <c r="V110" s="679">
        <f t="shared" si="31"/>
        <v>0</v>
      </c>
      <c r="W110" s="679">
        <f t="shared" si="32"/>
        <v>0</v>
      </c>
      <c r="X110" s="679">
        <f t="shared" si="33"/>
        <v>0</v>
      </c>
      <c r="Y110" s="679">
        <f t="shared" si="34"/>
        <v>0</v>
      </c>
      <c r="Z110" s="679">
        <f t="shared" si="35"/>
        <v>0</v>
      </c>
      <c r="AA110" s="679">
        <f t="shared" si="36"/>
        <v>0</v>
      </c>
      <c r="AB110" s="679">
        <f t="shared" si="37"/>
        <v>0</v>
      </c>
      <c r="AC110" s="679">
        <f t="shared" si="38"/>
        <v>0</v>
      </c>
      <c r="AD110" s="679">
        <f t="shared" si="39"/>
        <v>0</v>
      </c>
      <c r="AE110" s="610"/>
    </row>
    <row r="111" spans="1:31" ht="99.95" customHeight="1" thickBot="1" x14ac:dyDescent="0.25">
      <c r="A111" s="1459" t="s">
        <v>544</v>
      </c>
      <c r="B111" s="1460"/>
      <c r="C111" s="771" t="str">
        <f>A111</f>
        <v>TOTAL BEVERAGES</v>
      </c>
      <c r="D111" s="772">
        <f>U111</f>
        <v>0</v>
      </c>
      <c r="E111" s="773">
        <f>V111</f>
        <v>0</v>
      </c>
      <c r="F111" s="774">
        <f>W111</f>
        <v>0</v>
      </c>
      <c r="G111" s="775">
        <f t="shared" ref="G111:M111" si="41">X111</f>
        <v>0</v>
      </c>
      <c r="H111" s="774">
        <f t="shared" si="41"/>
        <v>0</v>
      </c>
      <c r="I111" s="775">
        <f t="shared" si="41"/>
        <v>0</v>
      </c>
      <c r="J111" s="774">
        <f t="shared" si="41"/>
        <v>0</v>
      </c>
      <c r="K111" s="774">
        <f t="shared" si="41"/>
        <v>0</v>
      </c>
      <c r="L111" s="774">
        <f t="shared" si="41"/>
        <v>0</v>
      </c>
      <c r="M111" s="775">
        <f t="shared" si="41"/>
        <v>0</v>
      </c>
      <c r="N111" s="776"/>
      <c r="O111" s="777">
        <f>SUM(D111:M111)</f>
        <v>0</v>
      </c>
      <c r="P111" s="778" t="e">
        <f>SUM(P86:P110)/100</f>
        <v>#DIV/0!</v>
      </c>
      <c r="Q111" s="779"/>
      <c r="R111" s="780" t="e">
        <f>SUM(R86:R110)/100</f>
        <v>#DIV/0!</v>
      </c>
      <c r="S111" s="781"/>
      <c r="U111" s="679">
        <f t="shared" ref="U111:AD111" si="42">SUM(U86:U110)</f>
        <v>0</v>
      </c>
      <c r="V111" s="679">
        <f t="shared" si="42"/>
        <v>0</v>
      </c>
      <c r="W111" s="679">
        <f t="shared" si="42"/>
        <v>0</v>
      </c>
      <c r="X111" s="679">
        <f t="shared" si="42"/>
        <v>0</v>
      </c>
      <c r="Y111" s="679">
        <f t="shared" si="42"/>
        <v>0</v>
      </c>
      <c r="Z111" s="679">
        <f t="shared" si="42"/>
        <v>0</v>
      </c>
      <c r="AA111" s="679">
        <f t="shared" si="42"/>
        <v>0</v>
      </c>
      <c r="AB111" s="679">
        <f t="shared" si="42"/>
        <v>0</v>
      </c>
      <c r="AC111" s="679">
        <f t="shared" si="42"/>
        <v>0</v>
      </c>
      <c r="AD111" s="679">
        <f t="shared" si="42"/>
        <v>0</v>
      </c>
      <c r="AE111" s="610"/>
    </row>
    <row r="112" spans="1:31" ht="99.95" customHeight="1" thickBot="1" x14ac:dyDescent="0.25">
      <c r="A112" s="1459" t="s">
        <v>545</v>
      </c>
      <c r="B112" s="1460"/>
      <c r="C112" s="771" t="str">
        <f>A112</f>
        <v>TOTAL SALES</v>
      </c>
      <c r="D112" s="782">
        <f t="shared" ref="D112:P112" si="43">D83+D111</f>
        <v>0</v>
      </c>
      <c r="E112" s="782">
        <f t="shared" si="43"/>
        <v>0</v>
      </c>
      <c r="F112" s="782">
        <f>F83+F111</f>
        <v>0</v>
      </c>
      <c r="G112" s="782">
        <f t="shared" si="43"/>
        <v>0</v>
      </c>
      <c r="H112" s="782">
        <f t="shared" si="43"/>
        <v>0</v>
      </c>
      <c r="I112" s="782">
        <f t="shared" si="43"/>
        <v>0</v>
      </c>
      <c r="J112" s="782">
        <f t="shared" si="43"/>
        <v>0</v>
      </c>
      <c r="K112" s="782">
        <f t="shared" si="43"/>
        <v>0</v>
      </c>
      <c r="L112" s="782">
        <f t="shared" si="43"/>
        <v>0</v>
      </c>
      <c r="M112" s="772">
        <f t="shared" si="43"/>
        <v>0</v>
      </c>
      <c r="N112" s="772">
        <f t="shared" si="43"/>
        <v>0</v>
      </c>
      <c r="O112" s="783">
        <f t="shared" si="43"/>
        <v>0</v>
      </c>
      <c r="P112" s="778" t="e">
        <f t="shared" si="43"/>
        <v>#DIV/0!</v>
      </c>
      <c r="Q112" s="779"/>
      <c r="R112" s="784" t="e">
        <f>R83+R111</f>
        <v>#DIV/0!</v>
      </c>
      <c r="S112" s="781"/>
      <c r="U112" s="610"/>
      <c r="V112" s="610"/>
      <c r="W112" s="610"/>
      <c r="X112" s="610"/>
      <c r="Y112" s="610"/>
      <c r="Z112" s="610"/>
      <c r="AA112" s="610"/>
      <c r="AB112" s="610"/>
      <c r="AC112" s="610"/>
      <c r="AD112" s="610"/>
      <c r="AE112" s="610"/>
    </row>
    <row r="113" spans="1:31" ht="30" customHeight="1" thickBot="1" x14ac:dyDescent="0.25">
      <c r="A113" s="1461" t="s">
        <v>546</v>
      </c>
      <c r="B113" s="1462"/>
      <c r="C113" s="785" t="str">
        <f>A113</f>
        <v>TOTAL CUSTOMER</v>
      </c>
      <c r="D113" s="786"/>
      <c r="E113" s="787"/>
      <c r="F113" s="787"/>
      <c r="G113" s="787"/>
      <c r="H113" s="788"/>
      <c r="I113" s="789"/>
      <c r="J113" s="790"/>
      <c r="K113" s="787"/>
      <c r="L113" s="787"/>
      <c r="M113" s="789"/>
      <c r="N113" s="791">
        <f>SUM(D113:M113)</f>
        <v>0</v>
      </c>
      <c r="O113" s="792"/>
      <c r="P113" s="793"/>
      <c r="Q113" s="794"/>
      <c r="R113" s="795"/>
      <c r="S113" s="792"/>
      <c r="U113" s="729"/>
      <c r="V113" s="729"/>
      <c r="W113" s="729"/>
      <c r="X113" s="729"/>
      <c r="Y113" s="729"/>
      <c r="Z113" s="610"/>
      <c r="AA113" s="610"/>
      <c r="AB113" s="610"/>
      <c r="AC113" s="610"/>
      <c r="AD113" s="610"/>
      <c r="AE113" s="610"/>
    </row>
    <row r="114" spans="1:31" ht="18" customHeight="1" x14ac:dyDescent="0.25">
      <c r="A114" s="77"/>
      <c r="N114" s="1463" t="s">
        <v>20</v>
      </c>
      <c r="O114" s="1463"/>
      <c r="U114" s="148"/>
    </row>
    <row r="115" spans="1:31" ht="32.25" customHeight="1" x14ac:dyDescent="0.2">
      <c r="A115" s="1464"/>
      <c r="B115" s="1465"/>
      <c r="C115" s="1465"/>
      <c r="D115" s="1465"/>
      <c r="E115" s="1465"/>
      <c r="F115" s="1465"/>
      <c r="G115" s="1465"/>
      <c r="H115" s="1465"/>
      <c r="I115" s="1465"/>
      <c r="J115" s="567"/>
      <c r="K115" s="567"/>
      <c r="L115" s="567"/>
      <c r="M115" s="567"/>
      <c r="U115" s="148"/>
      <c r="V115" s="796"/>
      <c r="W115" s="796"/>
      <c r="X115" s="796"/>
    </row>
    <row r="116" spans="1:31" ht="18" customHeight="1" x14ac:dyDescent="0.2">
      <c r="A116" s="1464"/>
      <c r="B116" s="1465"/>
      <c r="C116" s="1465"/>
      <c r="D116" s="1465"/>
      <c r="E116" s="1465"/>
      <c r="F116" s="1465"/>
      <c r="G116" s="1465"/>
      <c r="H116" s="1465"/>
      <c r="I116" s="1465"/>
      <c r="J116" s="567"/>
      <c r="K116" s="567"/>
      <c r="L116" s="567"/>
      <c r="M116" s="567"/>
      <c r="U116" s="148"/>
    </row>
    <row r="117" spans="1:31" ht="18" customHeight="1" x14ac:dyDescent="0.2">
      <c r="A117" s="1466"/>
      <c r="B117" s="1466"/>
      <c r="C117" s="1466"/>
      <c r="D117" s="1466"/>
      <c r="E117" s="1466"/>
      <c r="F117" s="1466"/>
      <c r="G117" s="1466"/>
      <c r="H117" s="1466"/>
      <c r="I117" s="1466"/>
      <c r="J117" s="567"/>
      <c r="K117" s="567"/>
      <c r="L117" s="567"/>
      <c r="M117" s="567"/>
      <c r="V117" s="656"/>
      <c r="W117" s="796"/>
      <c r="X117" s="796"/>
    </row>
    <row r="118" spans="1:31" ht="18" customHeight="1" x14ac:dyDescent="0.2">
      <c r="A118" s="1467"/>
      <c r="B118" s="1467"/>
      <c r="C118" s="1467"/>
      <c r="D118" s="1467"/>
      <c r="E118" s="1467"/>
      <c r="F118" s="1467"/>
      <c r="G118" s="1467"/>
      <c r="H118" s="1467"/>
      <c r="I118" s="1467"/>
      <c r="J118" s="567"/>
      <c r="K118" s="567"/>
      <c r="L118" s="567"/>
      <c r="M118" s="567"/>
      <c r="P118" s="797"/>
    </row>
    <row r="119" spans="1:31" ht="18" customHeight="1" x14ac:dyDescent="0.2">
      <c r="A119" s="1468"/>
      <c r="B119" s="1468"/>
      <c r="C119" s="1468"/>
      <c r="D119" s="1468"/>
      <c r="E119" s="1468"/>
      <c r="F119" s="1468"/>
      <c r="G119" s="1468"/>
      <c r="H119" s="1468"/>
      <c r="I119" s="1468"/>
      <c r="J119" s="567"/>
      <c r="K119" s="567"/>
      <c r="L119" s="567"/>
      <c r="M119" s="567"/>
      <c r="N119" s="1413"/>
      <c r="O119" s="1413"/>
      <c r="P119" s="798"/>
    </row>
    <row r="120" spans="1:31" ht="18" customHeight="1" x14ac:dyDescent="0.2">
      <c r="B120" s="567"/>
      <c r="C120" s="567"/>
      <c r="D120" s="567"/>
      <c r="E120" s="567"/>
      <c r="F120" s="567"/>
      <c r="G120" s="567"/>
      <c r="H120" s="567"/>
      <c r="I120" s="567"/>
      <c r="J120" s="567"/>
      <c r="K120" s="567"/>
      <c r="L120" s="567"/>
      <c r="M120" s="567"/>
      <c r="N120" s="64"/>
      <c r="O120" s="64"/>
      <c r="P120" s="798"/>
    </row>
    <row r="121" spans="1:31" ht="18" customHeight="1" x14ac:dyDescent="0.2">
      <c r="A121" s="513"/>
      <c r="B121" s="513"/>
      <c r="C121" s="513"/>
    </row>
    <row r="122" spans="1:31" ht="18" customHeight="1" x14ac:dyDescent="0.2">
      <c r="A122" s="148"/>
      <c r="B122" s="148"/>
      <c r="C122" s="148"/>
    </row>
    <row r="123" spans="1:31" ht="18" customHeight="1" x14ac:dyDescent="0.2">
      <c r="A123" s="148"/>
      <c r="B123" s="148"/>
      <c r="C123" s="148"/>
    </row>
    <row r="124" spans="1:31" ht="18" customHeight="1" x14ac:dyDescent="0.2">
      <c r="A124" s="148"/>
      <c r="B124" s="148"/>
      <c r="C124" s="148"/>
    </row>
    <row r="125" spans="1:31" ht="18" customHeight="1" x14ac:dyDescent="0.2">
      <c r="A125" s="148"/>
      <c r="B125" s="148"/>
      <c r="C125" s="148"/>
    </row>
    <row r="126" spans="1:31" ht="18" customHeight="1" x14ac:dyDescent="0.2">
      <c r="A126" s="148"/>
      <c r="B126" s="148"/>
      <c r="C126" s="148"/>
    </row>
    <row r="127" spans="1:31" ht="18" customHeight="1" x14ac:dyDescent="0.2">
      <c r="A127" s="148"/>
      <c r="B127" s="148"/>
      <c r="C127" s="148"/>
    </row>
    <row r="128" spans="1:31" ht="18" customHeight="1" x14ac:dyDescent="0.2">
      <c r="A128" s="148"/>
      <c r="B128" s="148"/>
      <c r="C128" s="148"/>
    </row>
    <row r="129" spans="1:3" ht="18" customHeight="1" x14ac:dyDescent="0.2">
      <c r="A129" s="799"/>
      <c r="B129" s="799"/>
      <c r="C129" s="799"/>
    </row>
    <row r="130" spans="1:3" ht="18" customHeight="1" x14ac:dyDescent="0.2">
      <c r="A130" s="799"/>
      <c r="B130" s="799"/>
      <c r="C130" s="799"/>
    </row>
    <row r="131" spans="1:3" ht="18" customHeight="1" x14ac:dyDescent="0.2">
      <c r="A131" s="799"/>
      <c r="B131" s="799"/>
      <c r="C131" s="799"/>
    </row>
    <row r="132" spans="1:3" ht="18" customHeight="1" x14ac:dyDescent="0.2">
      <c r="A132" s="799"/>
      <c r="B132" s="799"/>
      <c r="C132" s="799"/>
    </row>
    <row r="133" spans="1:3" ht="18" customHeight="1" x14ac:dyDescent="0.2">
      <c r="A133" s="148"/>
      <c r="B133" s="148"/>
      <c r="C133" s="148"/>
    </row>
    <row r="134" spans="1:3" ht="18" customHeight="1" x14ac:dyDescent="0.2">
      <c r="A134" s="148"/>
      <c r="B134" s="148"/>
      <c r="C134" s="148"/>
    </row>
    <row r="135" spans="1:3" ht="18" customHeight="1" x14ac:dyDescent="0.2">
      <c r="A135" s="148"/>
      <c r="B135" s="148"/>
      <c r="C135" s="148"/>
    </row>
    <row r="136" spans="1:3" ht="18" customHeight="1" x14ac:dyDescent="0.2">
      <c r="A136" s="148"/>
      <c r="B136" s="148"/>
      <c r="C136" s="148"/>
    </row>
    <row r="137" spans="1:3" ht="18" customHeight="1" x14ac:dyDescent="0.2">
      <c r="A137" s="148"/>
      <c r="B137" s="148"/>
      <c r="C137" s="148"/>
    </row>
    <row r="138" spans="1:3" ht="18" customHeight="1" x14ac:dyDescent="0.2">
      <c r="A138" s="148"/>
      <c r="B138" s="148"/>
      <c r="C138" s="148"/>
    </row>
    <row r="139" spans="1:3" ht="18" customHeight="1" x14ac:dyDescent="0.2">
      <c r="A139" s="148"/>
      <c r="B139" s="148"/>
      <c r="C139" s="148"/>
    </row>
    <row r="140" spans="1:3" ht="18" customHeight="1" x14ac:dyDescent="0.2">
      <c r="A140" s="148"/>
      <c r="B140" s="148"/>
      <c r="C140" s="148"/>
    </row>
    <row r="141" spans="1:3" ht="18" customHeight="1" x14ac:dyDescent="0.2">
      <c r="A141" s="148"/>
      <c r="B141" s="148"/>
      <c r="C141" s="148"/>
    </row>
    <row r="142" spans="1:3" ht="18" customHeight="1" x14ac:dyDescent="0.2">
      <c r="A142" s="148"/>
      <c r="B142" s="148"/>
      <c r="C142" s="148"/>
    </row>
    <row r="143" spans="1:3" ht="18" customHeight="1" x14ac:dyDescent="0.2">
      <c r="A143" s="148"/>
      <c r="B143" s="148"/>
      <c r="C143" s="148"/>
    </row>
    <row r="144" spans="1:3" ht="18" customHeight="1" x14ac:dyDescent="0.2">
      <c r="A144" s="148"/>
      <c r="B144" s="148"/>
      <c r="C144" s="148"/>
    </row>
    <row r="145" spans="1:3" ht="18" customHeight="1" x14ac:dyDescent="0.2">
      <c r="A145" s="148"/>
      <c r="B145" s="148"/>
      <c r="C145" s="148"/>
    </row>
    <row r="146" spans="1:3" ht="18" customHeight="1" x14ac:dyDescent="0.2">
      <c r="A146" s="148"/>
      <c r="B146" s="148"/>
      <c r="C146" s="148"/>
    </row>
    <row r="147" spans="1:3" ht="18" customHeight="1" x14ac:dyDescent="0.2">
      <c r="A147" s="148"/>
      <c r="B147" s="148"/>
      <c r="C147" s="148"/>
    </row>
    <row r="148" spans="1:3" ht="18" customHeight="1" x14ac:dyDescent="0.2">
      <c r="A148" s="148"/>
      <c r="B148" s="148"/>
      <c r="C148" s="148"/>
    </row>
    <row r="149" spans="1:3" ht="18" customHeight="1" x14ac:dyDescent="0.2">
      <c r="A149" s="148"/>
      <c r="B149" s="148"/>
      <c r="C149" s="148"/>
    </row>
    <row r="150" spans="1:3" ht="18" customHeight="1" x14ac:dyDescent="0.2">
      <c r="A150" s="148"/>
      <c r="B150" s="148"/>
      <c r="C150" s="148"/>
    </row>
    <row r="151" spans="1:3" ht="18" customHeight="1" x14ac:dyDescent="0.2">
      <c r="A151" s="148"/>
      <c r="B151" s="148"/>
      <c r="C151" s="148"/>
    </row>
    <row r="152" spans="1:3" ht="18" customHeight="1" x14ac:dyDescent="0.2">
      <c r="A152" s="148"/>
      <c r="B152" s="148"/>
      <c r="C152" s="148"/>
    </row>
    <row r="153" spans="1:3" ht="18" customHeight="1" x14ac:dyDescent="0.2">
      <c r="A153" s="148"/>
      <c r="B153" s="148"/>
      <c r="C153" s="148"/>
    </row>
    <row r="154" spans="1:3" ht="32.25" customHeight="1" x14ac:dyDescent="0.2">
      <c r="A154" s="800"/>
      <c r="B154" s="148"/>
      <c r="C154" s="148"/>
    </row>
    <row r="155" spans="1:3" ht="18" customHeight="1" x14ac:dyDescent="0.2">
      <c r="A155" s="148"/>
      <c r="B155" s="148"/>
      <c r="C155" s="148"/>
    </row>
    <row r="156" spans="1:3" ht="18" customHeight="1" x14ac:dyDescent="0.2">
      <c r="A156" s="148"/>
      <c r="B156" s="148"/>
      <c r="C156" s="148"/>
    </row>
    <row r="157" spans="1:3" ht="18" customHeight="1" x14ac:dyDescent="0.2">
      <c r="A157" s="148"/>
      <c r="B157" s="148"/>
      <c r="C157" s="148"/>
    </row>
    <row r="158" spans="1:3" ht="18" customHeight="1" x14ac:dyDescent="0.2">
      <c r="A158" s="148"/>
      <c r="B158" s="148"/>
      <c r="C158" s="148"/>
    </row>
    <row r="159" spans="1:3" ht="18" customHeight="1" x14ac:dyDescent="0.2">
      <c r="A159" s="148"/>
      <c r="B159" s="148"/>
      <c r="C159" s="148"/>
    </row>
    <row r="160" spans="1:3" ht="18" customHeight="1" x14ac:dyDescent="0.2">
      <c r="A160" s="148"/>
      <c r="B160" s="148"/>
      <c r="C160" s="148"/>
    </row>
    <row r="161" ht="18" customHeight="1" x14ac:dyDescent="0.2"/>
    <row r="162" ht="18" customHeight="1" x14ac:dyDescent="0.2"/>
    <row r="163" ht="18" customHeight="1" x14ac:dyDescent="0.2"/>
    <row r="164" ht="18" customHeight="1" x14ac:dyDescent="0.2"/>
    <row r="165" ht="18" customHeight="1" x14ac:dyDescent="0.2"/>
    <row r="166" ht="18" customHeight="1" x14ac:dyDescent="0.2"/>
    <row r="167" ht="18" customHeight="1" x14ac:dyDescent="0.2"/>
    <row r="168" ht="18" customHeight="1" x14ac:dyDescent="0.2"/>
    <row r="169" ht="18" customHeight="1" x14ac:dyDescent="0.2"/>
    <row r="170" ht="18" customHeight="1" x14ac:dyDescent="0.2"/>
    <row r="171" ht="18" customHeight="1" x14ac:dyDescent="0.2"/>
    <row r="172" ht="18" customHeight="1" x14ac:dyDescent="0.2"/>
    <row r="173" ht="18" customHeight="1" x14ac:dyDescent="0.2"/>
    <row r="174" ht="18" customHeight="1" x14ac:dyDescent="0.2"/>
    <row r="175" ht="18" customHeight="1" x14ac:dyDescent="0.2"/>
    <row r="176" ht="18" customHeight="1" x14ac:dyDescent="0.2"/>
    <row r="177" ht="18" customHeight="1" x14ac:dyDescent="0.2"/>
    <row r="178" ht="18" customHeight="1" x14ac:dyDescent="0.2"/>
    <row r="179" ht="18" customHeight="1" x14ac:dyDescent="0.2"/>
    <row r="180" ht="18" customHeight="1" x14ac:dyDescent="0.2"/>
    <row r="181" ht="18" customHeight="1" x14ac:dyDescent="0.2"/>
    <row r="182" ht="18" customHeight="1" x14ac:dyDescent="0.2"/>
    <row r="183" ht="18" customHeight="1" x14ac:dyDescent="0.2"/>
    <row r="184" ht="18" customHeight="1" x14ac:dyDescent="0.2"/>
    <row r="185" ht="18" customHeight="1" x14ac:dyDescent="0.2"/>
    <row r="186" ht="18" customHeight="1" x14ac:dyDescent="0.2"/>
    <row r="187" ht="18" customHeight="1" x14ac:dyDescent="0.2"/>
    <row r="188" ht="18" customHeight="1" x14ac:dyDescent="0.2"/>
    <row r="189" ht="18" customHeight="1" x14ac:dyDescent="0.2"/>
    <row r="190" ht="18" customHeight="1" x14ac:dyDescent="0.2"/>
    <row r="191" ht="18" customHeight="1" x14ac:dyDescent="0.2"/>
    <row r="192" ht="18" customHeight="1" x14ac:dyDescent="0.2"/>
    <row r="193" ht="18" customHeight="1" x14ac:dyDescent="0.2"/>
    <row r="194" ht="18" customHeight="1" x14ac:dyDescent="0.2"/>
    <row r="195" ht="18" customHeight="1" x14ac:dyDescent="0.2"/>
    <row r="196" ht="18" customHeight="1" x14ac:dyDescent="0.2"/>
    <row r="197" ht="18" customHeight="1" x14ac:dyDescent="0.2"/>
    <row r="198" ht="18" customHeight="1" x14ac:dyDescent="0.2"/>
    <row r="199" ht="18" customHeight="1" x14ac:dyDescent="0.2"/>
    <row r="200" ht="18" customHeight="1" x14ac:dyDescent="0.2"/>
    <row r="201" ht="18" customHeight="1" x14ac:dyDescent="0.2"/>
    <row r="202" ht="18" customHeight="1" x14ac:dyDescent="0.2"/>
    <row r="203" ht="18" customHeight="1" x14ac:dyDescent="0.2"/>
    <row r="204" ht="18" customHeight="1" x14ac:dyDescent="0.2"/>
    <row r="205" ht="18" customHeight="1" x14ac:dyDescent="0.2"/>
    <row r="206" ht="18" customHeight="1" x14ac:dyDescent="0.2"/>
    <row r="207" ht="18" customHeight="1" x14ac:dyDescent="0.2"/>
    <row r="208" ht="18" customHeight="1" x14ac:dyDescent="0.2"/>
    <row r="209" ht="18" customHeight="1" x14ac:dyDescent="0.2"/>
    <row r="210" ht="18" customHeight="1" x14ac:dyDescent="0.2"/>
    <row r="211" ht="18" customHeight="1" x14ac:dyDescent="0.2"/>
    <row r="212" ht="18" customHeight="1" x14ac:dyDescent="0.2"/>
    <row r="213" ht="18" customHeight="1" x14ac:dyDescent="0.2"/>
    <row r="214" ht="18" customHeight="1" x14ac:dyDescent="0.2"/>
    <row r="215" ht="18" customHeight="1" x14ac:dyDescent="0.2"/>
    <row r="216" ht="18" customHeight="1" x14ac:dyDescent="0.2"/>
    <row r="217" ht="18" customHeight="1" x14ac:dyDescent="0.2"/>
    <row r="218" ht="18" customHeight="1" x14ac:dyDescent="0.2"/>
    <row r="219" ht="18" customHeight="1" x14ac:dyDescent="0.2"/>
    <row r="220" ht="18" customHeight="1" x14ac:dyDescent="0.2"/>
    <row r="221" ht="18" customHeight="1" x14ac:dyDescent="0.2"/>
    <row r="222" ht="18" customHeight="1" x14ac:dyDescent="0.2"/>
    <row r="223" ht="18" customHeight="1" x14ac:dyDescent="0.2"/>
    <row r="224" ht="18" customHeight="1" x14ac:dyDescent="0.2"/>
    <row r="225" ht="18" customHeight="1" x14ac:dyDescent="0.2"/>
    <row r="226" ht="18" customHeight="1" x14ac:dyDescent="0.2"/>
    <row r="227" ht="18" customHeight="1" x14ac:dyDescent="0.2"/>
    <row r="228" ht="18" customHeight="1" x14ac:dyDescent="0.2"/>
    <row r="229" ht="18" customHeight="1" x14ac:dyDescent="0.2"/>
    <row r="230" ht="18" customHeight="1" x14ac:dyDescent="0.2"/>
    <row r="231" ht="18" customHeight="1" x14ac:dyDescent="0.2"/>
    <row r="232" ht="18" customHeight="1" x14ac:dyDescent="0.2"/>
    <row r="233" ht="18" customHeight="1" x14ac:dyDescent="0.2"/>
    <row r="234" ht="18" customHeight="1" x14ac:dyDescent="0.2"/>
    <row r="235" ht="18" customHeight="1" x14ac:dyDescent="0.2"/>
    <row r="236" ht="18" customHeight="1" x14ac:dyDescent="0.2"/>
    <row r="237" ht="18" customHeight="1" x14ac:dyDescent="0.2"/>
    <row r="238" ht="18" customHeight="1" x14ac:dyDescent="0.2"/>
    <row r="239" ht="18" customHeight="1" x14ac:dyDescent="0.2"/>
    <row r="240" ht="18" customHeight="1" x14ac:dyDescent="0.2"/>
    <row r="241" ht="18" customHeight="1" x14ac:dyDescent="0.2"/>
    <row r="242" ht="18" customHeight="1" x14ac:dyDescent="0.2"/>
    <row r="243" ht="18" customHeight="1" x14ac:dyDescent="0.2"/>
    <row r="244" ht="18" customHeight="1" x14ac:dyDescent="0.2"/>
    <row r="245" ht="18" customHeight="1" x14ac:dyDescent="0.2"/>
    <row r="246" ht="18" customHeight="1" x14ac:dyDescent="0.2"/>
    <row r="247" ht="18" customHeight="1" x14ac:dyDescent="0.2"/>
    <row r="248" ht="18" customHeight="1" x14ac:dyDescent="0.2"/>
    <row r="249" ht="18" customHeight="1" x14ac:dyDescent="0.2"/>
    <row r="250" ht="18" customHeight="1" x14ac:dyDescent="0.2"/>
    <row r="251" ht="18" customHeight="1" x14ac:dyDescent="0.2"/>
    <row r="252" ht="18" customHeight="1" x14ac:dyDescent="0.2"/>
    <row r="253" ht="18" customHeight="1" x14ac:dyDescent="0.2"/>
    <row r="254" ht="18" customHeight="1" x14ac:dyDescent="0.2"/>
    <row r="255" ht="18" customHeight="1" x14ac:dyDescent="0.2"/>
    <row r="256" ht="18" customHeight="1" x14ac:dyDescent="0.2"/>
    <row r="257" ht="18" customHeight="1" x14ac:dyDescent="0.2"/>
    <row r="258" ht="18" customHeight="1" x14ac:dyDescent="0.2"/>
    <row r="259" ht="18" customHeight="1" x14ac:dyDescent="0.2"/>
    <row r="260" ht="18" customHeight="1" x14ac:dyDescent="0.2"/>
    <row r="261" ht="18" customHeight="1" x14ac:dyDescent="0.2"/>
    <row r="262" ht="18" customHeight="1" x14ac:dyDescent="0.2"/>
    <row r="263" ht="18" customHeight="1" x14ac:dyDescent="0.2"/>
    <row r="264" ht="18" customHeight="1" x14ac:dyDescent="0.2"/>
    <row r="265" ht="18" customHeight="1" x14ac:dyDescent="0.2"/>
    <row r="266" ht="18" customHeight="1" x14ac:dyDescent="0.2"/>
    <row r="267" ht="18" customHeight="1" x14ac:dyDescent="0.2"/>
    <row r="268" ht="18" customHeight="1" x14ac:dyDescent="0.2"/>
    <row r="269" ht="18" customHeight="1" x14ac:dyDescent="0.2"/>
    <row r="270" ht="18" customHeight="1" x14ac:dyDescent="0.2"/>
    <row r="271" ht="18" customHeight="1" x14ac:dyDescent="0.2"/>
    <row r="272" ht="18" customHeight="1" x14ac:dyDescent="0.2"/>
    <row r="273" ht="18" customHeight="1" x14ac:dyDescent="0.2"/>
    <row r="274" ht="18" customHeight="1" x14ac:dyDescent="0.2"/>
    <row r="275" ht="18" customHeight="1" x14ac:dyDescent="0.2"/>
    <row r="276" ht="18" customHeight="1" x14ac:dyDescent="0.2"/>
    <row r="277" ht="18" customHeight="1" x14ac:dyDescent="0.2"/>
    <row r="278" ht="18" customHeight="1" x14ac:dyDescent="0.2"/>
    <row r="279" ht="18" customHeight="1" x14ac:dyDescent="0.2"/>
    <row r="280" ht="18" customHeight="1" x14ac:dyDescent="0.2"/>
    <row r="281" ht="18" customHeight="1" x14ac:dyDescent="0.2"/>
    <row r="282" ht="18" customHeight="1" x14ac:dyDescent="0.2"/>
    <row r="283" ht="18" customHeight="1" x14ac:dyDescent="0.2"/>
    <row r="284" ht="18" customHeight="1" x14ac:dyDescent="0.2"/>
    <row r="285" ht="18" customHeight="1" x14ac:dyDescent="0.2"/>
    <row r="286" ht="18" customHeight="1" x14ac:dyDescent="0.2"/>
    <row r="287" ht="18" customHeight="1" x14ac:dyDescent="0.2"/>
    <row r="288" ht="18" customHeight="1" x14ac:dyDescent="0.2"/>
    <row r="289" ht="18" customHeight="1" x14ac:dyDescent="0.2"/>
    <row r="290" ht="18" customHeight="1" x14ac:dyDescent="0.2"/>
    <row r="291" ht="18" customHeight="1" x14ac:dyDescent="0.2"/>
    <row r="292" ht="18" customHeight="1" x14ac:dyDescent="0.2"/>
    <row r="293" ht="18" customHeight="1" x14ac:dyDescent="0.2"/>
    <row r="294" ht="18" customHeight="1" x14ac:dyDescent="0.2"/>
    <row r="295" ht="18" customHeight="1" x14ac:dyDescent="0.2"/>
    <row r="296" ht="18" customHeight="1" x14ac:dyDescent="0.2"/>
    <row r="297" ht="18" customHeight="1" x14ac:dyDescent="0.2"/>
    <row r="298" ht="18" customHeight="1" x14ac:dyDescent="0.2"/>
    <row r="299" ht="18" customHeight="1" x14ac:dyDescent="0.2"/>
    <row r="300" ht="18" customHeight="1" x14ac:dyDescent="0.2"/>
    <row r="301" ht="18" customHeight="1" x14ac:dyDescent="0.2"/>
    <row r="302" ht="18" customHeight="1" x14ac:dyDescent="0.2"/>
    <row r="303" ht="18" customHeight="1" x14ac:dyDescent="0.2"/>
    <row r="304" ht="18" customHeight="1" x14ac:dyDescent="0.2"/>
    <row r="305" ht="18" customHeight="1" x14ac:dyDescent="0.2"/>
    <row r="306" ht="18" customHeight="1" x14ac:dyDescent="0.2"/>
    <row r="307" ht="18" customHeight="1" x14ac:dyDescent="0.2"/>
    <row r="308" ht="18" customHeight="1" x14ac:dyDescent="0.2"/>
    <row r="309" ht="18" customHeight="1" x14ac:dyDescent="0.2"/>
    <row r="310" ht="18" customHeight="1" x14ac:dyDescent="0.2"/>
    <row r="311" ht="18" customHeight="1" x14ac:dyDescent="0.2"/>
    <row r="312" ht="18" customHeight="1" x14ac:dyDescent="0.2"/>
    <row r="313" ht="18" customHeight="1" x14ac:dyDescent="0.2"/>
    <row r="314" ht="18" customHeight="1" x14ac:dyDescent="0.2"/>
    <row r="315" ht="18" customHeight="1" x14ac:dyDescent="0.2"/>
    <row r="316" ht="18" customHeight="1" x14ac:dyDescent="0.2"/>
    <row r="317" ht="18" customHeight="1" x14ac:dyDescent="0.2"/>
    <row r="318" ht="18" customHeight="1" x14ac:dyDescent="0.2"/>
    <row r="319" ht="18" customHeight="1" x14ac:dyDescent="0.2"/>
    <row r="320" ht="18" customHeight="1" x14ac:dyDescent="0.2"/>
    <row r="321" ht="18" customHeight="1" x14ac:dyDescent="0.2"/>
    <row r="322" ht="18" customHeight="1" x14ac:dyDescent="0.2"/>
    <row r="323" ht="18" customHeight="1" x14ac:dyDescent="0.2"/>
    <row r="324" ht="18" customHeight="1" x14ac:dyDescent="0.2"/>
    <row r="325" ht="18" customHeight="1" x14ac:dyDescent="0.2"/>
    <row r="326" ht="18" customHeight="1" x14ac:dyDescent="0.2"/>
    <row r="327" ht="18" customHeight="1" x14ac:dyDescent="0.2"/>
    <row r="328" ht="18" customHeight="1" x14ac:dyDescent="0.2"/>
    <row r="329" ht="18" customHeight="1" x14ac:dyDescent="0.2"/>
    <row r="330" ht="18" customHeight="1" x14ac:dyDescent="0.2"/>
    <row r="331" ht="18" customHeight="1" x14ac:dyDescent="0.2"/>
    <row r="332" ht="18" customHeight="1" x14ac:dyDescent="0.2"/>
    <row r="333" ht="18" customHeight="1" x14ac:dyDescent="0.2"/>
    <row r="334" ht="18" customHeight="1" x14ac:dyDescent="0.2"/>
    <row r="335" ht="18" customHeight="1" x14ac:dyDescent="0.2"/>
    <row r="336" ht="18" customHeight="1" x14ac:dyDescent="0.2"/>
    <row r="337" ht="18" customHeight="1" x14ac:dyDescent="0.2"/>
    <row r="338" ht="18" customHeight="1" x14ac:dyDescent="0.2"/>
    <row r="339" ht="18" customHeight="1" x14ac:dyDescent="0.2"/>
    <row r="340" ht="18" customHeight="1" x14ac:dyDescent="0.2"/>
    <row r="341" ht="18" customHeight="1" x14ac:dyDescent="0.2"/>
    <row r="342" ht="18" customHeight="1" x14ac:dyDescent="0.2"/>
    <row r="343" ht="18" customHeight="1" x14ac:dyDescent="0.2"/>
    <row r="344" ht="18" customHeight="1" x14ac:dyDescent="0.2"/>
    <row r="345" ht="18" customHeight="1" x14ac:dyDescent="0.2"/>
    <row r="346" ht="18" customHeight="1" x14ac:dyDescent="0.2"/>
    <row r="347" ht="18" customHeight="1" x14ac:dyDescent="0.2"/>
    <row r="348" ht="18" customHeight="1" x14ac:dyDescent="0.2"/>
    <row r="349" ht="18" customHeight="1" x14ac:dyDescent="0.2"/>
    <row r="350" ht="18" customHeight="1" x14ac:dyDescent="0.2"/>
    <row r="351" ht="18" customHeight="1" x14ac:dyDescent="0.2"/>
    <row r="352" ht="18" customHeight="1" x14ac:dyDescent="0.2"/>
    <row r="353" ht="18" customHeight="1" x14ac:dyDescent="0.2"/>
    <row r="354" ht="18" customHeight="1" x14ac:dyDescent="0.2"/>
    <row r="355" ht="18" customHeight="1" x14ac:dyDescent="0.2"/>
    <row r="356" ht="18" customHeight="1" x14ac:dyDescent="0.2"/>
    <row r="357" ht="18" customHeight="1" x14ac:dyDescent="0.2"/>
    <row r="358" ht="18" customHeight="1" x14ac:dyDescent="0.2"/>
    <row r="359" ht="18" customHeight="1" x14ac:dyDescent="0.2"/>
    <row r="360" ht="18" customHeight="1" x14ac:dyDescent="0.2"/>
    <row r="361" ht="18" customHeight="1" x14ac:dyDescent="0.2"/>
    <row r="362" ht="18" customHeight="1" x14ac:dyDescent="0.2"/>
    <row r="363" ht="18" customHeight="1" x14ac:dyDescent="0.2"/>
    <row r="364" ht="18" customHeight="1" x14ac:dyDescent="0.2"/>
    <row r="365" ht="18" customHeight="1" x14ac:dyDescent="0.2"/>
    <row r="366" ht="18" customHeight="1" x14ac:dyDescent="0.2"/>
    <row r="367" ht="18" customHeight="1" x14ac:dyDescent="0.2"/>
    <row r="368" ht="18" customHeight="1" x14ac:dyDescent="0.2"/>
    <row r="369" ht="18" customHeight="1" x14ac:dyDescent="0.2"/>
    <row r="370" ht="18" customHeight="1" x14ac:dyDescent="0.2"/>
    <row r="371" ht="18" customHeight="1" x14ac:dyDescent="0.2"/>
    <row r="372" ht="18" customHeight="1" x14ac:dyDescent="0.2"/>
    <row r="373" ht="18" customHeight="1" x14ac:dyDescent="0.2"/>
    <row r="374" ht="18" customHeight="1" x14ac:dyDescent="0.2"/>
    <row r="375" ht="18" customHeight="1" x14ac:dyDescent="0.2"/>
    <row r="376" ht="18" customHeight="1" x14ac:dyDescent="0.2"/>
    <row r="377" ht="18" customHeight="1" x14ac:dyDescent="0.2"/>
    <row r="378" ht="18" customHeight="1" x14ac:dyDescent="0.2"/>
    <row r="379" ht="18" customHeight="1" x14ac:dyDescent="0.2"/>
    <row r="380" ht="18" customHeight="1" x14ac:dyDescent="0.2"/>
    <row r="381" ht="18" customHeight="1" x14ac:dyDescent="0.2"/>
    <row r="382" ht="18" customHeight="1" x14ac:dyDescent="0.2"/>
    <row r="383" ht="18" customHeight="1" x14ac:dyDescent="0.2"/>
    <row r="384" ht="18" customHeight="1" x14ac:dyDescent="0.2"/>
    <row r="385" ht="18" customHeight="1" x14ac:dyDescent="0.2"/>
    <row r="386" ht="18" customHeight="1" x14ac:dyDescent="0.2"/>
    <row r="387" ht="18" customHeight="1" x14ac:dyDescent="0.2"/>
    <row r="388" ht="18" customHeight="1" x14ac:dyDescent="0.2"/>
    <row r="389" ht="18" customHeight="1" x14ac:dyDescent="0.2"/>
    <row r="390" ht="18" customHeight="1" x14ac:dyDescent="0.2"/>
    <row r="391" ht="18" customHeight="1" x14ac:dyDescent="0.2"/>
    <row r="392" ht="18" customHeight="1" x14ac:dyDescent="0.2"/>
    <row r="393" ht="18" customHeight="1" x14ac:dyDescent="0.2"/>
    <row r="394" ht="18" customHeight="1" x14ac:dyDescent="0.2"/>
    <row r="395" ht="18" customHeight="1" x14ac:dyDescent="0.2"/>
    <row r="396" ht="18" customHeight="1" x14ac:dyDescent="0.2"/>
    <row r="397" ht="18" customHeight="1" x14ac:dyDescent="0.2"/>
    <row r="398" ht="18" customHeight="1" x14ac:dyDescent="0.2"/>
    <row r="399" ht="18" customHeight="1" x14ac:dyDescent="0.2"/>
    <row r="400" ht="18" customHeight="1" x14ac:dyDescent="0.2"/>
    <row r="401" ht="18" customHeight="1" x14ac:dyDescent="0.2"/>
    <row r="402" ht="18" customHeight="1" x14ac:dyDescent="0.2"/>
    <row r="403" ht="18" customHeight="1" x14ac:dyDescent="0.2"/>
    <row r="404" ht="18" customHeight="1" x14ac:dyDescent="0.2"/>
    <row r="405" ht="18" customHeight="1" x14ac:dyDescent="0.2"/>
    <row r="406" ht="18" customHeight="1" x14ac:dyDescent="0.2"/>
    <row r="407" ht="18" customHeight="1" x14ac:dyDescent="0.2"/>
    <row r="408" ht="18" customHeight="1" x14ac:dyDescent="0.2"/>
    <row r="409" ht="18" customHeight="1" x14ac:dyDescent="0.2"/>
    <row r="410" ht="18" customHeight="1" x14ac:dyDescent="0.2"/>
    <row r="411" ht="18" customHeight="1" x14ac:dyDescent="0.2"/>
    <row r="412" ht="18" customHeight="1" x14ac:dyDescent="0.2"/>
    <row r="413" ht="18" customHeight="1" x14ac:dyDescent="0.2"/>
    <row r="414" ht="18" customHeight="1" x14ac:dyDescent="0.2"/>
    <row r="415" ht="18" customHeight="1" x14ac:dyDescent="0.2"/>
    <row r="416" ht="18" customHeight="1" x14ac:dyDescent="0.2"/>
    <row r="417" ht="18" customHeight="1" x14ac:dyDescent="0.2"/>
    <row r="418" ht="18" customHeight="1" x14ac:dyDescent="0.2"/>
    <row r="419" ht="18" customHeight="1" x14ac:dyDescent="0.2"/>
    <row r="420" ht="18" customHeight="1" x14ac:dyDescent="0.2"/>
    <row r="421" ht="18" customHeight="1" x14ac:dyDescent="0.2"/>
    <row r="422" ht="18" customHeight="1" x14ac:dyDescent="0.2"/>
    <row r="423" ht="18" customHeight="1" x14ac:dyDescent="0.2"/>
    <row r="424" ht="18" customHeight="1" x14ac:dyDescent="0.2"/>
    <row r="425" ht="18" customHeight="1" x14ac:dyDescent="0.2"/>
    <row r="426" ht="18" customHeight="1" x14ac:dyDescent="0.2"/>
    <row r="427" ht="18" customHeight="1" x14ac:dyDescent="0.2"/>
    <row r="428" ht="18" customHeight="1" x14ac:dyDescent="0.2"/>
    <row r="429" ht="18" customHeight="1" x14ac:dyDescent="0.2"/>
    <row r="430" ht="18" customHeight="1" x14ac:dyDescent="0.2"/>
    <row r="431" ht="18" customHeight="1" x14ac:dyDescent="0.2"/>
    <row r="432" ht="18" customHeight="1" x14ac:dyDescent="0.2"/>
    <row r="433" ht="18" customHeight="1" x14ac:dyDescent="0.2"/>
    <row r="434" ht="18" customHeight="1" x14ac:dyDescent="0.2"/>
    <row r="435" ht="18" customHeight="1" x14ac:dyDescent="0.2"/>
    <row r="436" ht="18" customHeight="1" x14ac:dyDescent="0.2"/>
    <row r="437" ht="18" customHeight="1" x14ac:dyDescent="0.2"/>
    <row r="438" ht="18" customHeight="1" x14ac:dyDescent="0.2"/>
    <row r="439" ht="18" customHeight="1" x14ac:dyDescent="0.2"/>
    <row r="440" ht="18" customHeight="1" x14ac:dyDescent="0.2"/>
    <row r="441" ht="18" customHeight="1" x14ac:dyDescent="0.2"/>
    <row r="442" ht="18" customHeight="1" x14ac:dyDescent="0.2"/>
    <row r="443" ht="18" customHeight="1" x14ac:dyDescent="0.2"/>
    <row r="444" ht="18" customHeight="1" x14ac:dyDescent="0.2"/>
    <row r="445" ht="18" customHeight="1" x14ac:dyDescent="0.2"/>
    <row r="446" ht="18" customHeight="1" x14ac:dyDescent="0.2"/>
    <row r="447" ht="18" customHeight="1" x14ac:dyDescent="0.2"/>
    <row r="448" ht="18" customHeight="1" x14ac:dyDescent="0.2"/>
    <row r="449" ht="18" customHeight="1" x14ac:dyDescent="0.2"/>
    <row r="450" ht="18" customHeight="1" x14ac:dyDescent="0.2"/>
    <row r="451" ht="18" customHeight="1" x14ac:dyDescent="0.2"/>
    <row r="452" ht="18" customHeight="1" x14ac:dyDescent="0.2"/>
    <row r="453" ht="18" customHeight="1" x14ac:dyDescent="0.2"/>
    <row r="454" ht="18" customHeight="1" x14ac:dyDescent="0.2"/>
    <row r="455" ht="18" customHeight="1" x14ac:dyDescent="0.2"/>
    <row r="456" ht="18" customHeight="1" x14ac:dyDescent="0.2"/>
    <row r="457" ht="18" customHeight="1" x14ac:dyDescent="0.2"/>
    <row r="458" ht="18" customHeight="1" x14ac:dyDescent="0.2"/>
    <row r="459" ht="18" customHeight="1" x14ac:dyDescent="0.2"/>
    <row r="460" ht="18" customHeight="1" x14ac:dyDescent="0.2"/>
    <row r="461" ht="18" customHeight="1" x14ac:dyDescent="0.2"/>
    <row r="462" ht="18" customHeight="1" x14ac:dyDescent="0.2"/>
    <row r="463" ht="18" customHeight="1" x14ac:dyDescent="0.2"/>
    <row r="464" ht="18" customHeight="1" x14ac:dyDescent="0.2"/>
    <row r="465" ht="18" customHeight="1" x14ac:dyDescent="0.2"/>
    <row r="466" ht="18" customHeight="1" x14ac:dyDescent="0.2"/>
    <row r="467" ht="18" customHeight="1" x14ac:dyDescent="0.2"/>
    <row r="468" ht="18" customHeight="1" x14ac:dyDescent="0.2"/>
    <row r="469" ht="18" customHeight="1" x14ac:dyDescent="0.2"/>
    <row r="470" ht="18" customHeight="1" x14ac:dyDescent="0.2"/>
    <row r="471" ht="18" customHeight="1" x14ac:dyDescent="0.2"/>
    <row r="472" ht="18" customHeight="1" x14ac:dyDescent="0.2"/>
    <row r="473" ht="18" customHeight="1" x14ac:dyDescent="0.2"/>
    <row r="474" ht="18" customHeight="1" x14ac:dyDescent="0.2"/>
    <row r="475" ht="18" customHeight="1" x14ac:dyDescent="0.2"/>
    <row r="476" ht="18" customHeight="1" x14ac:dyDescent="0.2"/>
    <row r="477" ht="18" customHeight="1" x14ac:dyDescent="0.2"/>
    <row r="478" ht="18" customHeight="1" x14ac:dyDescent="0.2"/>
    <row r="479" ht="18" customHeight="1" x14ac:dyDescent="0.2"/>
    <row r="480" ht="18" customHeight="1" x14ac:dyDescent="0.2"/>
    <row r="481" ht="18" customHeight="1" x14ac:dyDescent="0.2"/>
    <row r="482" ht="18" customHeight="1" x14ac:dyDescent="0.2"/>
    <row r="483" ht="18" customHeight="1" x14ac:dyDescent="0.2"/>
    <row r="484" ht="18" customHeight="1" x14ac:dyDescent="0.2"/>
    <row r="485" ht="18" customHeight="1" x14ac:dyDescent="0.2"/>
    <row r="486" ht="18" customHeight="1" x14ac:dyDescent="0.2"/>
    <row r="487" ht="18" customHeight="1" x14ac:dyDescent="0.2"/>
    <row r="488" ht="18" customHeight="1" x14ac:dyDescent="0.2"/>
    <row r="489" ht="18" customHeight="1" x14ac:dyDescent="0.2"/>
    <row r="490" ht="18" customHeight="1" x14ac:dyDescent="0.2"/>
    <row r="491" ht="18" customHeight="1" x14ac:dyDescent="0.2"/>
    <row r="492" ht="18" customHeight="1" x14ac:dyDescent="0.2"/>
    <row r="493" ht="18" customHeight="1" x14ac:dyDescent="0.2"/>
    <row r="494" ht="18" customHeight="1" x14ac:dyDescent="0.2"/>
    <row r="495" ht="18" customHeight="1" x14ac:dyDescent="0.2"/>
    <row r="496" ht="18" customHeight="1" x14ac:dyDescent="0.2"/>
    <row r="497" ht="18" customHeight="1" x14ac:dyDescent="0.2"/>
    <row r="498" ht="18" customHeight="1" x14ac:dyDescent="0.2"/>
    <row r="499" ht="18" customHeight="1" x14ac:dyDescent="0.2"/>
    <row r="500" ht="18" customHeight="1" x14ac:dyDescent="0.2"/>
    <row r="501" ht="18" customHeight="1" x14ac:dyDescent="0.2"/>
    <row r="502" ht="18" customHeight="1" x14ac:dyDescent="0.2"/>
    <row r="503" ht="18" customHeight="1" x14ac:dyDescent="0.2"/>
    <row r="504" ht="18" customHeight="1" x14ac:dyDescent="0.2"/>
    <row r="505" ht="18" customHeight="1" x14ac:dyDescent="0.2"/>
    <row r="506" ht="18" customHeight="1" x14ac:dyDescent="0.2"/>
    <row r="507" ht="18" customHeight="1" x14ac:dyDescent="0.2"/>
    <row r="508" ht="18" customHeight="1" x14ac:dyDescent="0.2"/>
    <row r="509" ht="18" customHeight="1" x14ac:dyDescent="0.2"/>
    <row r="510" ht="18" customHeight="1" x14ac:dyDescent="0.2"/>
    <row r="511" ht="18" customHeight="1" x14ac:dyDescent="0.2"/>
    <row r="512" ht="18" customHeight="1" x14ac:dyDescent="0.2"/>
    <row r="513" ht="18" customHeight="1" x14ac:dyDescent="0.2"/>
    <row r="514" ht="18" customHeight="1" x14ac:dyDescent="0.2"/>
    <row r="515" ht="18" customHeight="1" x14ac:dyDescent="0.2"/>
    <row r="516" ht="18" customHeight="1" x14ac:dyDescent="0.2"/>
    <row r="517" ht="18" customHeight="1" x14ac:dyDescent="0.2"/>
    <row r="518" ht="18" customHeight="1" x14ac:dyDescent="0.2"/>
    <row r="519" ht="18" customHeight="1" x14ac:dyDescent="0.2"/>
    <row r="520" ht="18" customHeight="1" x14ac:dyDescent="0.2"/>
    <row r="521" ht="18" customHeight="1" x14ac:dyDescent="0.2"/>
    <row r="522" ht="18" customHeight="1" x14ac:dyDescent="0.2"/>
    <row r="523" ht="18" customHeight="1" x14ac:dyDescent="0.2"/>
    <row r="524" ht="18" customHeight="1" x14ac:dyDescent="0.2"/>
    <row r="525" ht="18" customHeight="1" x14ac:dyDescent="0.2"/>
    <row r="526" ht="18" customHeight="1" x14ac:dyDescent="0.2"/>
    <row r="527" ht="18" customHeight="1" x14ac:dyDescent="0.2"/>
    <row r="528" ht="18" customHeight="1" x14ac:dyDescent="0.2"/>
    <row r="529" ht="18" customHeight="1" x14ac:dyDescent="0.2"/>
    <row r="530" ht="18" customHeight="1" x14ac:dyDescent="0.2"/>
    <row r="531" ht="18" customHeight="1" x14ac:dyDescent="0.2"/>
    <row r="532" ht="18" customHeight="1" x14ac:dyDescent="0.2"/>
    <row r="533" ht="18" customHeight="1" x14ac:dyDescent="0.2"/>
    <row r="534" ht="18" customHeight="1" x14ac:dyDescent="0.2"/>
    <row r="535" ht="18" customHeight="1" x14ac:dyDescent="0.2"/>
    <row r="536" ht="18" customHeight="1" x14ac:dyDescent="0.2"/>
    <row r="537" ht="18" customHeight="1" x14ac:dyDescent="0.2"/>
    <row r="538" ht="18" customHeight="1" x14ac:dyDescent="0.2"/>
    <row r="539" ht="18" customHeight="1" x14ac:dyDescent="0.2"/>
    <row r="540" ht="18" customHeight="1" x14ac:dyDescent="0.2"/>
    <row r="541" ht="18" customHeight="1" x14ac:dyDescent="0.2"/>
    <row r="542" ht="18" customHeight="1" x14ac:dyDescent="0.2"/>
    <row r="543" ht="18" customHeight="1" x14ac:dyDescent="0.2"/>
    <row r="544" ht="18" customHeight="1" x14ac:dyDescent="0.2"/>
    <row r="545" ht="18" customHeight="1" x14ac:dyDescent="0.2"/>
    <row r="546" ht="18" customHeight="1" x14ac:dyDescent="0.2"/>
    <row r="547" ht="18" customHeight="1" x14ac:dyDescent="0.2"/>
    <row r="548" ht="18" customHeight="1" x14ac:dyDescent="0.2"/>
    <row r="549" ht="18" customHeight="1" x14ac:dyDescent="0.2"/>
    <row r="550" ht="18" customHeight="1" x14ac:dyDescent="0.2"/>
    <row r="551" ht="18" customHeight="1" x14ac:dyDescent="0.2"/>
    <row r="552" ht="18" customHeight="1" x14ac:dyDescent="0.2"/>
    <row r="553" ht="18" customHeight="1" x14ac:dyDescent="0.2"/>
    <row r="554" ht="18" customHeight="1" x14ac:dyDescent="0.2"/>
    <row r="555" ht="18" customHeight="1" x14ac:dyDescent="0.2"/>
    <row r="556" ht="18" customHeight="1" x14ac:dyDescent="0.2"/>
    <row r="557" ht="18" customHeight="1" x14ac:dyDescent="0.2"/>
    <row r="558" ht="18" customHeight="1" x14ac:dyDescent="0.2"/>
    <row r="559" ht="18" customHeight="1" x14ac:dyDescent="0.2"/>
    <row r="560" ht="18" customHeight="1" x14ac:dyDescent="0.2"/>
    <row r="561" ht="18" customHeight="1" x14ac:dyDescent="0.2"/>
    <row r="562" ht="18" customHeight="1" x14ac:dyDescent="0.2"/>
    <row r="563" ht="18" customHeight="1" x14ac:dyDescent="0.2"/>
    <row r="564" ht="18" customHeight="1" x14ac:dyDescent="0.2"/>
    <row r="565" ht="18" customHeight="1" x14ac:dyDescent="0.2"/>
    <row r="566" ht="18" customHeight="1" x14ac:dyDescent="0.2"/>
    <row r="567" ht="18" customHeight="1" x14ac:dyDescent="0.2"/>
    <row r="568" ht="18" customHeight="1" x14ac:dyDescent="0.2"/>
    <row r="569" ht="18" customHeight="1" x14ac:dyDescent="0.2"/>
    <row r="570" ht="18" customHeight="1" x14ac:dyDescent="0.2"/>
    <row r="571" ht="18" customHeight="1" x14ac:dyDescent="0.2"/>
    <row r="572" ht="18" customHeight="1" x14ac:dyDescent="0.2"/>
    <row r="573" ht="18" customHeight="1" x14ac:dyDescent="0.2"/>
    <row r="574" ht="18" customHeight="1" x14ac:dyDescent="0.2"/>
    <row r="575" ht="18" customHeight="1" x14ac:dyDescent="0.2"/>
    <row r="576" ht="18" customHeight="1" x14ac:dyDescent="0.2"/>
    <row r="577" ht="18" customHeight="1" x14ac:dyDescent="0.2"/>
    <row r="578" ht="18" customHeight="1" x14ac:dyDescent="0.2"/>
    <row r="579" ht="18" customHeight="1" x14ac:dyDescent="0.2"/>
    <row r="580" ht="18" customHeight="1" x14ac:dyDescent="0.2"/>
    <row r="581" ht="18" customHeight="1" x14ac:dyDescent="0.2"/>
    <row r="582" ht="18" customHeight="1" x14ac:dyDescent="0.2"/>
    <row r="583" ht="18" customHeight="1" x14ac:dyDescent="0.2"/>
    <row r="584" ht="18" customHeight="1" x14ac:dyDescent="0.2"/>
    <row r="585" ht="18" customHeight="1" x14ac:dyDescent="0.2"/>
    <row r="586" ht="18" customHeight="1" x14ac:dyDescent="0.2"/>
    <row r="587" ht="18" customHeight="1" x14ac:dyDescent="0.2"/>
    <row r="588" ht="18" customHeight="1" x14ac:dyDescent="0.2"/>
    <row r="589" ht="18" customHeight="1" x14ac:dyDescent="0.2"/>
    <row r="590" ht="18" customHeight="1" x14ac:dyDescent="0.2"/>
    <row r="591" ht="18" customHeight="1" x14ac:dyDescent="0.2"/>
    <row r="592" ht="18" customHeight="1" x14ac:dyDescent="0.2"/>
    <row r="593" ht="18" customHeight="1" x14ac:dyDescent="0.2"/>
    <row r="594" ht="18" customHeight="1" x14ac:dyDescent="0.2"/>
    <row r="595" ht="18" customHeight="1" x14ac:dyDescent="0.2"/>
    <row r="596" ht="18" customHeight="1" x14ac:dyDescent="0.2"/>
    <row r="597" ht="18" customHeight="1" x14ac:dyDescent="0.2"/>
    <row r="598" ht="18" customHeight="1" x14ac:dyDescent="0.2"/>
    <row r="599" ht="18" customHeight="1" x14ac:dyDescent="0.2"/>
    <row r="600" ht="18" customHeight="1" x14ac:dyDescent="0.2"/>
    <row r="601" ht="18" customHeight="1" x14ac:dyDescent="0.2"/>
    <row r="602" ht="18" customHeight="1" x14ac:dyDescent="0.2"/>
    <row r="603" ht="18" customHeight="1" x14ac:dyDescent="0.2"/>
    <row r="604" ht="18" customHeight="1" x14ac:dyDescent="0.2"/>
    <row r="605" ht="18" customHeight="1" x14ac:dyDescent="0.2"/>
    <row r="606" ht="18" customHeight="1" x14ac:dyDescent="0.2"/>
    <row r="607" ht="18" customHeight="1" x14ac:dyDescent="0.2"/>
    <row r="608" ht="18" customHeight="1" x14ac:dyDescent="0.2"/>
    <row r="609" ht="18" customHeight="1" x14ac:dyDescent="0.2"/>
    <row r="610" ht="18" customHeight="1" x14ac:dyDescent="0.2"/>
    <row r="611" ht="18" customHeight="1" x14ac:dyDescent="0.2"/>
    <row r="612" ht="18" customHeight="1" x14ac:dyDescent="0.2"/>
    <row r="613" ht="18" customHeight="1" x14ac:dyDescent="0.2"/>
    <row r="614" ht="18" customHeight="1" x14ac:dyDescent="0.2"/>
    <row r="615" ht="18" customHeight="1" x14ac:dyDescent="0.2"/>
    <row r="616" ht="18" customHeight="1" x14ac:dyDescent="0.2"/>
    <row r="617" ht="18" customHeight="1" x14ac:dyDescent="0.2"/>
    <row r="618" ht="18" customHeight="1" x14ac:dyDescent="0.2"/>
    <row r="619" ht="18" customHeight="1" x14ac:dyDescent="0.2"/>
    <row r="620" ht="18" customHeight="1" x14ac:dyDescent="0.2"/>
    <row r="621" ht="18" customHeight="1" x14ac:dyDescent="0.2"/>
    <row r="622" ht="18" customHeight="1" x14ac:dyDescent="0.2"/>
    <row r="623" ht="18" customHeight="1" x14ac:dyDescent="0.2"/>
    <row r="624" ht="18" customHeight="1" x14ac:dyDescent="0.2"/>
    <row r="625" ht="18" customHeight="1" x14ac:dyDescent="0.2"/>
    <row r="626" ht="18" customHeight="1" x14ac:dyDescent="0.2"/>
    <row r="627" ht="18" customHeight="1" x14ac:dyDescent="0.2"/>
    <row r="628" ht="18" customHeight="1" x14ac:dyDescent="0.2"/>
    <row r="629" ht="18" customHeight="1" x14ac:dyDescent="0.2"/>
    <row r="630" ht="18" customHeight="1" x14ac:dyDescent="0.2"/>
    <row r="631" ht="18" customHeight="1" x14ac:dyDescent="0.2"/>
    <row r="632" ht="18" customHeight="1" x14ac:dyDescent="0.2"/>
    <row r="633" ht="18" customHeight="1" x14ac:dyDescent="0.2"/>
    <row r="634" ht="18" customHeight="1" x14ac:dyDescent="0.2"/>
    <row r="635" ht="18" customHeight="1" x14ac:dyDescent="0.2"/>
    <row r="636" ht="18" customHeight="1" x14ac:dyDescent="0.2"/>
    <row r="637" ht="18" customHeight="1" x14ac:dyDescent="0.2"/>
    <row r="638" ht="18" customHeight="1" x14ac:dyDescent="0.2"/>
    <row r="639" ht="18" customHeight="1" x14ac:dyDescent="0.2"/>
    <row r="640" ht="18" customHeight="1" x14ac:dyDescent="0.2"/>
    <row r="641" ht="18" customHeight="1" x14ac:dyDescent="0.2"/>
    <row r="642" ht="18" customHeight="1" x14ac:dyDescent="0.2"/>
    <row r="643" ht="18" customHeight="1" x14ac:dyDescent="0.2"/>
    <row r="644" ht="18" customHeight="1" x14ac:dyDescent="0.2"/>
    <row r="645" ht="18" customHeight="1" x14ac:dyDescent="0.2"/>
    <row r="646" ht="18" customHeight="1" x14ac:dyDescent="0.2"/>
    <row r="647" ht="18" customHeight="1" x14ac:dyDescent="0.2"/>
    <row r="648" ht="18" customHeight="1" x14ac:dyDescent="0.2"/>
    <row r="649" ht="18" customHeight="1" x14ac:dyDescent="0.2"/>
    <row r="650" ht="18" customHeight="1" x14ac:dyDescent="0.2"/>
    <row r="651" ht="18" customHeight="1" x14ac:dyDescent="0.2"/>
    <row r="652" ht="18" customHeight="1" x14ac:dyDescent="0.2"/>
    <row r="653" ht="18" customHeight="1" x14ac:dyDescent="0.2"/>
    <row r="654" ht="18" customHeight="1" x14ac:dyDescent="0.2"/>
    <row r="655" ht="18" customHeight="1" x14ac:dyDescent="0.2"/>
    <row r="656" ht="18" customHeight="1" x14ac:dyDescent="0.2"/>
    <row r="657" ht="18" customHeight="1" x14ac:dyDescent="0.2"/>
    <row r="658" ht="18" customHeight="1" x14ac:dyDescent="0.2"/>
    <row r="659" ht="18" customHeight="1" x14ac:dyDescent="0.2"/>
    <row r="660" ht="18" customHeight="1" x14ac:dyDescent="0.2"/>
    <row r="661" ht="18" customHeight="1" x14ac:dyDescent="0.2"/>
    <row r="662" ht="18" customHeight="1" x14ac:dyDescent="0.2"/>
    <row r="663" ht="18" customHeight="1" x14ac:dyDescent="0.2"/>
    <row r="664" ht="18" customHeight="1" x14ac:dyDescent="0.2"/>
    <row r="665" ht="18" customHeight="1" x14ac:dyDescent="0.2"/>
    <row r="666" ht="18" customHeight="1" x14ac:dyDescent="0.2"/>
    <row r="667" ht="18" customHeight="1" x14ac:dyDescent="0.2"/>
    <row r="668" ht="18" customHeight="1" x14ac:dyDescent="0.2"/>
    <row r="669" ht="18" customHeight="1" x14ac:dyDescent="0.2"/>
    <row r="670" ht="18" customHeight="1" x14ac:dyDescent="0.2"/>
    <row r="671" ht="18" customHeight="1" x14ac:dyDescent="0.2"/>
    <row r="672" ht="18" customHeight="1" x14ac:dyDescent="0.2"/>
    <row r="673" ht="18" customHeight="1" x14ac:dyDescent="0.2"/>
    <row r="674" ht="18" customHeight="1" x14ac:dyDescent="0.2"/>
    <row r="675" ht="18" customHeight="1" x14ac:dyDescent="0.2"/>
    <row r="676" ht="18" customHeight="1" x14ac:dyDescent="0.2"/>
    <row r="677" ht="18" customHeight="1" x14ac:dyDescent="0.2"/>
    <row r="678" ht="18" customHeight="1" x14ac:dyDescent="0.2"/>
    <row r="679" ht="18" customHeight="1" x14ac:dyDescent="0.2"/>
    <row r="680" ht="18" customHeight="1" x14ac:dyDescent="0.2"/>
    <row r="681" ht="18" customHeight="1" x14ac:dyDescent="0.2"/>
    <row r="682" ht="18" customHeight="1" x14ac:dyDescent="0.2"/>
    <row r="683" ht="18" customHeight="1" x14ac:dyDescent="0.2"/>
    <row r="684" ht="18" customHeight="1" x14ac:dyDescent="0.2"/>
    <row r="685" ht="18" customHeight="1" x14ac:dyDescent="0.2"/>
    <row r="686" ht="18" customHeight="1" x14ac:dyDescent="0.2"/>
    <row r="687" ht="18" customHeight="1" x14ac:dyDescent="0.2"/>
    <row r="688" ht="18" customHeight="1" x14ac:dyDescent="0.2"/>
    <row r="689" ht="18" customHeight="1" x14ac:dyDescent="0.2"/>
    <row r="690" ht="18" customHeight="1" x14ac:dyDescent="0.2"/>
    <row r="691" ht="18" customHeight="1" x14ac:dyDescent="0.2"/>
    <row r="692" ht="18" customHeight="1" x14ac:dyDescent="0.2"/>
    <row r="693" ht="18" customHeight="1" x14ac:dyDescent="0.2"/>
    <row r="694" ht="18" customHeight="1" x14ac:dyDescent="0.2"/>
    <row r="695" ht="18" customHeight="1" x14ac:dyDescent="0.2"/>
    <row r="696" ht="18" customHeight="1" x14ac:dyDescent="0.2"/>
    <row r="697" ht="18" customHeight="1" x14ac:dyDescent="0.2"/>
    <row r="698" ht="18" customHeight="1" x14ac:dyDescent="0.2"/>
    <row r="699" ht="18" customHeight="1" x14ac:dyDescent="0.2"/>
    <row r="700" ht="18" customHeight="1" x14ac:dyDescent="0.2"/>
    <row r="701" ht="18" customHeight="1" x14ac:dyDescent="0.2"/>
    <row r="702" ht="18" customHeight="1" x14ac:dyDescent="0.2"/>
    <row r="703" ht="18" customHeight="1" x14ac:dyDescent="0.2"/>
    <row r="704" ht="18" customHeight="1" x14ac:dyDescent="0.2"/>
    <row r="705" ht="18" customHeight="1" x14ac:dyDescent="0.2"/>
    <row r="706" ht="18" customHeight="1" x14ac:dyDescent="0.2"/>
    <row r="707" ht="18" customHeight="1" x14ac:dyDescent="0.2"/>
    <row r="708" ht="18" customHeight="1" x14ac:dyDescent="0.2"/>
    <row r="709" ht="18" customHeight="1" x14ac:dyDescent="0.2"/>
    <row r="710" ht="18" customHeight="1" x14ac:dyDescent="0.2"/>
    <row r="711" ht="18" customHeight="1" x14ac:dyDescent="0.2"/>
    <row r="712" ht="18" customHeight="1" x14ac:dyDescent="0.2"/>
    <row r="713" ht="18" customHeight="1" x14ac:dyDescent="0.2"/>
    <row r="714" ht="18" customHeight="1" x14ac:dyDescent="0.2"/>
    <row r="715" ht="18" customHeight="1" x14ac:dyDescent="0.2"/>
    <row r="716" ht="18" customHeight="1" x14ac:dyDescent="0.2"/>
    <row r="717" ht="18" customHeight="1" x14ac:dyDescent="0.2"/>
    <row r="718" ht="18" customHeight="1" x14ac:dyDescent="0.2"/>
    <row r="719" ht="18" customHeight="1" x14ac:dyDescent="0.2"/>
    <row r="720" ht="18" customHeight="1" x14ac:dyDescent="0.2"/>
    <row r="721" ht="18" customHeight="1" x14ac:dyDescent="0.2"/>
    <row r="722" ht="18" customHeight="1" x14ac:dyDescent="0.2"/>
    <row r="723" ht="18" customHeight="1" x14ac:dyDescent="0.2"/>
    <row r="724" ht="18" customHeight="1" x14ac:dyDescent="0.2"/>
    <row r="725" ht="18" customHeight="1" x14ac:dyDescent="0.2"/>
    <row r="726" ht="18" customHeight="1" x14ac:dyDescent="0.2"/>
    <row r="727" ht="18" customHeight="1" x14ac:dyDescent="0.2"/>
    <row r="728" ht="18" customHeight="1" x14ac:dyDescent="0.2"/>
    <row r="729" ht="18" customHeight="1" x14ac:dyDescent="0.2"/>
    <row r="730" ht="18" customHeight="1" x14ac:dyDescent="0.2"/>
    <row r="731" ht="18" customHeight="1" x14ac:dyDescent="0.2"/>
    <row r="732" ht="18" customHeight="1" x14ac:dyDescent="0.2"/>
    <row r="733" ht="18" customHeight="1" x14ac:dyDescent="0.2"/>
    <row r="734" ht="18" customHeight="1" x14ac:dyDescent="0.2"/>
    <row r="735" ht="18" customHeight="1" x14ac:dyDescent="0.2"/>
    <row r="736" ht="18" customHeight="1" x14ac:dyDescent="0.2"/>
    <row r="737" ht="18" customHeight="1" x14ac:dyDescent="0.2"/>
    <row r="738" ht="18" customHeight="1" x14ac:dyDescent="0.2"/>
    <row r="739" ht="18" customHeight="1" x14ac:dyDescent="0.2"/>
    <row r="740" ht="18" customHeight="1" x14ac:dyDescent="0.2"/>
    <row r="741" ht="18" customHeight="1" x14ac:dyDescent="0.2"/>
    <row r="742" ht="18" customHeight="1" x14ac:dyDescent="0.2"/>
    <row r="743" ht="18" customHeight="1" x14ac:dyDescent="0.2"/>
    <row r="744" ht="18" customHeight="1" x14ac:dyDescent="0.2"/>
    <row r="745" ht="18" customHeight="1" x14ac:dyDescent="0.2"/>
    <row r="746" ht="18" customHeight="1" x14ac:dyDescent="0.2"/>
    <row r="747" ht="18" customHeight="1" x14ac:dyDescent="0.2"/>
    <row r="748" ht="18" customHeight="1" x14ac:dyDescent="0.2"/>
    <row r="749" ht="18" customHeight="1" x14ac:dyDescent="0.2"/>
    <row r="750" ht="18" customHeight="1" x14ac:dyDescent="0.2"/>
    <row r="751" ht="18" customHeight="1" x14ac:dyDescent="0.2"/>
    <row r="752" ht="18" customHeight="1" x14ac:dyDescent="0.2"/>
    <row r="753" ht="18" customHeight="1" x14ac:dyDescent="0.2"/>
    <row r="754" ht="18" customHeight="1" x14ac:dyDescent="0.2"/>
    <row r="755" ht="18" customHeight="1" x14ac:dyDescent="0.2"/>
    <row r="756" ht="18" customHeight="1" x14ac:dyDescent="0.2"/>
    <row r="757" ht="18" customHeight="1" x14ac:dyDescent="0.2"/>
    <row r="758" ht="18" customHeight="1" x14ac:dyDescent="0.2"/>
    <row r="759" ht="18" customHeight="1" x14ac:dyDescent="0.2"/>
    <row r="760" ht="18" customHeight="1" x14ac:dyDescent="0.2"/>
    <row r="761" ht="18" customHeight="1" x14ac:dyDescent="0.2"/>
    <row r="762" ht="18" customHeight="1" x14ac:dyDescent="0.2"/>
    <row r="763" ht="18" customHeight="1" x14ac:dyDescent="0.2"/>
    <row r="764" ht="18" customHeight="1" x14ac:dyDescent="0.2"/>
    <row r="765" ht="18" customHeight="1" x14ac:dyDescent="0.2"/>
    <row r="766" ht="18" customHeight="1" x14ac:dyDescent="0.2"/>
    <row r="767" ht="18" customHeight="1" x14ac:dyDescent="0.2"/>
    <row r="768" ht="18" customHeight="1" x14ac:dyDescent="0.2"/>
    <row r="769" ht="18" customHeight="1" x14ac:dyDescent="0.2"/>
    <row r="770" ht="18" customHeight="1" x14ac:dyDescent="0.2"/>
    <row r="771" ht="18" customHeight="1" x14ac:dyDescent="0.2"/>
    <row r="772" ht="18" customHeight="1" x14ac:dyDescent="0.2"/>
    <row r="773" ht="18" customHeight="1" x14ac:dyDescent="0.2"/>
    <row r="774" ht="18" customHeight="1" x14ac:dyDescent="0.2"/>
    <row r="775" ht="18" customHeight="1" x14ac:dyDescent="0.2"/>
    <row r="776" ht="18" customHeight="1" x14ac:dyDescent="0.2"/>
    <row r="777" ht="18" customHeight="1" x14ac:dyDescent="0.2"/>
    <row r="778" ht="18" customHeight="1" x14ac:dyDescent="0.2"/>
    <row r="779" ht="18" customHeight="1" x14ac:dyDescent="0.2"/>
    <row r="780" ht="18" customHeight="1" x14ac:dyDescent="0.2"/>
    <row r="781" ht="18" customHeight="1" x14ac:dyDescent="0.2"/>
    <row r="782" ht="18" customHeight="1" x14ac:dyDescent="0.2"/>
    <row r="783" ht="18" customHeight="1" x14ac:dyDescent="0.2"/>
    <row r="784" ht="18" customHeight="1" x14ac:dyDescent="0.2"/>
    <row r="785" ht="18" customHeight="1" x14ac:dyDescent="0.2"/>
    <row r="786" ht="18" customHeight="1" x14ac:dyDescent="0.2"/>
    <row r="787" ht="18" customHeight="1" x14ac:dyDescent="0.2"/>
    <row r="788" ht="18" customHeight="1" x14ac:dyDescent="0.2"/>
    <row r="789" ht="18" customHeight="1" x14ac:dyDescent="0.2"/>
    <row r="790" ht="18" customHeight="1" x14ac:dyDescent="0.2"/>
    <row r="791" ht="18" customHeight="1" x14ac:dyDescent="0.2"/>
    <row r="792" ht="18" customHeight="1" x14ac:dyDescent="0.2"/>
    <row r="793" ht="18" customHeight="1" x14ac:dyDescent="0.2"/>
    <row r="794" ht="18" customHeight="1" x14ac:dyDescent="0.2"/>
    <row r="795" ht="18" customHeight="1" x14ac:dyDescent="0.2"/>
    <row r="796" ht="18" customHeight="1" x14ac:dyDescent="0.2"/>
    <row r="797" ht="18" customHeight="1" x14ac:dyDescent="0.2"/>
    <row r="798" ht="18" customHeight="1" x14ac:dyDescent="0.2"/>
    <row r="799" ht="18" customHeight="1" x14ac:dyDescent="0.2"/>
    <row r="800" ht="18" customHeight="1" x14ac:dyDescent="0.2"/>
    <row r="801" ht="18" customHeight="1" x14ac:dyDescent="0.2"/>
    <row r="802" ht="18" customHeight="1" x14ac:dyDescent="0.2"/>
    <row r="803" ht="18" customHeight="1" x14ac:dyDescent="0.2"/>
    <row r="804" ht="18" customHeight="1" x14ac:dyDescent="0.2"/>
    <row r="805" ht="18" customHeight="1" x14ac:dyDescent="0.2"/>
    <row r="806" ht="18" customHeight="1" x14ac:dyDescent="0.2"/>
    <row r="807" ht="18" customHeight="1" x14ac:dyDescent="0.2"/>
    <row r="808" ht="18" customHeight="1" x14ac:dyDescent="0.2"/>
    <row r="809" ht="18" customHeight="1" x14ac:dyDescent="0.2"/>
    <row r="810" ht="18" customHeight="1" x14ac:dyDescent="0.2"/>
    <row r="811" ht="18" customHeight="1" x14ac:dyDescent="0.2"/>
    <row r="812" ht="18" customHeight="1" x14ac:dyDescent="0.2"/>
    <row r="813" ht="18" customHeight="1" x14ac:dyDescent="0.2"/>
    <row r="814" ht="18" customHeight="1" x14ac:dyDescent="0.2"/>
    <row r="815" ht="18" customHeight="1" x14ac:dyDescent="0.2"/>
    <row r="816" ht="18" customHeight="1" x14ac:dyDescent="0.2"/>
    <row r="817" ht="18" customHeight="1" x14ac:dyDescent="0.2"/>
    <row r="818" ht="18" customHeight="1" x14ac:dyDescent="0.2"/>
    <row r="819" ht="18" customHeight="1" x14ac:dyDescent="0.2"/>
    <row r="820" ht="18" customHeight="1" x14ac:dyDescent="0.2"/>
    <row r="821" ht="18" customHeight="1" x14ac:dyDescent="0.2"/>
    <row r="822" ht="18" customHeight="1" x14ac:dyDescent="0.2"/>
    <row r="823" ht="18" customHeight="1" x14ac:dyDescent="0.2"/>
    <row r="824" ht="18" customHeight="1" x14ac:dyDescent="0.2"/>
    <row r="825" ht="18" customHeight="1" x14ac:dyDescent="0.2"/>
    <row r="826" ht="18" customHeight="1" x14ac:dyDescent="0.2"/>
    <row r="827" ht="18" customHeight="1" x14ac:dyDescent="0.2"/>
    <row r="828" ht="18" customHeight="1" x14ac:dyDescent="0.2"/>
    <row r="829" ht="18" customHeight="1" x14ac:dyDescent="0.2"/>
    <row r="830" ht="18" customHeight="1" x14ac:dyDescent="0.2"/>
    <row r="831" ht="18" customHeight="1" x14ac:dyDescent="0.2"/>
    <row r="832" ht="18" customHeight="1" x14ac:dyDescent="0.2"/>
    <row r="833" ht="18" customHeight="1" x14ac:dyDescent="0.2"/>
    <row r="834" ht="18" customHeight="1" x14ac:dyDescent="0.2"/>
    <row r="835" ht="18" customHeight="1" x14ac:dyDescent="0.2"/>
    <row r="836" ht="18" customHeight="1" x14ac:dyDescent="0.2"/>
    <row r="837" ht="18" customHeight="1" x14ac:dyDescent="0.2"/>
    <row r="838" ht="18" customHeight="1" x14ac:dyDescent="0.2"/>
    <row r="839" ht="18" customHeight="1" x14ac:dyDescent="0.2"/>
    <row r="840" ht="18" customHeight="1" x14ac:dyDescent="0.2"/>
    <row r="841" ht="18" customHeight="1" x14ac:dyDescent="0.2"/>
    <row r="842" ht="18" customHeight="1" x14ac:dyDescent="0.2"/>
    <row r="843" ht="18" customHeight="1" x14ac:dyDescent="0.2"/>
    <row r="844" ht="18" customHeight="1" x14ac:dyDescent="0.2"/>
    <row r="845" ht="18" customHeight="1" x14ac:dyDescent="0.2"/>
    <row r="846" ht="18" customHeight="1" x14ac:dyDescent="0.2"/>
    <row r="847" ht="18" customHeight="1" x14ac:dyDescent="0.2"/>
    <row r="848" ht="18" customHeight="1" x14ac:dyDescent="0.2"/>
    <row r="849" ht="18" customHeight="1" x14ac:dyDescent="0.2"/>
    <row r="850" ht="18" customHeight="1" x14ac:dyDescent="0.2"/>
    <row r="851" ht="18" customHeight="1" x14ac:dyDescent="0.2"/>
    <row r="852" ht="18" customHeight="1" x14ac:dyDescent="0.2"/>
    <row r="853" ht="18" customHeight="1" x14ac:dyDescent="0.2"/>
    <row r="854" ht="18" customHeight="1" x14ac:dyDescent="0.2"/>
    <row r="855" ht="18" customHeight="1" x14ac:dyDescent="0.2"/>
    <row r="856" ht="18" customHeight="1" x14ac:dyDescent="0.2"/>
    <row r="857" ht="18" customHeight="1" x14ac:dyDescent="0.2"/>
    <row r="858" ht="18" customHeight="1" x14ac:dyDescent="0.2"/>
    <row r="859" ht="18" customHeight="1" x14ac:dyDescent="0.2"/>
    <row r="860" ht="18" customHeight="1" x14ac:dyDescent="0.2"/>
    <row r="861" ht="18" customHeight="1" x14ac:dyDescent="0.2"/>
    <row r="862" ht="18" customHeight="1" x14ac:dyDescent="0.2"/>
    <row r="863" ht="18" customHeight="1" x14ac:dyDescent="0.2"/>
    <row r="864" ht="18" customHeight="1" x14ac:dyDescent="0.2"/>
    <row r="865" ht="18" customHeight="1" x14ac:dyDescent="0.2"/>
    <row r="866" ht="18" customHeight="1" x14ac:dyDescent="0.2"/>
    <row r="867" ht="18" customHeight="1" x14ac:dyDescent="0.2"/>
    <row r="868" ht="18" customHeight="1" x14ac:dyDescent="0.2"/>
    <row r="869" ht="18" customHeight="1" x14ac:dyDescent="0.2"/>
    <row r="870" ht="18" customHeight="1" x14ac:dyDescent="0.2"/>
    <row r="871" ht="18" customHeight="1" x14ac:dyDescent="0.2"/>
    <row r="872" ht="18" customHeight="1" x14ac:dyDescent="0.2"/>
    <row r="873" ht="18" customHeight="1" x14ac:dyDescent="0.2"/>
    <row r="874" ht="18" customHeight="1" x14ac:dyDescent="0.2"/>
    <row r="875" ht="18" customHeight="1" x14ac:dyDescent="0.2"/>
    <row r="876" ht="18" customHeight="1" x14ac:dyDescent="0.2"/>
    <row r="877" ht="18" customHeight="1" x14ac:dyDescent="0.2"/>
    <row r="878" ht="18" customHeight="1" x14ac:dyDescent="0.2"/>
    <row r="879" ht="18" customHeight="1" x14ac:dyDescent="0.2"/>
    <row r="880" ht="18" customHeight="1" x14ac:dyDescent="0.2"/>
    <row r="881" ht="18" customHeight="1" x14ac:dyDescent="0.2"/>
    <row r="882" ht="18" customHeight="1" x14ac:dyDescent="0.2"/>
    <row r="883" ht="18" customHeight="1" x14ac:dyDescent="0.2"/>
    <row r="884" ht="18" customHeight="1" x14ac:dyDescent="0.2"/>
    <row r="885" ht="18" customHeight="1" x14ac:dyDescent="0.2"/>
    <row r="886" ht="18" customHeight="1" x14ac:dyDescent="0.2"/>
    <row r="887" ht="18" customHeight="1" x14ac:dyDescent="0.2"/>
    <row r="888" ht="18" customHeight="1" x14ac:dyDescent="0.2"/>
    <row r="889" ht="18" customHeight="1" x14ac:dyDescent="0.2"/>
    <row r="890" ht="18" customHeight="1" x14ac:dyDescent="0.2"/>
    <row r="891" ht="18" customHeight="1" x14ac:dyDescent="0.2"/>
    <row r="892" ht="18" customHeight="1" x14ac:dyDescent="0.2"/>
    <row r="893" ht="18" customHeight="1" x14ac:dyDescent="0.2"/>
    <row r="894" ht="18" customHeight="1" x14ac:dyDescent="0.2"/>
    <row r="895" ht="18" customHeight="1" x14ac:dyDescent="0.2"/>
    <row r="896" ht="18" customHeight="1" x14ac:dyDescent="0.2"/>
    <row r="897" ht="18" customHeight="1" x14ac:dyDescent="0.2"/>
    <row r="898" ht="18" customHeight="1" x14ac:dyDescent="0.2"/>
    <row r="899" ht="18" customHeight="1" x14ac:dyDescent="0.2"/>
    <row r="900" ht="18" customHeight="1" x14ac:dyDescent="0.2"/>
    <row r="901" ht="18" customHeight="1" x14ac:dyDescent="0.2"/>
    <row r="902" ht="18" customHeight="1" x14ac:dyDescent="0.2"/>
    <row r="903" ht="18" customHeight="1" x14ac:dyDescent="0.2"/>
    <row r="904" ht="18" customHeight="1" x14ac:dyDescent="0.2"/>
    <row r="905" ht="18" customHeight="1" x14ac:dyDescent="0.2"/>
    <row r="906" ht="18" customHeight="1" x14ac:dyDescent="0.2"/>
    <row r="907" ht="18" customHeight="1" x14ac:dyDescent="0.2"/>
    <row r="908" ht="18" customHeight="1" x14ac:dyDescent="0.2"/>
    <row r="909" ht="18" customHeight="1" x14ac:dyDescent="0.2"/>
    <row r="910" ht="18" customHeight="1" x14ac:dyDescent="0.2"/>
    <row r="911" ht="18" customHeight="1" x14ac:dyDescent="0.2"/>
    <row r="912" ht="18" customHeight="1" x14ac:dyDescent="0.2"/>
    <row r="913" ht="18" customHeight="1" x14ac:dyDescent="0.2"/>
    <row r="914" ht="18" customHeight="1" x14ac:dyDescent="0.2"/>
    <row r="915" ht="18" customHeight="1" x14ac:dyDescent="0.2"/>
    <row r="916" ht="18" customHeight="1" x14ac:dyDescent="0.2"/>
    <row r="917" ht="18" customHeight="1" x14ac:dyDescent="0.2"/>
    <row r="918" ht="18" customHeight="1" x14ac:dyDescent="0.2"/>
    <row r="919" ht="18" customHeight="1" x14ac:dyDescent="0.2"/>
    <row r="920" ht="18" customHeight="1" x14ac:dyDescent="0.2"/>
    <row r="921" ht="18" customHeight="1" x14ac:dyDescent="0.2"/>
    <row r="922" ht="18" customHeight="1" x14ac:dyDescent="0.2"/>
    <row r="923" ht="18" customHeight="1" x14ac:dyDescent="0.2"/>
    <row r="924" ht="18" customHeight="1" x14ac:dyDescent="0.2"/>
    <row r="925" ht="18" customHeight="1" x14ac:dyDescent="0.2"/>
    <row r="926" ht="18" customHeight="1" x14ac:dyDescent="0.2"/>
    <row r="927" ht="18" customHeight="1" x14ac:dyDescent="0.2"/>
    <row r="928" ht="18" customHeight="1" x14ac:dyDescent="0.2"/>
    <row r="929" ht="18" customHeight="1" x14ac:dyDescent="0.2"/>
    <row r="930" ht="18" customHeight="1" x14ac:dyDescent="0.2"/>
    <row r="931" ht="18" customHeight="1" x14ac:dyDescent="0.2"/>
    <row r="932" ht="18" customHeight="1" x14ac:dyDescent="0.2"/>
    <row r="933" ht="18" customHeight="1" x14ac:dyDescent="0.2"/>
    <row r="934" ht="18" customHeight="1" x14ac:dyDescent="0.2"/>
    <row r="935" ht="18" customHeight="1" x14ac:dyDescent="0.2"/>
    <row r="936" ht="18" customHeight="1" x14ac:dyDescent="0.2"/>
    <row r="937" ht="18" customHeight="1" x14ac:dyDescent="0.2"/>
    <row r="938" ht="18" customHeight="1" x14ac:dyDescent="0.2"/>
    <row r="939" ht="18" customHeight="1" x14ac:dyDescent="0.2"/>
    <row r="940" ht="18" customHeight="1" x14ac:dyDescent="0.2"/>
    <row r="941" ht="18" customHeight="1" x14ac:dyDescent="0.2"/>
    <row r="942" ht="18" customHeight="1" x14ac:dyDescent="0.2"/>
    <row r="943" ht="18" customHeight="1" x14ac:dyDescent="0.2"/>
    <row r="944" ht="18" customHeight="1" x14ac:dyDescent="0.2"/>
    <row r="945" ht="18" customHeight="1" x14ac:dyDescent="0.2"/>
    <row r="946" ht="18" customHeight="1" x14ac:dyDescent="0.2"/>
    <row r="947" ht="18" customHeight="1" x14ac:dyDescent="0.2"/>
    <row r="948" ht="18" customHeight="1" x14ac:dyDescent="0.2"/>
    <row r="949" ht="18" customHeight="1" x14ac:dyDescent="0.2"/>
    <row r="950" ht="18" customHeight="1" x14ac:dyDescent="0.2"/>
    <row r="951" ht="18" customHeight="1" x14ac:dyDescent="0.2"/>
    <row r="952" ht="18" customHeight="1" x14ac:dyDescent="0.2"/>
    <row r="953" ht="18" customHeight="1" x14ac:dyDescent="0.2"/>
    <row r="954" ht="18" customHeight="1" x14ac:dyDescent="0.2"/>
    <row r="955" ht="18" customHeight="1" x14ac:dyDescent="0.2"/>
    <row r="956" ht="18" customHeight="1" x14ac:dyDescent="0.2"/>
    <row r="957" ht="18" customHeight="1" x14ac:dyDescent="0.2"/>
    <row r="958" ht="18" customHeight="1" x14ac:dyDescent="0.2"/>
    <row r="959" ht="18" customHeight="1" x14ac:dyDescent="0.2"/>
    <row r="960" ht="18" customHeight="1" x14ac:dyDescent="0.2"/>
    <row r="961" ht="18" customHeight="1" x14ac:dyDescent="0.2"/>
    <row r="962" ht="18" customHeight="1" x14ac:dyDescent="0.2"/>
    <row r="963" ht="18" customHeight="1" x14ac:dyDescent="0.2"/>
    <row r="964" ht="18" customHeight="1" x14ac:dyDescent="0.2"/>
    <row r="965" ht="18" customHeight="1" x14ac:dyDescent="0.2"/>
    <row r="966" ht="18" customHeight="1" x14ac:dyDescent="0.2"/>
    <row r="967" ht="18" customHeight="1" x14ac:dyDescent="0.2"/>
    <row r="968" ht="18" customHeight="1" x14ac:dyDescent="0.2"/>
    <row r="969" ht="18" customHeight="1" x14ac:dyDescent="0.2"/>
    <row r="970" ht="18" customHeight="1" x14ac:dyDescent="0.2"/>
    <row r="971" ht="18" customHeight="1" x14ac:dyDescent="0.2"/>
    <row r="972" ht="18" customHeight="1" x14ac:dyDescent="0.2"/>
    <row r="973" ht="18" customHeight="1" x14ac:dyDescent="0.2"/>
    <row r="974" ht="18" customHeight="1" x14ac:dyDescent="0.2"/>
    <row r="975" ht="18" customHeight="1" x14ac:dyDescent="0.2"/>
    <row r="976" ht="18" customHeight="1" x14ac:dyDescent="0.2"/>
    <row r="977" ht="18" customHeight="1" x14ac:dyDescent="0.2"/>
    <row r="978" ht="18" customHeight="1" x14ac:dyDescent="0.2"/>
    <row r="979" ht="18" customHeight="1" x14ac:dyDescent="0.2"/>
    <row r="980" ht="18" customHeight="1" x14ac:dyDescent="0.2"/>
    <row r="981" ht="18" customHeight="1" x14ac:dyDescent="0.2"/>
    <row r="982" ht="18" customHeight="1" x14ac:dyDescent="0.2"/>
    <row r="983" ht="18" customHeight="1" x14ac:dyDescent="0.2"/>
    <row r="984" ht="18" customHeight="1" x14ac:dyDescent="0.2"/>
    <row r="985" ht="18" customHeight="1" x14ac:dyDescent="0.2"/>
    <row r="986" ht="18" customHeight="1" x14ac:dyDescent="0.2"/>
    <row r="987" ht="18" customHeight="1" x14ac:dyDescent="0.2"/>
    <row r="988" ht="18" customHeight="1" x14ac:dyDescent="0.2"/>
    <row r="989" ht="18" customHeight="1" x14ac:dyDescent="0.2"/>
    <row r="990" ht="18" customHeight="1" x14ac:dyDescent="0.2"/>
    <row r="991" ht="18" customHeight="1" x14ac:dyDescent="0.2"/>
    <row r="992" ht="18" customHeight="1" x14ac:dyDescent="0.2"/>
    <row r="993" ht="18" customHeight="1" x14ac:dyDescent="0.2"/>
    <row r="994" ht="18" customHeight="1" x14ac:dyDescent="0.2"/>
    <row r="995" ht="18" customHeight="1" x14ac:dyDescent="0.2"/>
    <row r="996" ht="18" customHeight="1" x14ac:dyDescent="0.2"/>
    <row r="997" ht="18" customHeight="1" x14ac:dyDescent="0.2"/>
    <row r="998" ht="18" customHeight="1" x14ac:dyDescent="0.2"/>
    <row r="999" ht="18" customHeight="1" x14ac:dyDescent="0.2"/>
    <row r="1000" ht="18" customHeight="1" x14ac:dyDescent="0.2"/>
    <row r="1001" ht="18" customHeight="1" x14ac:dyDescent="0.2"/>
    <row r="1002" ht="18" customHeight="1" x14ac:dyDescent="0.2"/>
    <row r="1003" ht="18" customHeight="1" x14ac:dyDescent="0.2"/>
    <row r="1004" ht="18" customHeight="1" x14ac:dyDescent="0.2"/>
    <row r="1005" ht="18" customHeight="1" x14ac:dyDescent="0.2"/>
    <row r="1006" ht="18" customHeight="1" x14ac:dyDescent="0.2"/>
    <row r="1007" ht="18" customHeight="1" x14ac:dyDescent="0.2"/>
    <row r="1008" ht="18" customHeight="1" x14ac:dyDescent="0.2"/>
    <row r="1009" ht="18" customHeight="1" x14ac:dyDescent="0.2"/>
    <row r="1010" ht="18" customHeight="1" x14ac:dyDescent="0.2"/>
    <row r="1011" ht="18" customHeight="1" x14ac:dyDescent="0.2"/>
    <row r="1012" ht="18" customHeight="1" x14ac:dyDescent="0.2"/>
    <row r="1013" ht="18" customHeight="1" x14ac:dyDescent="0.2"/>
    <row r="1014" ht="18" customHeight="1" x14ac:dyDescent="0.2"/>
    <row r="1015" ht="18" customHeight="1" x14ac:dyDescent="0.2"/>
    <row r="1016" ht="18" customHeight="1" x14ac:dyDescent="0.2"/>
    <row r="1017" ht="18" customHeight="1" x14ac:dyDescent="0.2"/>
    <row r="1018" ht="18" customHeight="1" x14ac:dyDescent="0.2"/>
    <row r="1019" ht="18" customHeight="1" x14ac:dyDescent="0.2"/>
    <row r="1020" ht="18" customHeight="1" x14ac:dyDescent="0.2"/>
    <row r="1021" ht="18" customHeight="1" x14ac:dyDescent="0.2"/>
    <row r="1022" ht="18" customHeight="1" x14ac:dyDescent="0.2"/>
    <row r="1023" ht="18" customHeight="1" x14ac:dyDescent="0.2"/>
    <row r="1024" ht="18" customHeight="1" x14ac:dyDescent="0.2"/>
    <row r="1025" ht="18" customHeight="1" x14ac:dyDescent="0.2"/>
    <row r="1026" ht="18" customHeight="1" x14ac:dyDescent="0.2"/>
    <row r="1027" ht="18" customHeight="1" x14ac:dyDescent="0.2"/>
    <row r="1028" ht="18" customHeight="1" x14ac:dyDescent="0.2"/>
    <row r="1029" ht="18" customHeight="1" x14ac:dyDescent="0.2"/>
    <row r="1030" ht="18" customHeight="1" x14ac:dyDescent="0.2"/>
    <row r="1031" ht="18" customHeight="1" x14ac:dyDescent="0.2"/>
    <row r="1032" ht="18" customHeight="1" x14ac:dyDescent="0.2"/>
    <row r="1033" ht="18" customHeight="1" x14ac:dyDescent="0.2"/>
    <row r="1034" ht="18" customHeight="1" x14ac:dyDescent="0.2"/>
    <row r="1035" ht="18" customHeight="1" x14ac:dyDescent="0.2"/>
    <row r="1036" ht="18" customHeight="1" x14ac:dyDescent="0.2"/>
    <row r="1037" ht="18" customHeight="1" x14ac:dyDescent="0.2"/>
    <row r="1038" ht="18" customHeight="1" x14ac:dyDescent="0.2"/>
    <row r="1039" ht="18" customHeight="1" x14ac:dyDescent="0.2"/>
    <row r="1040" ht="18" customHeight="1" x14ac:dyDescent="0.2"/>
    <row r="1041" spans="1:19" ht="18" customHeight="1" x14ac:dyDescent="0.2"/>
    <row r="1042" spans="1:19" ht="18" customHeight="1" x14ac:dyDescent="0.2"/>
    <row r="1043" spans="1:19" ht="18" customHeight="1" x14ac:dyDescent="0.2"/>
    <row r="1044" spans="1:19" ht="18" customHeight="1" x14ac:dyDescent="0.2"/>
    <row r="1045" spans="1:19" ht="18" customHeight="1" x14ac:dyDescent="0.2"/>
    <row r="1046" spans="1:19" ht="18" customHeight="1" x14ac:dyDescent="0.2"/>
    <row r="1047" spans="1:19" ht="18" customHeight="1" x14ac:dyDescent="0.4">
      <c r="A1047" s="1457" t="s">
        <v>422</v>
      </c>
      <c r="B1047" s="1457"/>
      <c r="C1047" s="1457"/>
      <c r="D1047" s="1457"/>
      <c r="E1047" s="1457"/>
      <c r="F1047" s="1457"/>
      <c r="G1047" s="1457"/>
      <c r="H1047" s="1457"/>
      <c r="I1047" s="1457"/>
      <c r="J1047" s="1457"/>
      <c r="K1047" s="1457"/>
      <c r="L1047" s="1457"/>
      <c r="M1047" s="1457"/>
      <c r="N1047" s="1457"/>
      <c r="O1047" s="1457"/>
      <c r="P1047" s="1457"/>
      <c r="Q1047" s="1457"/>
      <c r="R1047" s="1457"/>
      <c r="S1047" s="1457"/>
    </row>
    <row r="1048" spans="1:19" ht="18" customHeight="1" x14ac:dyDescent="0.2"/>
    <row r="1049" spans="1:19" ht="18" customHeight="1" x14ac:dyDescent="0.2"/>
    <row r="1050" spans="1:19" ht="18" customHeight="1" x14ac:dyDescent="0.2"/>
    <row r="1051" spans="1:19" ht="18" customHeight="1" x14ac:dyDescent="0.2"/>
  </sheetData>
  <mergeCells count="22">
    <mergeCell ref="A2:S2"/>
    <mergeCell ref="O3:P3"/>
    <mergeCell ref="O4:P4"/>
    <mergeCell ref="A6:A7"/>
    <mergeCell ref="B6:B7"/>
    <mergeCell ref="C6:C7"/>
    <mergeCell ref="N6:O6"/>
    <mergeCell ref="P6:P7"/>
    <mergeCell ref="Q6:Q7"/>
    <mergeCell ref="R6:R7"/>
    <mergeCell ref="A1047:S1047"/>
    <mergeCell ref="AF69:AG69"/>
    <mergeCell ref="A111:B111"/>
    <mergeCell ref="A112:B112"/>
    <mergeCell ref="A113:B113"/>
    <mergeCell ref="N114:O114"/>
    <mergeCell ref="A115:I115"/>
    <mergeCell ref="A116:I116"/>
    <mergeCell ref="A117:I117"/>
    <mergeCell ref="A118:I118"/>
    <mergeCell ref="A119:I119"/>
    <mergeCell ref="N119:O119"/>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70441-307F-42AC-9E21-A30C4A47F554}">
  <sheetPr>
    <tabColor rgb="FF00B0F0"/>
  </sheetPr>
  <dimension ref="A2:AG1051"/>
  <sheetViews>
    <sheetView topLeftCell="A79" zoomScale="60" zoomScaleNormal="60" workbookViewId="0">
      <selection activeCell="S86" sqref="S86:S104"/>
    </sheetView>
  </sheetViews>
  <sheetFormatPr defaultRowHeight="12.75" x14ac:dyDescent="0.2"/>
  <cols>
    <col min="1" max="1" width="8.7109375" style="63" customWidth="1"/>
    <col min="2" max="2" width="40.7109375" style="63" hidden="1" customWidth="1"/>
    <col min="3" max="3" width="40.7109375" style="63" customWidth="1"/>
    <col min="4" max="4" width="9.5703125" style="63" customWidth="1"/>
    <col min="5" max="13" width="8.7109375" style="63" customWidth="1"/>
    <col min="14" max="14" width="12.7109375" style="63" customWidth="1"/>
    <col min="15" max="15" width="25.7109375" style="63" customWidth="1"/>
    <col min="16" max="16" width="10.7109375" style="657" customWidth="1"/>
    <col min="17" max="17" width="10.7109375" style="656" customWidth="1"/>
    <col min="18" max="18" width="18" style="657" customWidth="1"/>
    <col min="19" max="19" width="12.7109375" style="63" customWidth="1"/>
    <col min="20" max="20" width="4.140625" style="63" customWidth="1"/>
    <col min="21" max="30" width="15.7109375" style="63" customWidth="1"/>
    <col min="31" max="256" width="9.140625" style="63"/>
    <col min="257" max="257" width="8.7109375" style="63" customWidth="1"/>
    <col min="258" max="258" width="0" style="63" hidden="1" customWidth="1"/>
    <col min="259" max="259" width="40.7109375" style="63" customWidth="1"/>
    <col min="260" max="260" width="9.5703125" style="63" customWidth="1"/>
    <col min="261" max="269" width="8.7109375" style="63" customWidth="1"/>
    <col min="270" max="270" width="12.7109375" style="63" customWidth="1"/>
    <col min="271" max="271" width="25.7109375" style="63" customWidth="1"/>
    <col min="272" max="274" width="10.7109375" style="63" customWidth="1"/>
    <col min="275" max="275" width="12.7109375" style="63" customWidth="1"/>
    <col min="276" max="276" width="4.140625" style="63" customWidth="1"/>
    <col min="277" max="286" width="15.7109375" style="63" customWidth="1"/>
    <col min="287" max="512" width="9.140625" style="63"/>
    <col min="513" max="513" width="8.7109375" style="63" customWidth="1"/>
    <col min="514" max="514" width="0" style="63" hidden="1" customWidth="1"/>
    <col min="515" max="515" width="40.7109375" style="63" customWidth="1"/>
    <col min="516" max="516" width="9.5703125" style="63" customWidth="1"/>
    <col min="517" max="525" width="8.7109375" style="63" customWidth="1"/>
    <col min="526" max="526" width="12.7109375" style="63" customWidth="1"/>
    <col min="527" max="527" width="25.7109375" style="63" customWidth="1"/>
    <col min="528" max="530" width="10.7109375" style="63" customWidth="1"/>
    <col min="531" max="531" width="12.7109375" style="63" customWidth="1"/>
    <col min="532" max="532" width="4.140625" style="63" customWidth="1"/>
    <col min="533" max="542" width="15.7109375" style="63" customWidth="1"/>
    <col min="543" max="768" width="9.140625" style="63"/>
    <col min="769" max="769" width="8.7109375" style="63" customWidth="1"/>
    <col min="770" max="770" width="0" style="63" hidden="1" customWidth="1"/>
    <col min="771" max="771" width="40.7109375" style="63" customWidth="1"/>
    <col min="772" max="772" width="9.5703125" style="63" customWidth="1"/>
    <col min="773" max="781" width="8.7109375" style="63" customWidth="1"/>
    <col min="782" max="782" width="12.7109375" style="63" customWidth="1"/>
    <col min="783" max="783" width="25.7109375" style="63" customWidth="1"/>
    <col min="784" max="786" width="10.7109375" style="63" customWidth="1"/>
    <col min="787" max="787" width="12.7109375" style="63" customWidth="1"/>
    <col min="788" max="788" width="4.140625" style="63" customWidth="1"/>
    <col min="789" max="798" width="15.7109375" style="63" customWidth="1"/>
    <col min="799" max="1024" width="9.140625" style="63"/>
    <col min="1025" max="1025" width="8.7109375" style="63" customWidth="1"/>
    <col min="1026" max="1026" width="0" style="63" hidden="1" customWidth="1"/>
    <col min="1027" max="1027" width="40.7109375" style="63" customWidth="1"/>
    <col min="1028" max="1028" width="9.5703125" style="63" customWidth="1"/>
    <col min="1029" max="1037" width="8.7109375" style="63" customWidth="1"/>
    <col min="1038" max="1038" width="12.7109375" style="63" customWidth="1"/>
    <col min="1039" max="1039" width="25.7109375" style="63" customWidth="1"/>
    <col min="1040" max="1042" width="10.7109375" style="63" customWidth="1"/>
    <col min="1043" max="1043" width="12.7109375" style="63" customWidth="1"/>
    <col min="1044" max="1044" width="4.140625" style="63" customWidth="1"/>
    <col min="1045" max="1054" width="15.7109375" style="63" customWidth="1"/>
    <col min="1055" max="1280" width="9.140625" style="63"/>
    <col min="1281" max="1281" width="8.7109375" style="63" customWidth="1"/>
    <col min="1282" max="1282" width="0" style="63" hidden="1" customWidth="1"/>
    <col min="1283" max="1283" width="40.7109375" style="63" customWidth="1"/>
    <col min="1284" max="1284" width="9.5703125" style="63" customWidth="1"/>
    <col min="1285" max="1293" width="8.7109375" style="63" customWidth="1"/>
    <col min="1294" max="1294" width="12.7109375" style="63" customWidth="1"/>
    <col min="1295" max="1295" width="25.7109375" style="63" customWidth="1"/>
    <col min="1296" max="1298" width="10.7109375" style="63" customWidth="1"/>
    <col min="1299" max="1299" width="12.7109375" style="63" customWidth="1"/>
    <col min="1300" max="1300" width="4.140625" style="63" customWidth="1"/>
    <col min="1301" max="1310" width="15.7109375" style="63" customWidth="1"/>
    <col min="1311" max="1536" width="9.140625" style="63"/>
    <col min="1537" max="1537" width="8.7109375" style="63" customWidth="1"/>
    <col min="1538" max="1538" width="0" style="63" hidden="1" customWidth="1"/>
    <col min="1539" max="1539" width="40.7109375" style="63" customWidth="1"/>
    <col min="1540" max="1540" width="9.5703125" style="63" customWidth="1"/>
    <col min="1541" max="1549" width="8.7109375" style="63" customWidth="1"/>
    <col min="1550" max="1550" width="12.7109375" style="63" customWidth="1"/>
    <col min="1551" max="1551" width="25.7109375" style="63" customWidth="1"/>
    <col min="1552" max="1554" width="10.7109375" style="63" customWidth="1"/>
    <col min="1555" max="1555" width="12.7109375" style="63" customWidth="1"/>
    <col min="1556" max="1556" width="4.140625" style="63" customWidth="1"/>
    <col min="1557" max="1566" width="15.7109375" style="63" customWidth="1"/>
    <col min="1567" max="1792" width="9.140625" style="63"/>
    <col min="1793" max="1793" width="8.7109375" style="63" customWidth="1"/>
    <col min="1794" max="1794" width="0" style="63" hidden="1" customWidth="1"/>
    <col min="1795" max="1795" width="40.7109375" style="63" customWidth="1"/>
    <col min="1796" max="1796" width="9.5703125" style="63" customWidth="1"/>
    <col min="1797" max="1805" width="8.7109375" style="63" customWidth="1"/>
    <col min="1806" max="1806" width="12.7109375" style="63" customWidth="1"/>
    <col min="1807" max="1807" width="25.7109375" style="63" customWidth="1"/>
    <col min="1808" max="1810" width="10.7109375" style="63" customWidth="1"/>
    <col min="1811" max="1811" width="12.7109375" style="63" customWidth="1"/>
    <col min="1812" max="1812" width="4.140625" style="63" customWidth="1"/>
    <col min="1813" max="1822" width="15.7109375" style="63" customWidth="1"/>
    <col min="1823" max="2048" width="9.140625" style="63"/>
    <col min="2049" max="2049" width="8.7109375" style="63" customWidth="1"/>
    <col min="2050" max="2050" width="0" style="63" hidden="1" customWidth="1"/>
    <col min="2051" max="2051" width="40.7109375" style="63" customWidth="1"/>
    <col min="2052" max="2052" width="9.5703125" style="63" customWidth="1"/>
    <col min="2053" max="2061" width="8.7109375" style="63" customWidth="1"/>
    <col min="2062" max="2062" width="12.7109375" style="63" customWidth="1"/>
    <col min="2063" max="2063" width="25.7109375" style="63" customWidth="1"/>
    <col min="2064" max="2066" width="10.7109375" style="63" customWidth="1"/>
    <col min="2067" max="2067" width="12.7109375" style="63" customWidth="1"/>
    <col min="2068" max="2068" width="4.140625" style="63" customWidth="1"/>
    <col min="2069" max="2078" width="15.7109375" style="63" customWidth="1"/>
    <col min="2079" max="2304" width="9.140625" style="63"/>
    <col min="2305" max="2305" width="8.7109375" style="63" customWidth="1"/>
    <col min="2306" max="2306" width="0" style="63" hidden="1" customWidth="1"/>
    <col min="2307" max="2307" width="40.7109375" style="63" customWidth="1"/>
    <col min="2308" max="2308" width="9.5703125" style="63" customWidth="1"/>
    <col min="2309" max="2317" width="8.7109375" style="63" customWidth="1"/>
    <col min="2318" max="2318" width="12.7109375" style="63" customWidth="1"/>
    <col min="2319" max="2319" width="25.7109375" style="63" customWidth="1"/>
    <col min="2320" max="2322" width="10.7109375" style="63" customWidth="1"/>
    <col min="2323" max="2323" width="12.7109375" style="63" customWidth="1"/>
    <col min="2324" max="2324" width="4.140625" style="63" customWidth="1"/>
    <col min="2325" max="2334" width="15.7109375" style="63" customWidth="1"/>
    <col min="2335" max="2560" width="9.140625" style="63"/>
    <col min="2561" max="2561" width="8.7109375" style="63" customWidth="1"/>
    <col min="2562" max="2562" width="0" style="63" hidden="1" customWidth="1"/>
    <col min="2563" max="2563" width="40.7109375" style="63" customWidth="1"/>
    <col min="2564" max="2564" width="9.5703125" style="63" customWidth="1"/>
    <col min="2565" max="2573" width="8.7109375" style="63" customWidth="1"/>
    <col min="2574" max="2574" width="12.7109375" style="63" customWidth="1"/>
    <col min="2575" max="2575" width="25.7109375" style="63" customWidth="1"/>
    <col min="2576" max="2578" width="10.7109375" style="63" customWidth="1"/>
    <col min="2579" max="2579" width="12.7109375" style="63" customWidth="1"/>
    <col min="2580" max="2580" width="4.140625" style="63" customWidth="1"/>
    <col min="2581" max="2590" width="15.7109375" style="63" customWidth="1"/>
    <col min="2591" max="2816" width="9.140625" style="63"/>
    <col min="2817" max="2817" width="8.7109375" style="63" customWidth="1"/>
    <col min="2818" max="2818" width="0" style="63" hidden="1" customWidth="1"/>
    <col min="2819" max="2819" width="40.7109375" style="63" customWidth="1"/>
    <col min="2820" max="2820" width="9.5703125" style="63" customWidth="1"/>
    <col min="2821" max="2829" width="8.7109375" style="63" customWidth="1"/>
    <col min="2830" max="2830" width="12.7109375" style="63" customWidth="1"/>
    <col min="2831" max="2831" width="25.7109375" style="63" customWidth="1"/>
    <col min="2832" max="2834" width="10.7109375" style="63" customWidth="1"/>
    <col min="2835" max="2835" width="12.7109375" style="63" customWidth="1"/>
    <col min="2836" max="2836" width="4.140625" style="63" customWidth="1"/>
    <col min="2837" max="2846" width="15.7109375" style="63" customWidth="1"/>
    <col min="2847" max="3072" width="9.140625" style="63"/>
    <col min="3073" max="3073" width="8.7109375" style="63" customWidth="1"/>
    <col min="3074" max="3074" width="0" style="63" hidden="1" customWidth="1"/>
    <col min="3075" max="3075" width="40.7109375" style="63" customWidth="1"/>
    <col min="3076" max="3076" width="9.5703125" style="63" customWidth="1"/>
    <col min="3077" max="3085" width="8.7109375" style="63" customWidth="1"/>
    <col min="3086" max="3086" width="12.7109375" style="63" customWidth="1"/>
    <col min="3087" max="3087" width="25.7109375" style="63" customWidth="1"/>
    <col min="3088" max="3090" width="10.7109375" style="63" customWidth="1"/>
    <col min="3091" max="3091" width="12.7109375" style="63" customWidth="1"/>
    <col min="3092" max="3092" width="4.140625" style="63" customWidth="1"/>
    <col min="3093" max="3102" width="15.7109375" style="63" customWidth="1"/>
    <col min="3103" max="3328" width="9.140625" style="63"/>
    <col min="3329" max="3329" width="8.7109375" style="63" customWidth="1"/>
    <col min="3330" max="3330" width="0" style="63" hidden="1" customWidth="1"/>
    <col min="3331" max="3331" width="40.7109375" style="63" customWidth="1"/>
    <col min="3332" max="3332" width="9.5703125" style="63" customWidth="1"/>
    <col min="3333" max="3341" width="8.7109375" style="63" customWidth="1"/>
    <col min="3342" max="3342" width="12.7109375" style="63" customWidth="1"/>
    <col min="3343" max="3343" width="25.7109375" style="63" customWidth="1"/>
    <col min="3344" max="3346" width="10.7109375" style="63" customWidth="1"/>
    <col min="3347" max="3347" width="12.7109375" style="63" customWidth="1"/>
    <col min="3348" max="3348" width="4.140625" style="63" customWidth="1"/>
    <col min="3349" max="3358" width="15.7109375" style="63" customWidth="1"/>
    <col min="3359" max="3584" width="9.140625" style="63"/>
    <col min="3585" max="3585" width="8.7109375" style="63" customWidth="1"/>
    <col min="3586" max="3586" width="0" style="63" hidden="1" customWidth="1"/>
    <col min="3587" max="3587" width="40.7109375" style="63" customWidth="1"/>
    <col min="3588" max="3588" width="9.5703125" style="63" customWidth="1"/>
    <col min="3589" max="3597" width="8.7109375" style="63" customWidth="1"/>
    <col min="3598" max="3598" width="12.7109375" style="63" customWidth="1"/>
    <col min="3599" max="3599" width="25.7109375" style="63" customWidth="1"/>
    <col min="3600" max="3602" width="10.7109375" style="63" customWidth="1"/>
    <col min="3603" max="3603" width="12.7109375" style="63" customWidth="1"/>
    <col min="3604" max="3604" width="4.140625" style="63" customWidth="1"/>
    <col min="3605" max="3614" width="15.7109375" style="63" customWidth="1"/>
    <col min="3615" max="3840" width="9.140625" style="63"/>
    <col min="3841" max="3841" width="8.7109375" style="63" customWidth="1"/>
    <col min="3842" max="3842" width="0" style="63" hidden="1" customWidth="1"/>
    <col min="3843" max="3843" width="40.7109375" style="63" customWidth="1"/>
    <col min="3844" max="3844" width="9.5703125" style="63" customWidth="1"/>
    <col min="3845" max="3853" width="8.7109375" style="63" customWidth="1"/>
    <col min="3854" max="3854" width="12.7109375" style="63" customWidth="1"/>
    <col min="3855" max="3855" width="25.7109375" style="63" customWidth="1"/>
    <col min="3856" max="3858" width="10.7109375" style="63" customWidth="1"/>
    <col min="3859" max="3859" width="12.7109375" style="63" customWidth="1"/>
    <col min="3860" max="3860" width="4.140625" style="63" customWidth="1"/>
    <col min="3861" max="3870" width="15.7109375" style="63" customWidth="1"/>
    <col min="3871" max="4096" width="9.140625" style="63"/>
    <col min="4097" max="4097" width="8.7109375" style="63" customWidth="1"/>
    <col min="4098" max="4098" width="0" style="63" hidden="1" customWidth="1"/>
    <col min="4099" max="4099" width="40.7109375" style="63" customWidth="1"/>
    <col min="4100" max="4100" width="9.5703125" style="63" customWidth="1"/>
    <col min="4101" max="4109" width="8.7109375" style="63" customWidth="1"/>
    <col min="4110" max="4110" width="12.7109375" style="63" customWidth="1"/>
    <col min="4111" max="4111" width="25.7109375" style="63" customWidth="1"/>
    <col min="4112" max="4114" width="10.7109375" style="63" customWidth="1"/>
    <col min="4115" max="4115" width="12.7109375" style="63" customWidth="1"/>
    <col min="4116" max="4116" width="4.140625" style="63" customWidth="1"/>
    <col min="4117" max="4126" width="15.7109375" style="63" customWidth="1"/>
    <col min="4127" max="4352" width="9.140625" style="63"/>
    <col min="4353" max="4353" width="8.7109375" style="63" customWidth="1"/>
    <col min="4354" max="4354" width="0" style="63" hidden="1" customWidth="1"/>
    <col min="4355" max="4355" width="40.7109375" style="63" customWidth="1"/>
    <col min="4356" max="4356" width="9.5703125" style="63" customWidth="1"/>
    <col min="4357" max="4365" width="8.7109375" style="63" customWidth="1"/>
    <col min="4366" max="4366" width="12.7109375" style="63" customWidth="1"/>
    <col min="4367" max="4367" width="25.7109375" style="63" customWidth="1"/>
    <col min="4368" max="4370" width="10.7109375" style="63" customWidth="1"/>
    <col min="4371" max="4371" width="12.7109375" style="63" customWidth="1"/>
    <col min="4372" max="4372" width="4.140625" style="63" customWidth="1"/>
    <col min="4373" max="4382" width="15.7109375" style="63" customWidth="1"/>
    <col min="4383" max="4608" width="9.140625" style="63"/>
    <col min="4609" max="4609" width="8.7109375" style="63" customWidth="1"/>
    <col min="4610" max="4610" width="0" style="63" hidden="1" customWidth="1"/>
    <col min="4611" max="4611" width="40.7109375" style="63" customWidth="1"/>
    <col min="4612" max="4612" width="9.5703125" style="63" customWidth="1"/>
    <col min="4613" max="4621" width="8.7109375" style="63" customWidth="1"/>
    <col min="4622" max="4622" width="12.7109375" style="63" customWidth="1"/>
    <col min="4623" max="4623" width="25.7109375" style="63" customWidth="1"/>
    <col min="4624" max="4626" width="10.7109375" style="63" customWidth="1"/>
    <col min="4627" max="4627" width="12.7109375" style="63" customWidth="1"/>
    <col min="4628" max="4628" width="4.140625" style="63" customWidth="1"/>
    <col min="4629" max="4638" width="15.7109375" style="63" customWidth="1"/>
    <col min="4639" max="4864" width="9.140625" style="63"/>
    <col min="4865" max="4865" width="8.7109375" style="63" customWidth="1"/>
    <col min="4866" max="4866" width="0" style="63" hidden="1" customWidth="1"/>
    <col min="4867" max="4867" width="40.7109375" style="63" customWidth="1"/>
    <col min="4868" max="4868" width="9.5703125" style="63" customWidth="1"/>
    <col min="4869" max="4877" width="8.7109375" style="63" customWidth="1"/>
    <col min="4878" max="4878" width="12.7109375" style="63" customWidth="1"/>
    <col min="4879" max="4879" width="25.7109375" style="63" customWidth="1"/>
    <col min="4880" max="4882" width="10.7109375" style="63" customWidth="1"/>
    <col min="4883" max="4883" width="12.7109375" style="63" customWidth="1"/>
    <col min="4884" max="4884" width="4.140625" style="63" customWidth="1"/>
    <col min="4885" max="4894" width="15.7109375" style="63" customWidth="1"/>
    <col min="4895" max="5120" width="9.140625" style="63"/>
    <col min="5121" max="5121" width="8.7109375" style="63" customWidth="1"/>
    <col min="5122" max="5122" width="0" style="63" hidden="1" customWidth="1"/>
    <col min="5123" max="5123" width="40.7109375" style="63" customWidth="1"/>
    <col min="5124" max="5124" width="9.5703125" style="63" customWidth="1"/>
    <col min="5125" max="5133" width="8.7109375" style="63" customWidth="1"/>
    <col min="5134" max="5134" width="12.7109375" style="63" customWidth="1"/>
    <col min="5135" max="5135" width="25.7109375" style="63" customWidth="1"/>
    <col min="5136" max="5138" width="10.7109375" style="63" customWidth="1"/>
    <col min="5139" max="5139" width="12.7109375" style="63" customWidth="1"/>
    <col min="5140" max="5140" width="4.140625" style="63" customWidth="1"/>
    <col min="5141" max="5150" width="15.7109375" style="63" customWidth="1"/>
    <col min="5151" max="5376" width="9.140625" style="63"/>
    <col min="5377" max="5377" width="8.7109375" style="63" customWidth="1"/>
    <col min="5378" max="5378" width="0" style="63" hidden="1" customWidth="1"/>
    <col min="5379" max="5379" width="40.7109375" style="63" customWidth="1"/>
    <col min="5380" max="5380" width="9.5703125" style="63" customWidth="1"/>
    <col min="5381" max="5389" width="8.7109375" style="63" customWidth="1"/>
    <col min="5390" max="5390" width="12.7109375" style="63" customWidth="1"/>
    <col min="5391" max="5391" width="25.7109375" style="63" customWidth="1"/>
    <col min="5392" max="5394" width="10.7109375" style="63" customWidth="1"/>
    <col min="5395" max="5395" width="12.7109375" style="63" customWidth="1"/>
    <col min="5396" max="5396" width="4.140625" style="63" customWidth="1"/>
    <col min="5397" max="5406" width="15.7109375" style="63" customWidth="1"/>
    <col min="5407" max="5632" width="9.140625" style="63"/>
    <col min="5633" max="5633" width="8.7109375" style="63" customWidth="1"/>
    <col min="5634" max="5634" width="0" style="63" hidden="1" customWidth="1"/>
    <col min="5635" max="5635" width="40.7109375" style="63" customWidth="1"/>
    <col min="5636" max="5636" width="9.5703125" style="63" customWidth="1"/>
    <col min="5637" max="5645" width="8.7109375" style="63" customWidth="1"/>
    <col min="5646" max="5646" width="12.7109375" style="63" customWidth="1"/>
    <col min="5647" max="5647" width="25.7109375" style="63" customWidth="1"/>
    <col min="5648" max="5650" width="10.7109375" style="63" customWidth="1"/>
    <col min="5651" max="5651" width="12.7109375" style="63" customWidth="1"/>
    <col min="5652" max="5652" width="4.140625" style="63" customWidth="1"/>
    <col min="5653" max="5662" width="15.7109375" style="63" customWidth="1"/>
    <col min="5663" max="5888" width="9.140625" style="63"/>
    <col min="5889" max="5889" width="8.7109375" style="63" customWidth="1"/>
    <col min="5890" max="5890" width="0" style="63" hidden="1" customWidth="1"/>
    <col min="5891" max="5891" width="40.7109375" style="63" customWidth="1"/>
    <col min="5892" max="5892" width="9.5703125" style="63" customWidth="1"/>
    <col min="5893" max="5901" width="8.7109375" style="63" customWidth="1"/>
    <col min="5902" max="5902" width="12.7109375" style="63" customWidth="1"/>
    <col min="5903" max="5903" width="25.7109375" style="63" customWidth="1"/>
    <col min="5904" max="5906" width="10.7109375" style="63" customWidth="1"/>
    <col min="5907" max="5907" width="12.7109375" style="63" customWidth="1"/>
    <col min="5908" max="5908" width="4.140625" style="63" customWidth="1"/>
    <col min="5909" max="5918" width="15.7109375" style="63" customWidth="1"/>
    <col min="5919" max="6144" width="9.140625" style="63"/>
    <col min="6145" max="6145" width="8.7109375" style="63" customWidth="1"/>
    <col min="6146" max="6146" width="0" style="63" hidden="1" customWidth="1"/>
    <col min="6147" max="6147" width="40.7109375" style="63" customWidth="1"/>
    <col min="6148" max="6148" width="9.5703125" style="63" customWidth="1"/>
    <col min="6149" max="6157" width="8.7109375" style="63" customWidth="1"/>
    <col min="6158" max="6158" width="12.7109375" style="63" customWidth="1"/>
    <col min="6159" max="6159" width="25.7109375" style="63" customWidth="1"/>
    <col min="6160" max="6162" width="10.7109375" style="63" customWidth="1"/>
    <col min="6163" max="6163" width="12.7109375" style="63" customWidth="1"/>
    <col min="6164" max="6164" width="4.140625" style="63" customWidth="1"/>
    <col min="6165" max="6174" width="15.7109375" style="63" customWidth="1"/>
    <col min="6175" max="6400" width="9.140625" style="63"/>
    <col min="6401" max="6401" width="8.7109375" style="63" customWidth="1"/>
    <col min="6402" max="6402" width="0" style="63" hidden="1" customWidth="1"/>
    <col min="6403" max="6403" width="40.7109375" style="63" customWidth="1"/>
    <col min="6404" max="6404" width="9.5703125" style="63" customWidth="1"/>
    <col min="6405" max="6413" width="8.7109375" style="63" customWidth="1"/>
    <col min="6414" max="6414" width="12.7109375" style="63" customWidth="1"/>
    <col min="6415" max="6415" width="25.7109375" style="63" customWidth="1"/>
    <col min="6416" max="6418" width="10.7109375" style="63" customWidth="1"/>
    <col min="6419" max="6419" width="12.7109375" style="63" customWidth="1"/>
    <col min="6420" max="6420" width="4.140625" style="63" customWidth="1"/>
    <col min="6421" max="6430" width="15.7109375" style="63" customWidth="1"/>
    <col min="6431" max="6656" width="9.140625" style="63"/>
    <col min="6657" max="6657" width="8.7109375" style="63" customWidth="1"/>
    <col min="6658" max="6658" width="0" style="63" hidden="1" customWidth="1"/>
    <col min="6659" max="6659" width="40.7109375" style="63" customWidth="1"/>
    <col min="6660" max="6660" width="9.5703125" style="63" customWidth="1"/>
    <col min="6661" max="6669" width="8.7109375" style="63" customWidth="1"/>
    <col min="6670" max="6670" width="12.7109375" style="63" customWidth="1"/>
    <col min="6671" max="6671" width="25.7109375" style="63" customWidth="1"/>
    <col min="6672" max="6674" width="10.7109375" style="63" customWidth="1"/>
    <col min="6675" max="6675" width="12.7109375" style="63" customWidth="1"/>
    <col min="6676" max="6676" width="4.140625" style="63" customWidth="1"/>
    <col min="6677" max="6686" width="15.7109375" style="63" customWidth="1"/>
    <col min="6687" max="6912" width="9.140625" style="63"/>
    <col min="6913" max="6913" width="8.7109375" style="63" customWidth="1"/>
    <col min="6914" max="6914" width="0" style="63" hidden="1" customWidth="1"/>
    <col min="6915" max="6915" width="40.7109375" style="63" customWidth="1"/>
    <col min="6916" max="6916" width="9.5703125" style="63" customWidth="1"/>
    <col min="6917" max="6925" width="8.7109375" style="63" customWidth="1"/>
    <col min="6926" max="6926" width="12.7109375" style="63" customWidth="1"/>
    <col min="6927" max="6927" width="25.7109375" style="63" customWidth="1"/>
    <col min="6928" max="6930" width="10.7109375" style="63" customWidth="1"/>
    <col min="6931" max="6931" width="12.7109375" style="63" customWidth="1"/>
    <col min="6932" max="6932" width="4.140625" style="63" customWidth="1"/>
    <col min="6933" max="6942" width="15.7109375" style="63" customWidth="1"/>
    <col min="6943" max="7168" width="9.140625" style="63"/>
    <col min="7169" max="7169" width="8.7109375" style="63" customWidth="1"/>
    <col min="7170" max="7170" width="0" style="63" hidden="1" customWidth="1"/>
    <col min="7171" max="7171" width="40.7109375" style="63" customWidth="1"/>
    <col min="7172" max="7172" width="9.5703125" style="63" customWidth="1"/>
    <col min="7173" max="7181" width="8.7109375" style="63" customWidth="1"/>
    <col min="7182" max="7182" width="12.7109375" style="63" customWidth="1"/>
    <col min="7183" max="7183" width="25.7109375" style="63" customWidth="1"/>
    <col min="7184" max="7186" width="10.7109375" style="63" customWidth="1"/>
    <col min="7187" max="7187" width="12.7109375" style="63" customWidth="1"/>
    <col min="7188" max="7188" width="4.140625" style="63" customWidth="1"/>
    <col min="7189" max="7198" width="15.7109375" style="63" customWidth="1"/>
    <col min="7199" max="7424" width="9.140625" style="63"/>
    <col min="7425" max="7425" width="8.7109375" style="63" customWidth="1"/>
    <col min="7426" max="7426" width="0" style="63" hidden="1" customWidth="1"/>
    <col min="7427" max="7427" width="40.7109375" style="63" customWidth="1"/>
    <col min="7428" max="7428" width="9.5703125" style="63" customWidth="1"/>
    <col min="7429" max="7437" width="8.7109375" style="63" customWidth="1"/>
    <col min="7438" max="7438" width="12.7109375" style="63" customWidth="1"/>
    <col min="7439" max="7439" width="25.7109375" style="63" customWidth="1"/>
    <col min="7440" max="7442" width="10.7109375" style="63" customWidth="1"/>
    <col min="7443" max="7443" width="12.7109375" style="63" customWidth="1"/>
    <col min="7444" max="7444" width="4.140625" style="63" customWidth="1"/>
    <col min="7445" max="7454" width="15.7109375" style="63" customWidth="1"/>
    <col min="7455" max="7680" width="9.140625" style="63"/>
    <col min="7681" max="7681" width="8.7109375" style="63" customWidth="1"/>
    <col min="7682" max="7682" width="0" style="63" hidden="1" customWidth="1"/>
    <col min="7683" max="7683" width="40.7109375" style="63" customWidth="1"/>
    <col min="7684" max="7684" width="9.5703125" style="63" customWidth="1"/>
    <col min="7685" max="7693" width="8.7109375" style="63" customWidth="1"/>
    <col min="7694" max="7694" width="12.7109375" style="63" customWidth="1"/>
    <col min="7695" max="7695" width="25.7109375" style="63" customWidth="1"/>
    <col min="7696" max="7698" width="10.7109375" style="63" customWidth="1"/>
    <col min="7699" max="7699" width="12.7109375" style="63" customWidth="1"/>
    <col min="7700" max="7700" width="4.140625" style="63" customWidth="1"/>
    <col min="7701" max="7710" width="15.7109375" style="63" customWidth="1"/>
    <col min="7711" max="7936" width="9.140625" style="63"/>
    <col min="7937" max="7937" width="8.7109375" style="63" customWidth="1"/>
    <col min="7938" max="7938" width="0" style="63" hidden="1" customWidth="1"/>
    <col min="7939" max="7939" width="40.7109375" style="63" customWidth="1"/>
    <col min="7940" max="7940" width="9.5703125" style="63" customWidth="1"/>
    <col min="7941" max="7949" width="8.7109375" style="63" customWidth="1"/>
    <col min="7950" max="7950" width="12.7109375" style="63" customWidth="1"/>
    <col min="7951" max="7951" width="25.7109375" style="63" customWidth="1"/>
    <col min="7952" max="7954" width="10.7109375" style="63" customWidth="1"/>
    <col min="7955" max="7955" width="12.7109375" style="63" customWidth="1"/>
    <col min="7956" max="7956" width="4.140625" style="63" customWidth="1"/>
    <col min="7957" max="7966" width="15.7109375" style="63" customWidth="1"/>
    <col min="7967" max="8192" width="9.140625" style="63"/>
    <col min="8193" max="8193" width="8.7109375" style="63" customWidth="1"/>
    <col min="8194" max="8194" width="0" style="63" hidden="1" customWidth="1"/>
    <col min="8195" max="8195" width="40.7109375" style="63" customWidth="1"/>
    <col min="8196" max="8196" width="9.5703125" style="63" customWidth="1"/>
    <col min="8197" max="8205" width="8.7109375" style="63" customWidth="1"/>
    <col min="8206" max="8206" width="12.7109375" style="63" customWidth="1"/>
    <col min="8207" max="8207" width="25.7109375" style="63" customWidth="1"/>
    <col min="8208" max="8210" width="10.7109375" style="63" customWidth="1"/>
    <col min="8211" max="8211" width="12.7109375" style="63" customWidth="1"/>
    <col min="8212" max="8212" width="4.140625" style="63" customWidth="1"/>
    <col min="8213" max="8222" width="15.7109375" style="63" customWidth="1"/>
    <col min="8223" max="8448" width="9.140625" style="63"/>
    <col min="8449" max="8449" width="8.7109375" style="63" customWidth="1"/>
    <col min="8450" max="8450" width="0" style="63" hidden="1" customWidth="1"/>
    <col min="8451" max="8451" width="40.7109375" style="63" customWidth="1"/>
    <col min="8452" max="8452" width="9.5703125" style="63" customWidth="1"/>
    <col min="8453" max="8461" width="8.7109375" style="63" customWidth="1"/>
    <col min="8462" max="8462" width="12.7109375" style="63" customWidth="1"/>
    <col min="8463" max="8463" width="25.7109375" style="63" customWidth="1"/>
    <col min="8464" max="8466" width="10.7109375" style="63" customWidth="1"/>
    <col min="8467" max="8467" width="12.7109375" style="63" customWidth="1"/>
    <col min="8468" max="8468" width="4.140625" style="63" customWidth="1"/>
    <col min="8469" max="8478" width="15.7109375" style="63" customWidth="1"/>
    <col min="8479" max="8704" width="9.140625" style="63"/>
    <col min="8705" max="8705" width="8.7109375" style="63" customWidth="1"/>
    <col min="8706" max="8706" width="0" style="63" hidden="1" customWidth="1"/>
    <col min="8707" max="8707" width="40.7109375" style="63" customWidth="1"/>
    <col min="8708" max="8708" width="9.5703125" style="63" customWidth="1"/>
    <col min="8709" max="8717" width="8.7109375" style="63" customWidth="1"/>
    <col min="8718" max="8718" width="12.7109375" style="63" customWidth="1"/>
    <col min="8719" max="8719" width="25.7109375" style="63" customWidth="1"/>
    <col min="8720" max="8722" width="10.7109375" style="63" customWidth="1"/>
    <col min="8723" max="8723" width="12.7109375" style="63" customWidth="1"/>
    <col min="8724" max="8724" width="4.140625" style="63" customWidth="1"/>
    <col min="8725" max="8734" width="15.7109375" style="63" customWidth="1"/>
    <col min="8735" max="8960" width="9.140625" style="63"/>
    <col min="8961" max="8961" width="8.7109375" style="63" customWidth="1"/>
    <col min="8962" max="8962" width="0" style="63" hidden="1" customWidth="1"/>
    <col min="8963" max="8963" width="40.7109375" style="63" customWidth="1"/>
    <col min="8964" max="8964" width="9.5703125" style="63" customWidth="1"/>
    <col min="8965" max="8973" width="8.7109375" style="63" customWidth="1"/>
    <col min="8974" max="8974" width="12.7109375" style="63" customWidth="1"/>
    <col min="8975" max="8975" width="25.7109375" style="63" customWidth="1"/>
    <col min="8976" max="8978" width="10.7109375" style="63" customWidth="1"/>
    <col min="8979" max="8979" width="12.7109375" style="63" customWidth="1"/>
    <col min="8980" max="8980" width="4.140625" style="63" customWidth="1"/>
    <col min="8981" max="8990" width="15.7109375" style="63" customWidth="1"/>
    <col min="8991" max="9216" width="9.140625" style="63"/>
    <col min="9217" max="9217" width="8.7109375" style="63" customWidth="1"/>
    <col min="9218" max="9218" width="0" style="63" hidden="1" customWidth="1"/>
    <col min="9219" max="9219" width="40.7109375" style="63" customWidth="1"/>
    <col min="9220" max="9220" width="9.5703125" style="63" customWidth="1"/>
    <col min="9221" max="9229" width="8.7109375" style="63" customWidth="1"/>
    <col min="9230" max="9230" width="12.7109375" style="63" customWidth="1"/>
    <col min="9231" max="9231" width="25.7109375" style="63" customWidth="1"/>
    <col min="9232" max="9234" width="10.7109375" style="63" customWidth="1"/>
    <col min="9235" max="9235" width="12.7109375" style="63" customWidth="1"/>
    <col min="9236" max="9236" width="4.140625" style="63" customWidth="1"/>
    <col min="9237" max="9246" width="15.7109375" style="63" customWidth="1"/>
    <col min="9247" max="9472" width="9.140625" style="63"/>
    <col min="9473" max="9473" width="8.7109375" style="63" customWidth="1"/>
    <col min="9474" max="9474" width="0" style="63" hidden="1" customWidth="1"/>
    <col min="9475" max="9475" width="40.7109375" style="63" customWidth="1"/>
    <col min="9476" max="9476" width="9.5703125" style="63" customWidth="1"/>
    <col min="9477" max="9485" width="8.7109375" style="63" customWidth="1"/>
    <col min="9486" max="9486" width="12.7109375" style="63" customWidth="1"/>
    <col min="9487" max="9487" width="25.7109375" style="63" customWidth="1"/>
    <col min="9488" max="9490" width="10.7109375" style="63" customWidth="1"/>
    <col min="9491" max="9491" width="12.7109375" style="63" customWidth="1"/>
    <col min="9492" max="9492" width="4.140625" style="63" customWidth="1"/>
    <col min="9493" max="9502" width="15.7109375" style="63" customWidth="1"/>
    <col min="9503" max="9728" width="9.140625" style="63"/>
    <col min="9729" max="9729" width="8.7109375" style="63" customWidth="1"/>
    <col min="9730" max="9730" width="0" style="63" hidden="1" customWidth="1"/>
    <col min="9731" max="9731" width="40.7109375" style="63" customWidth="1"/>
    <col min="9732" max="9732" width="9.5703125" style="63" customWidth="1"/>
    <col min="9733" max="9741" width="8.7109375" style="63" customWidth="1"/>
    <col min="9742" max="9742" width="12.7109375" style="63" customWidth="1"/>
    <col min="9743" max="9743" width="25.7109375" style="63" customWidth="1"/>
    <col min="9744" max="9746" width="10.7109375" style="63" customWidth="1"/>
    <col min="9747" max="9747" width="12.7109375" style="63" customWidth="1"/>
    <col min="9748" max="9748" width="4.140625" style="63" customWidth="1"/>
    <col min="9749" max="9758" width="15.7109375" style="63" customWidth="1"/>
    <col min="9759" max="9984" width="9.140625" style="63"/>
    <col min="9985" max="9985" width="8.7109375" style="63" customWidth="1"/>
    <col min="9986" max="9986" width="0" style="63" hidden="1" customWidth="1"/>
    <col min="9987" max="9987" width="40.7109375" style="63" customWidth="1"/>
    <col min="9988" max="9988" width="9.5703125" style="63" customWidth="1"/>
    <col min="9989" max="9997" width="8.7109375" style="63" customWidth="1"/>
    <col min="9998" max="9998" width="12.7109375" style="63" customWidth="1"/>
    <col min="9999" max="9999" width="25.7109375" style="63" customWidth="1"/>
    <col min="10000" max="10002" width="10.7109375" style="63" customWidth="1"/>
    <col min="10003" max="10003" width="12.7109375" style="63" customWidth="1"/>
    <col min="10004" max="10004" width="4.140625" style="63" customWidth="1"/>
    <col min="10005" max="10014" width="15.7109375" style="63" customWidth="1"/>
    <col min="10015" max="10240" width="9.140625" style="63"/>
    <col min="10241" max="10241" width="8.7109375" style="63" customWidth="1"/>
    <col min="10242" max="10242" width="0" style="63" hidden="1" customWidth="1"/>
    <col min="10243" max="10243" width="40.7109375" style="63" customWidth="1"/>
    <col min="10244" max="10244" width="9.5703125" style="63" customWidth="1"/>
    <col min="10245" max="10253" width="8.7109375" style="63" customWidth="1"/>
    <col min="10254" max="10254" width="12.7109375" style="63" customWidth="1"/>
    <col min="10255" max="10255" width="25.7109375" style="63" customWidth="1"/>
    <col min="10256" max="10258" width="10.7109375" style="63" customWidth="1"/>
    <col min="10259" max="10259" width="12.7109375" style="63" customWidth="1"/>
    <col min="10260" max="10260" width="4.140625" style="63" customWidth="1"/>
    <col min="10261" max="10270" width="15.7109375" style="63" customWidth="1"/>
    <col min="10271" max="10496" width="9.140625" style="63"/>
    <col min="10497" max="10497" width="8.7109375" style="63" customWidth="1"/>
    <col min="10498" max="10498" width="0" style="63" hidden="1" customWidth="1"/>
    <col min="10499" max="10499" width="40.7109375" style="63" customWidth="1"/>
    <col min="10500" max="10500" width="9.5703125" style="63" customWidth="1"/>
    <col min="10501" max="10509" width="8.7109375" style="63" customWidth="1"/>
    <col min="10510" max="10510" width="12.7109375" style="63" customWidth="1"/>
    <col min="10511" max="10511" width="25.7109375" style="63" customWidth="1"/>
    <col min="10512" max="10514" width="10.7109375" style="63" customWidth="1"/>
    <col min="10515" max="10515" width="12.7109375" style="63" customWidth="1"/>
    <col min="10516" max="10516" width="4.140625" style="63" customWidth="1"/>
    <col min="10517" max="10526" width="15.7109375" style="63" customWidth="1"/>
    <col min="10527" max="10752" width="9.140625" style="63"/>
    <col min="10753" max="10753" width="8.7109375" style="63" customWidth="1"/>
    <col min="10754" max="10754" width="0" style="63" hidden="1" customWidth="1"/>
    <col min="10755" max="10755" width="40.7109375" style="63" customWidth="1"/>
    <col min="10756" max="10756" width="9.5703125" style="63" customWidth="1"/>
    <col min="10757" max="10765" width="8.7109375" style="63" customWidth="1"/>
    <col min="10766" max="10766" width="12.7109375" style="63" customWidth="1"/>
    <col min="10767" max="10767" width="25.7109375" style="63" customWidth="1"/>
    <col min="10768" max="10770" width="10.7109375" style="63" customWidth="1"/>
    <col min="10771" max="10771" width="12.7109375" style="63" customWidth="1"/>
    <col min="10772" max="10772" width="4.140625" style="63" customWidth="1"/>
    <col min="10773" max="10782" width="15.7109375" style="63" customWidth="1"/>
    <col min="10783" max="11008" width="9.140625" style="63"/>
    <col min="11009" max="11009" width="8.7109375" style="63" customWidth="1"/>
    <col min="11010" max="11010" width="0" style="63" hidden="1" customWidth="1"/>
    <col min="11011" max="11011" width="40.7109375" style="63" customWidth="1"/>
    <col min="11012" max="11012" width="9.5703125" style="63" customWidth="1"/>
    <col min="11013" max="11021" width="8.7109375" style="63" customWidth="1"/>
    <col min="11022" max="11022" width="12.7109375" style="63" customWidth="1"/>
    <col min="11023" max="11023" width="25.7109375" style="63" customWidth="1"/>
    <col min="11024" max="11026" width="10.7109375" style="63" customWidth="1"/>
    <col min="11027" max="11027" width="12.7109375" style="63" customWidth="1"/>
    <col min="11028" max="11028" width="4.140625" style="63" customWidth="1"/>
    <col min="11029" max="11038" width="15.7109375" style="63" customWidth="1"/>
    <col min="11039" max="11264" width="9.140625" style="63"/>
    <col min="11265" max="11265" width="8.7109375" style="63" customWidth="1"/>
    <col min="11266" max="11266" width="0" style="63" hidden="1" customWidth="1"/>
    <col min="11267" max="11267" width="40.7109375" style="63" customWidth="1"/>
    <col min="11268" max="11268" width="9.5703125" style="63" customWidth="1"/>
    <col min="11269" max="11277" width="8.7109375" style="63" customWidth="1"/>
    <col min="11278" max="11278" width="12.7109375" style="63" customWidth="1"/>
    <col min="11279" max="11279" width="25.7109375" style="63" customWidth="1"/>
    <col min="11280" max="11282" width="10.7109375" style="63" customWidth="1"/>
    <col min="11283" max="11283" width="12.7109375" style="63" customWidth="1"/>
    <col min="11284" max="11284" width="4.140625" style="63" customWidth="1"/>
    <col min="11285" max="11294" width="15.7109375" style="63" customWidth="1"/>
    <col min="11295" max="11520" width="9.140625" style="63"/>
    <col min="11521" max="11521" width="8.7109375" style="63" customWidth="1"/>
    <col min="11522" max="11522" width="0" style="63" hidden="1" customWidth="1"/>
    <col min="11523" max="11523" width="40.7109375" style="63" customWidth="1"/>
    <col min="11524" max="11524" width="9.5703125" style="63" customWidth="1"/>
    <col min="11525" max="11533" width="8.7109375" style="63" customWidth="1"/>
    <col min="11534" max="11534" width="12.7109375" style="63" customWidth="1"/>
    <col min="11535" max="11535" width="25.7109375" style="63" customWidth="1"/>
    <col min="11536" max="11538" width="10.7109375" style="63" customWidth="1"/>
    <col min="11539" max="11539" width="12.7109375" style="63" customWidth="1"/>
    <col min="11540" max="11540" width="4.140625" style="63" customWidth="1"/>
    <col min="11541" max="11550" width="15.7109375" style="63" customWidth="1"/>
    <col min="11551" max="11776" width="9.140625" style="63"/>
    <col min="11777" max="11777" width="8.7109375" style="63" customWidth="1"/>
    <col min="11778" max="11778" width="0" style="63" hidden="1" customWidth="1"/>
    <col min="11779" max="11779" width="40.7109375" style="63" customWidth="1"/>
    <col min="11780" max="11780" width="9.5703125" style="63" customWidth="1"/>
    <col min="11781" max="11789" width="8.7109375" style="63" customWidth="1"/>
    <col min="11790" max="11790" width="12.7109375" style="63" customWidth="1"/>
    <col min="11791" max="11791" width="25.7109375" style="63" customWidth="1"/>
    <col min="11792" max="11794" width="10.7109375" style="63" customWidth="1"/>
    <col min="11795" max="11795" width="12.7109375" style="63" customWidth="1"/>
    <col min="11796" max="11796" width="4.140625" style="63" customWidth="1"/>
    <col min="11797" max="11806" width="15.7109375" style="63" customWidth="1"/>
    <col min="11807" max="12032" width="9.140625" style="63"/>
    <col min="12033" max="12033" width="8.7109375" style="63" customWidth="1"/>
    <col min="12034" max="12034" width="0" style="63" hidden="1" customWidth="1"/>
    <col min="12035" max="12035" width="40.7109375" style="63" customWidth="1"/>
    <col min="12036" max="12036" width="9.5703125" style="63" customWidth="1"/>
    <col min="12037" max="12045" width="8.7109375" style="63" customWidth="1"/>
    <col min="12046" max="12046" width="12.7109375" style="63" customWidth="1"/>
    <col min="12047" max="12047" width="25.7109375" style="63" customWidth="1"/>
    <col min="12048" max="12050" width="10.7109375" style="63" customWidth="1"/>
    <col min="12051" max="12051" width="12.7109375" style="63" customWidth="1"/>
    <col min="12052" max="12052" width="4.140625" style="63" customWidth="1"/>
    <col min="12053" max="12062" width="15.7109375" style="63" customWidth="1"/>
    <col min="12063" max="12288" width="9.140625" style="63"/>
    <col min="12289" max="12289" width="8.7109375" style="63" customWidth="1"/>
    <col min="12290" max="12290" width="0" style="63" hidden="1" customWidth="1"/>
    <col min="12291" max="12291" width="40.7109375" style="63" customWidth="1"/>
    <col min="12292" max="12292" width="9.5703125" style="63" customWidth="1"/>
    <col min="12293" max="12301" width="8.7109375" style="63" customWidth="1"/>
    <col min="12302" max="12302" width="12.7109375" style="63" customWidth="1"/>
    <col min="12303" max="12303" width="25.7109375" style="63" customWidth="1"/>
    <col min="12304" max="12306" width="10.7109375" style="63" customWidth="1"/>
    <col min="12307" max="12307" width="12.7109375" style="63" customWidth="1"/>
    <col min="12308" max="12308" width="4.140625" style="63" customWidth="1"/>
    <col min="12309" max="12318" width="15.7109375" style="63" customWidth="1"/>
    <col min="12319" max="12544" width="9.140625" style="63"/>
    <col min="12545" max="12545" width="8.7109375" style="63" customWidth="1"/>
    <col min="12546" max="12546" width="0" style="63" hidden="1" customWidth="1"/>
    <col min="12547" max="12547" width="40.7109375" style="63" customWidth="1"/>
    <col min="12548" max="12548" width="9.5703125" style="63" customWidth="1"/>
    <col min="12549" max="12557" width="8.7109375" style="63" customWidth="1"/>
    <col min="12558" max="12558" width="12.7109375" style="63" customWidth="1"/>
    <col min="12559" max="12559" width="25.7109375" style="63" customWidth="1"/>
    <col min="12560" max="12562" width="10.7109375" style="63" customWidth="1"/>
    <col min="12563" max="12563" width="12.7109375" style="63" customWidth="1"/>
    <col min="12564" max="12564" width="4.140625" style="63" customWidth="1"/>
    <col min="12565" max="12574" width="15.7109375" style="63" customWidth="1"/>
    <col min="12575" max="12800" width="9.140625" style="63"/>
    <col min="12801" max="12801" width="8.7109375" style="63" customWidth="1"/>
    <col min="12802" max="12802" width="0" style="63" hidden="1" customWidth="1"/>
    <col min="12803" max="12803" width="40.7109375" style="63" customWidth="1"/>
    <col min="12804" max="12804" width="9.5703125" style="63" customWidth="1"/>
    <col min="12805" max="12813" width="8.7109375" style="63" customWidth="1"/>
    <col min="12814" max="12814" width="12.7109375" style="63" customWidth="1"/>
    <col min="12815" max="12815" width="25.7109375" style="63" customWidth="1"/>
    <col min="12816" max="12818" width="10.7109375" style="63" customWidth="1"/>
    <col min="12819" max="12819" width="12.7109375" style="63" customWidth="1"/>
    <col min="12820" max="12820" width="4.140625" style="63" customWidth="1"/>
    <col min="12821" max="12830" width="15.7109375" style="63" customWidth="1"/>
    <col min="12831" max="13056" width="9.140625" style="63"/>
    <col min="13057" max="13057" width="8.7109375" style="63" customWidth="1"/>
    <col min="13058" max="13058" width="0" style="63" hidden="1" customWidth="1"/>
    <col min="13059" max="13059" width="40.7109375" style="63" customWidth="1"/>
    <col min="13060" max="13060" width="9.5703125" style="63" customWidth="1"/>
    <col min="13061" max="13069" width="8.7109375" style="63" customWidth="1"/>
    <col min="13070" max="13070" width="12.7109375" style="63" customWidth="1"/>
    <col min="13071" max="13071" width="25.7109375" style="63" customWidth="1"/>
    <col min="13072" max="13074" width="10.7109375" style="63" customWidth="1"/>
    <col min="13075" max="13075" width="12.7109375" style="63" customWidth="1"/>
    <col min="13076" max="13076" width="4.140625" style="63" customWidth="1"/>
    <col min="13077" max="13086" width="15.7109375" style="63" customWidth="1"/>
    <col min="13087" max="13312" width="9.140625" style="63"/>
    <col min="13313" max="13313" width="8.7109375" style="63" customWidth="1"/>
    <col min="13314" max="13314" width="0" style="63" hidden="1" customWidth="1"/>
    <col min="13315" max="13315" width="40.7109375" style="63" customWidth="1"/>
    <col min="13316" max="13316" width="9.5703125" style="63" customWidth="1"/>
    <col min="13317" max="13325" width="8.7109375" style="63" customWidth="1"/>
    <col min="13326" max="13326" width="12.7109375" style="63" customWidth="1"/>
    <col min="13327" max="13327" width="25.7109375" style="63" customWidth="1"/>
    <col min="13328" max="13330" width="10.7109375" style="63" customWidth="1"/>
    <col min="13331" max="13331" width="12.7109375" style="63" customWidth="1"/>
    <col min="13332" max="13332" width="4.140625" style="63" customWidth="1"/>
    <col min="13333" max="13342" width="15.7109375" style="63" customWidth="1"/>
    <col min="13343" max="13568" width="9.140625" style="63"/>
    <col min="13569" max="13569" width="8.7109375" style="63" customWidth="1"/>
    <col min="13570" max="13570" width="0" style="63" hidden="1" customWidth="1"/>
    <col min="13571" max="13571" width="40.7109375" style="63" customWidth="1"/>
    <col min="13572" max="13572" width="9.5703125" style="63" customWidth="1"/>
    <col min="13573" max="13581" width="8.7109375" style="63" customWidth="1"/>
    <col min="13582" max="13582" width="12.7109375" style="63" customWidth="1"/>
    <col min="13583" max="13583" width="25.7109375" style="63" customWidth="1"/>
    <col min="13584" max="13586" width="10.7109375" style="63" customWidth="1"/>
    <col min="13587" max="13587" width="12.7109375" style="63" customWidth="1"/>
    <col min="13588" max="13588" width="4.140625" style="63" customWidth="1"/>
    <col min="13589" max="13598" width="15.7109375" style="63" customWidth="1"/>
    <col min="13599" max="13824" width="9.140625" style="63"/>
    <col min="13825" max="13825" width="8.7109375" style="63" customWidth="1"/>
    <col min="13826" max="13826" width="0" style="63" hidden="1" customWidth="1"/>
    <col min="13827" max="13827" width="40.7109375" style="63" customWidth="1"/>
    <col min="13828" max="13828" width="9.5703125" style="63" customWidth="1"/>
    <col min="13829" max="13837" width="8.7109375" style="63" customWidth="1"/>
    <col min="13838" max="13838" width="12.7109375" style="63" customWidth="1"/>
    <col min="13839" max="13839" width="25.7109375" style="63" customWidth="1"/>
    <col min="13840" max="13842" width="10.7109375" style="63" customWidth="1"/>
    <col min="13843" max="13843" width="12.7109375" style="63" customWidth="1"/>
    <col min="13844" max="13844" width="4.140625" style="63" customWidth="1"/>
    <col min="13845" max="13854" width="15.7109375" style="63" customWidth="1"/>
    <col min="13855" max="14080" width="9.140625" style="63"/>
    <col min="14081" max="14081" width="8.7109375" style="63" customWidth="1"/>
    <col min="14082" max="14082" width="0" style="63" hidden="1" customWidth="1"/>
    <col min="14083" max="14083" width="40.7109375" style="63" customWidth="1"/>
    <col min="14084" max="14084" width="9.5703125" style="63" customWidth="1"/>
    <col min="14085" max="14093" width="8.7109375" style="63" customWidth="1"/>
    <col min="14094" max="14094" width="12.7109375" style="63" customWidth="1"/>
    <col min="14095" max="14095" width="25.7109375" style="63" customWidth="1"/>
    <col min="14096" max="14098" width="10.7109375" style="63" customWidth="1"/>
    <col min="14099" max="14099" width="12.7109375" style="63" customWidth="1"/>
    <col min="14100" max="14100" width="4.140625" style="63" customWidth="1"/>
    <col min="14101" max="14110" width="15.7109375" style="63" customWidth="1"/>
    <col min="14111" max="14336" width="9.140625" style="63"/>
    <col min="14337" max="14337" width="8.7109375" style="63" customWidth="1"/>
    <col min="14338" max="14338" width="0" style="63" hidden="1" customWidth="1"/>
    <col min="14339" max="14339" width="40.7109375" style="63" customWidth="1"/>
    <col min="14340" max="14340" width="9.5703125" style="63" customWidth="1"/>
    <col min="14341" max="14349" width="8.7109375" style="63" customWidth="1"/>
    <col min="14350" max="14350" width="12.7109375" style="63" customWidth="1"/>
    <col min="14351" max="14351" width="25.7109375" style="63" customWidth="1"/>
    <col min="14352" max="14354" width="10.7109375" style="63" customWidth="1"/>
    <col min="14355" max="14355" width="12.7109375" style="63" customWidth="1"/>
    <col min="14356" max="14356" width="4.140625" style="63" customWidth="1"/>
    <col min="14357" max="14366" width="15.7109375" style="63" customWidth="1"/>
    <col min="14367" max="14592" width="9.140625" style="63"/>
    <col min="14593" max="14593" width="8.7109375" style="63" customWidth="1"/>
    <col min="14594" max="14594" width="0" style="63" hidden="1" customWidth="1"/>
    <col min="14595" max="14595" width="40.7109375" style="63" customWidth="1"/>
    <col min="14596" max="14596" width="9.5703125" style="63" customWidth="1"/>
    <col min="14597" max="14605" width="8.7109375" style="63" customWidth="1"/>
    <col min="14606" max="14606" width="12.7109375" style="63" customWidth="1"/>
    <col min="14607" max="14607" width="25.7109375" style="63" customWidth="1"/>
    <col min="14608" max="14610" width="10.7109375" style="63" customWidth="1"/>
    <col min="14611" max="14611" width="12.7109375" style="63" customWidth="1"/>
    <col min="14612" max="14612" width="4.140625" style="63" customWidth="1"/>
    <col min="14613" max="14622" width="15.7109375" style="63" customWidth="1"/>
    <col min="14623" max="14848" width="9.140625" style="63"/>
    <col min="14849" max="14849" width="8.7109375" style="63" customWidth="1"/>
    <col min="14850" max="14850" width="0" style="63" hidden="1" customWidth="1"/>
    <col min="14851" max="14851" width="40.7109375" style="63" customWidth="1"/>
    <col min="14852" max="14852" width="9.5703125" style="63" customWidth="1"/>
    <col min="14853" max="14861" width="8.7109375" style="63" customWidth="1"/>
    <col min="14862" max="14862" width="12.7109375" style="63" customWidth="1"/>
    <col min="14863" max="14863" width="25.7109375" style="63" customWidth="1"/>
    <col min="14864" max="14866" width="10.7109375" style="63" customWidth="1"/>
    <col min="14867" max="14867" width="12.7109375" style="63" customWidth="1"/>
    <col min="14868" max="14868" width="4.140625" style="63" customWidth="1"/>
    <col min="14869" max="14878" width="15.7109375" style="63" customWidth="1"/>
    <col min="14879" max="15104" width="9.140625" style="63"/>
    <col min="15105" max="15105" width="8.7109375" style="63" customWidth="1"/>
    <col min="15106" max="15106" width="0" style="63" hidden="1" customWidth="1"/>
    <col min="15107" max="15107" width="40.7109375" style="63" customWidth="1"/>
    <col min="15108" max="15108" width="9.5703125" style="63" customWidth="1"/>
    <col min="15109" max="15117" width="8.7109375" style="63" customWidth="1"/>
    <col min="15118" max="15118" width="12.7109375" style="63" customWidth="1"/>
    <col min="15119" max="15119" width="25.7109375" style="63" customWidth="1"/>
    <col min="15120" max="15122" width="10.7109375" style="63" customWidth="1"/>
    <col min="15123" max="15123" width="12.7109375" style="63" customWidth="1"/>
    <col min="15124" max="15124" width="4.140625" style="63" customWidth="1"/>
    <col min="15125" max="15134" width="15.7109375" style="63" customWidth="1"/>
    <col min="15135" max="15360" width="9.140625" style="63"/>
    <col min="15361" max="15361" width="8.7109375" style="63" customWidth="1"/>
    <col min="15362" max="15362" width="0" style="63" hidden="1" customWidth="1"/>
    <col min="15363" max="15363" width="40.7109375" style="63" customWidth="1"/>
    <col min="15364" max="15364" width="9.5703125" style="63" customWidth="1"/>
    <col min="15365" max="15373" width="8.7109375" style="63" customWidth="1"/>
    <col min="15374" max="15374" width="12.7109375" style="63" customWidth="1"/>
    <col min="15375" max="15375" width="25.7109375" style="63" customWidth="1"/>
    <col min="15376" max="15378" width="10.7109375" style="63" customWidth="1"/>
    <col min="15379" max="15379" width="12.7109375" style="63" customWidth="1"/>
    <col min="15380" max="15380" width="4.140625" style="63" customWidth="1"/>
    <col min="15381" max="15390" width="15.7109375" style="63" customWidth="1"/>
    <col min="15391" max="15616" width="9.140625" style="63"/>
    <col min="15617" max="15617" width="8.7109375" style="63" customWidth="1"/>
    <col min="15618" max="15618" width="0" style="63" hidden="1" customWidth="1"/>
    <col min="15619" max="15619" width="40.7109375" style="63" customWidth="1"/>
    <col min="15620" max="15620" width="9.5703125" style="63" customWidth="1"/>
    <col min="15621" max="15629" width="8.7109375" style="63" customWidth="1"/>
    <col min="15630" max="15630" width="12.7109375" style="63" customWidth="1"/>
    <col min="15631" max="15631" width="25.7109375" style="63" customWidth="1"/>
    <col min="15632" max="15634" width="10.7109375" style="63" customWidth="1"/>
    <col min="15635" max="15635" width="12.7109375" style="63" customWidth="1"/>
    <col min="15636" max="15636" width="4.140625" style="63" customWidth="1"/>
    <col min="15637" max="15646" width="15.7109375" style="63" customWidth="1"/>
    <col min="15647" max="15872" width="9.140625" style="63"/>
    <col min="15873" max="15873" width="8.7109375" style="63" customWidth="1"/>
    <col min="15874" max="15874" width="0" style="63" hidden="1" customWidth="1"/>
    <col min="15875" max="15875" width="40.7109375" style="63" customWidth="1"/>
    <col min="15876" max="15876" width="9.5703125" style="63" customWidth="1"/>
    <col min="15877" max="15885" width="8.7109375" style="63" customWidth="1"/>
    <col min="15886" max="15886" width="12.7109375" style="63" customWidth="1"/>
    <col min="15887" max="15887" width="25.7109375" style="63" customWidth="1"/>
    <col min="15888" max="15890" width="10.7109375" style="63" customWidth="1"/>
    <col min="15891" max="15891" width="12.7109375" style="63" customWidth="1"/>
    <col min="15892" max="15892" width="4.140625" style="63" customWidth="1"/>
    <col min="15893" max="15902" width="15.7109375" style="63" customWidth="1"/>
    <col min="15903" max="16128" width="9.140625" style="63"/>
    <col min="16129" max="16129" width="8.7109375" style="63" customWidth="1"/>
    <col min="16130" max="16130" width="0" style="63" hidden="1" customWidth="1"/>
    <col min="16131" max="16131" width="40.7109375" style="63" customWidth="1"/>
    <col min="16132" max="16132" width="9.5703125" style="63" customWidth="1"/>
    <col min="16133" max="16141" width="8.7109375" style="63" customWidth="1"/>
    <col min="16142" max="16142" width="12.7109375" style="63" customWidth="1"/>
    <col min="16143" max="16143" width="25.7109375" style="63" customWidth="1"/>
    <col min="16144" max="16146" width="10.7109375" style="63" customWidth="1"/>
    <col min="16147" max="16147" width="12.7109375" style="63" customWidth="1"/>
    <col min="16148" max="16148" width="4.140625" style="63" customWidth="1"/>
    <col min="16149" max="16158" width="15.7109375" style="63" customWidth="1"/>
    <col min="16159" max="16384" width="9.140625" style="63"/>
  </cols>
  <sheetData>
    <row r="2" spans="1:31" ht="39.950000000000003" customHeight="1" x14ac:dyDescent="0.2">
      <c r="A2" s="1442" t="s">
        <v>934</v>
      </c>
      <c r="B2" s="1442"/>
      <c r="C2" s="1442"/>
      <c r="D2" s="1442"/>
      <c r="E2" s="1442"/>
      <c r="F2" s="1442"/>
      <c r="G2" s="1442"/>
      <c r="H2" s="1442"/>
      <c r="I2" s="1442"/>
      <c r="J2" s="1442"/>
      <c r="K2" s="1442"/>
      <c r="L2" s="1442"/>
      <c r="M2" s="1442"/>
      <c r="N2" s="1442"/>
      <c r="O2" s="1442"/>
      <c r="P2" s="1442"/>
      <c r="Q2" s="1442"/>
      <c r="R2" s="1442"/>
      <c r="S2" s="1442"/>
    </row>
    <row r="3" spans="1:31" ht="24.95" customHeight="1" x14ac:dyDescent="0.3">
      <c r="M3" s="655" t="s">
        <v>423</v>
      </c>
      <c r="O3" s="1443" t="str">
        <f>LPKK!Q4</f>
        <v>SC MARABAHAN</v>
      </c>
      <c r="P3" s="1444"/>
    </row>
    <row r="4" spans="1:31" ht="24.95" customHeight="1" x14ac:dyDescent="0.3">
      <c r="M4" s="655" t="s">
        <v>424</v>
      </c>
      <c r="O4" s="1443" t="str">
        <f>LPKK!Q5</f>
        <v>1-7 JULI 2026</v>
      </c>
      <c r="P4" s="1444"/>
      <c r="R4" s="658"/>
    </row>
    <row r="5" spans="1:31" ht="24.95" customHeight="1" thickBot="1" x14ac:dyDescent="0.35">
      <c r="A5" s="655"/>
      <c r="M5" s="655"/>
      <c r="U5" s="612"/>
      <c r="W5" s="612"/>
    </row>
    <row r="6" spans="1:31" ht="24.95" customHeight="1" thickBot="1" x14ac:dyDescent="0.25">
      <c r="A6" s="1445" t="s">
        <v>89</v>
      </c>
      <c r="B6" s="1445" t="s">
        <v>425</v>
      </c>
      <c r="C6" s="1447" t="str">
        <f>B6</f>
        <v>PRODUCT</v>
      </c>
      <c r="D6" s="659">
        <f>'LAP. PENJUALAN REGULER'!D6</f>
        <v>1</v>
      </c>
      <c r="E6" s="659">
        <f>'LAP. PENJUALAN REGULER'!E6</f>
        <v>2</v>
      </c>
      <c r="F6" s="659">
        <f>'LAP. PENJUALAN REGULER'!F6</f>
        <v>3</v>
      </c>
      <c r="G6" s="659">
        <f>'LAP. PENJUALAN REGULER'!G6</f>
        <v>4</v>
      </c>
      <c r="H6" s="659">
        <f>'LAP. PENJUALAN REGULER'!H6</f>
        <v>5</v>
      </c>
      <c r="I6" s="659">
        <f>'LAP. PENJUALAN REGULER'!I6</f>
        <v>6</v>
      </c>
      <c r="J6" s="659">
        <f>'LAP. PENJUALAN REGULER'!J6</f>
        <v>7</v>
      </c>
      <c r="K6" s="659">
        <f>'LAP. PENJUALAN REGULER'!K6</f>
        <v>0</v>
      </c>
      <c r="L6" s="659">
        <f>'LAP. PENJUALAN REGULER'!L6</f>
        <v>0</v>
      </c>
      <c r="M6" s="659">
        <f>'LAP. PENJUALAN REGULER'!M6</f>
        <v>0</v>
      </c>
      <c r="N6" s="1449" t="s">
        <v>10</v>
      </c>
      <c r="O6" s="1450"/>
      <c r="P6" s="1451" t="s">
        <v>426</v>
      </c>
      <c r="Q6" s="1453" t="s">
        <v>427</v>
      </c>
      <c r="R6" s="1455" t="s">
        <v>428</v>
      </c>
      <c r="S6" s="660" t="s">
        <v>429</v>
      </c>
    </row>
    <row r="7" spans="1:31" ht="24.95" customHeight="1" thickBot="1" x14ac:dyDescent="0.25">
      <c r="A7" s="1446"/>
      <c r="B7" s="1446"/>
      <c r="C7" s="1448"/>
      <c r="D7" s="661" t="str">
        <f>'LAP. PENJUALAN REGULER'!D7</f>
        <v>Rabu</v>
      </c>
      <c r="E7" s="661" t="str">
        <f>'LAP. PENJUALAN REGULER'!E7</f>
        <v>Kamis</v>
      </c>
      <c r="F7" s="661" t="str">
        <f>'LAP. PENJUALAN REGULER'!F7</f>
        <v>Jum`at</v>
      </c>
      <c r="G7" s="661" t="str">
        <f>'LAP. PENJUALAN REGULER'!G7</f>
        <v>Sabtu</v>
      </c>
      <c r="H7" s="661" t="str">
        <f>'LAP. PENJUALAN REGULER'!H7</f>
        <v>Minggu</v>
      </c>
      <c r="I7" s="661" t="str">
        <f>'LAP. PENJUALAN REGULER'!I7</f>
        <v>Senin</v>
      </c>
      <c r="J7" s="661" t="str">
        <f>'LAP. PENJUALAN REGULER'!J7</f>
        <v>Sabtu</v>
      </c>
      <c r="K7" s="661">
        <f>'LAP. PENJUALAN REGULER'!K7</f>
        <v>0</v>
      </c>
      <c r="L7" s="661">
        <f>'LAP. PENJUALAN REGULER'!L7</f>
        <v>0</v>
      </c>
      <c r="M7" s="661">
        <f>'LAP. PENJUALAN REGULER'!M7</f>
        <v>0</v>
      </c>
      <c r="N7" s="531" t="s">
        <v>32</v>
      </c>
      <c r="O7" s="663" t="s">
        <v>109</v>
      </c>
      <c r="P7" s="1452"/>
      <c r="Q7" s="1454"/>
      <c r="R7" s="1456"/>
      <c r="S7" s="664" t="s">
        <v>430</v>
      </c>
      <c r="T7" s="665"/>
      <c r="U7" s="666"/>
    </row>
    <row r="8" spans="1:31" ht="24.95" customHeight="1" x14ac:dyDescent="0.2">
      <c r="A8" s="667">
        <v>1</v>
      </c>
      <c r="B8" s="668" t="s">
        <v>431</v>
      </c>
      <c r="C8" s="669" t="str">
        <f>B8</f>
        <v>Dada</v>
      </c>
      <c r="D8" s="1106"/>
      <c r="E8" s="1107"/>
      <c r="F8" s="1106"/>
      <c r="G8" s="1107"/>
      <c r="H8" s="1106"/>
      <c r="I8" s="1107"/>
      <c r="J8" s="1106"/>
      <c r="K8" s="1107"/>
      <c r="L8" s="1106"/>
      <c r="M8" s="1108"/>
      <c r="N8" s="1109">
        <f>SUM(D8:M8)</f>
        <v>0</v>
      </c>
      <c r="O8" s="1110">
        <f>N8*S8</f>
        <v>0</v>
      </c>
      <c r="P8" s="707" t="e">
        <f>(O8/O112)*100</f>
        <v>#DIV/0!</v>
      </c>
      <c r="Q8" s="1111"/>
      <c r="R8" s="1112" t="e">
        <f>P8*Q8</f>
        <v>#DIV/0!</v>
      </c>
      <c r="S8" s="678">
        <v>19575</v>
      </c>
      <c r="U8" s="679">
        <f>D8*S8</f>
        <v>0</v>
      </c>
      <c r="V8" s="679">
        <f>E8*S8</f>
        <v>0</v>
      </c>
      <c r="W8" s="679">
        <f>F8*S8</f>
        <v>0</v>
      </c>
      <c r="X8" s="679">
        <f>G8*S8</f>
        <v>0</v>
      </c>
      <c r="Y8" s="679">
        <f>H8*S8</f>
        <v>0</v>
      </c>
      <c r="Z8" s="679">
        <f>I8*S8</f>
        <v>0</v>
      </c>
      <c r="AA8" s="679">
        <f>J8*S8</f>
        <v>0</v>
      </c>
      <c r="AB8" s="679">
        <f>K8*S8</f>
        <v>0</v>
      </c>
      <c r="AC8" s="679">
        <f>L8*S8</f>
        <v>0</v>
      </c>
      <c r="AD8" s="679">
        <f>M8*S8</f>
        <v>0</v>
      </c>
      <c r="AE8" s="610"/>
    </row>
    <row r="9" spans="1:31" ht="24.95" customHeight="1" x14ac:dyDescent="0.2">
      <c r="A9" s="667">
        <v>2</v>
      </c>
      <c r="B9" s="680" t="s">
        <v>432</v>
      </c>
      <c r="C9" s="681" t="str">
        <f>B9</f>
        <v>Paha Atas</v>
      </c>
      <c r="D9" s="682"/>
      <c r="E9" s="683"/>
      <c r="F9" s="682"/>
      <c r="G9" s="683"/>
      <c r="H9" s="682"/>
      <c r="I9" s="683"/>
      <c r="J9" s="682"/>
      <c r="K9" s="683"/>
      <c r="L9" s="682"/>
      <c r="M9" s="684"/>
      <c r="N9" s="673">
        <f t="shared" ref="N9:N78" si="0">SUM(D9:M9)</f>
        <v>0</v>
      </c>
      <c r="O9" s="674">
        <f t="shared" ref="O9:O78" si="1">N9*S9</f>
        <v>0</v>
      </c>
      <c r="P9" s="675" t="e">
        <f>(O9/O112)*100</f>
        <v>#DIV/0!</v>
      </c>
      <c r="Q9" s="676"/>
      <c r="R9" s="677" t="e">
        <f t="shared" ref="R9:R78" si="2">P9*Q9</f>
        <v>#DIV/0!</v>
      </c>
      <c r="S9" s="685">
        <v>19575</v>
      </c>
      <c r="U9" s="679">
        <f t="shared" ref="U9:U75" si="3">D9*S9</f>
        <v>0</v>
      </c>
      <c r="V9" s="679">
        <f t="shared" ref="V9:V75" si="4">E9*S9</f>
        <v>0</v>
      </c>
      <c r="W9" s="679">
        <f t="shared" ref="W9:W75" si="5">F9*S9</f>
        <v>0</v>
      </c>
      <c r="X9" s="679">
        <f t="shared" ref="X9:X75" si="6">G9*S9</f>
        <v>0</v>
      </c>
      <c r="Y9" s="679">
        <f t="shared" ref="Y9:Y75" si="7">H9*S9</f>
        <v>0</v>
      </c>
      <c r="Z9" s="679">
        <f t="shared" ref="Z9:Z75" si="8">I9*S9</f>
        <v>0</v>
      </c>
      <c r="AA9" s="679">
        <f t="shared" ref="AA9:AA75" si="9">J9*S9</f>
        <v>0</v>
      </c>
      <c r="AB9" s="679">
        <f t="shared" ref="AB9:AB75" si="10">K9*S9</f>
        <v>0</v>
      </c>
      <c r="AC9" s="679">
        <f t="shared" ref="AC9:AC75" si="11">L9*S9</f>
        <v>0</v>
      </c>
      <c r="AD9" s="679">
        <f t="shared" ref="AD9:AD75" si="12">M9*S9</f>
        <v>0</v>
      </c>
      <c r="AE9" s="610"/>
    </row>
    <row r="10" spans="1:31" ht="24.95" customHeight="1" x14ac:dyDescent="0.2">
      <c r="A10" s="667">
        <v>3</v>
      </c>
      <c r="B10" s="680" t="s">
        <v>433</v>
      </c>
      <c r="C10" s="681" t="str">
        <f t="shared" ref="C10:C20" si="13">B10</f>
        <v>Paha Bawah</v>
      </c>
      <c r="D10" s="682"/>
      <c r="E10" s="683"/>
      <c r="F10" s="682"/>
      <c r="G10" s="683"/>
      <c r="H10" s="682"/>
      <c r="I10" s="683"/>
      <c r="J10" s="682"/>
      <c r="K10" s="683"/>
      <c r="L10" s="682"/>
      <c r="M10" s="684"/>
      <c r="N10" s="673">
        <f t="shared" si="0"/>
        <v>0</v>
      </c>
      <c r="O10" s="674">
        <f t="shared" si="1"/>
        <v>0</v>
      </c>
      <c r="P10" s="686" t="e">
        <f>(O10/O112)*100</f>
        <v>#DIV/0!</v>
      </c>
      <c r="Q10" s="676"/>
      <c r="R10" s="677" t="e">
        <f t="shared" si="2"/>
        <v>#DIV/0!</v>
      </c>
      <c r="S10" s="685">
        <v>17550</v>
      </c>
      <c r="U10" s="679">
        <f t="shared" si="3"/>
        <v>0</v>
      </c>
      <c r="V10" s="679">
        <f t="shared" si="4"/>
        <v>0</v>
      </c>
      <c r="W10" s="679">
        <f t="shared" si="5"/>
        <v>0</v>
      </c>
      <c r="X10" s="679">
        <f t="shared" si="6"/>
        <v>0</v>
      </c>
      <c r="Y10" s="679">
        <f t="shared" si="7"/>
        <v>0</v>
      </c>
      <c r="Z10" s="679">
        <f t="shared" si="8"/>
        <v>0</v>
      </c>
      <c r="AA10" s="679">
        <f t="shared" si="9"/>
        <v>0</v>
      </c>
      <c r="AB10" s="679">
        <f t="shared" si="10"/>
        <v>0</v>
      </c>
      <c r="AC10" s="679">
        <f t="shared" si="11"/>
        <v>0</v>
      </c>
      <c r="AD10" s="679">
        <f t="shared" si="12"/>
        <v>0</v>
      </c>
      <c r="AE10" s="610"/>
    </row>
    <row r="11" spans="1:31" ht="24.95" customHeight="1" x14ac:dyDescent="0.2">
      <c r="A11" s="667">
        <v>4</v>
      </c>
      <c r="B11" s="680" t="s">
        <v>434</v>
      </c>
      <c r="C11" s="681" t="str">
        <f t="shared" si="13"/>
        <v>Sayap</v>
      </c>
      <c r="D11" s="682"/>
      <c r="E11" s="683"/>
      <c r="F11" s="687"/>
      <c r="G11" s="683"/>
      <c r="H11" s="682"/>
      <c r="I11" s="683"/>
      <c r="J11" s="682"/>
      <c r="K11" s="683"/>
      <c r="L11" s="682"/>
      <c r="M11" s="684"/>
      <c r="N11" s="673">
        <f t="shared" si="0"/>
        <v>0</v>
      </c>
      <c r="O11" s="674">
        <f t="shared" si="1"/>
        <v>0</v>
      </c>
      <c r="P11" s="686" t="e">
        <f>(O11/O112)*100</f>
        <v>#DIV/0!</v>
      </c>
      <c r="Q11" s="676"/>
      <c r="R11" s="677" t="e">
        <f t="shared" si="2"/>
        <v>#DIV/0!</v>
      </c>
      <c r="S11" s="685">
        <v>16200</v>
      </c>
      <c r="U11" s="679">
        <f t="shared" si="3"/>
        <v>0</v>
      </c>
      <c r="V11" s="679">
        <f t="shared" si="4"/>
        <v>0</v>
      </c>
      <c r="W11" s="679">
        <f t="shared" si="5"/>
        <v>0</v>
      </c>
      <c r="X11" s="679">
        <f t="shared" si="6"/>
        <v>0</v>
      </c>
      <c r="Y11" s="679">
        <f t="shared" si="7"/>
        <v>0</v>
      </c>
      <c r="Z11" s="679">
        <f t="shared" si="8"/>
        <v>0</v>
      </c>
      <c r="AA11" s="679">
        <f t="shared" si="9"/>
        <v>0</v>
      </c>
      <c r="AB11" s="679">
        <f t="shared" si="10"/>
        <v>0</v>
      </c>
      <c r="AC11" s="679">
        <f t="shared" si="11"/>
        <v>0</v>
      </c>
      <c r="AD11" s="679">
        <f t="shared" si="12"/>
        <v>0</v>
      </c>
      <c r="AE11" s="610"/>
    </row>
    <row r="12" spans="1:31" ht="24.95" customHeight="1" x14ac:dyDescent="0.2">
      <c r="A12" s="667">
        <v>5</v>
      </c>
      <c r="B12" s="680" t="s">
        <v>435</v>
      </c>
      <c r="C12" s="681" t="str">
        <f t="shared" si="13"/>
        <v>Chicken Strips</v>
      </c>
      <c r="D12" s="682"/>
      <c r="E12" s="683"/>
      <c r="F12" s="682"/>
      <c r="G12" s="683"/>
      <c r="H12" s="682"/>
      <c r="I12" s="683"/>
      <c r="J12" s="682"/>
      <c r="K12" s="683"/>
      <c r="L12" s="682"/>
      <c r="M12" s="684"/>
      <c r="N12" s="673">
        <f t="shared" si="0"/>
        <v>0</v>
      </c>
      <c r="O12" s="674">
        <f t="shared" si="1"/>
        <v>0</v>
      </c>
      <c r="P12" s="686" t="e">
        <f>(O12/O112)*100</f>
        <v>#DIV/0!</v>
      </c>
      <c r="Q12" s="676"/>
      <c r="R12" s="677" t="e">
        <f t="shared" si="2"/>
        <v>#DIV/0!</v>
      </c>
      <c r="S12" s="685">
        <v>16200</v>
      </c>
      <c r="U12" s="679">
        <f t="shared" si="3"/>
        <v>0</v>
      </c>
      <c r="V12" s="679">
        <f t="shared" si="4"/>
        <v>0</v>
      </c>
      <c r="W12" s="679">
        <f t="shared" si="5"/>
        <v>0</v>
      </c>
      <c r="X12" s="679">
        <f t="shared" si="6"/>
        <v>0</v>
      </c>
      <c r="Y12" s="679">
        <f t="shared" si="7"/>
        <v>0</v>
      </c>
      <c r="Z12" s="679">
        <f t="shared" si="8"/>
        <v>0</v>
      </c>
      <c r="AA12" s="679">
        <f t="shared" si="9"/>
        <v>0</v>
      </c>
      <c r="AB12" s="679">
        <f t="shared" si="10"/>
        <v>0</v>
      </c>
      <c r="AC12" s="679">
        <f t="shared" si="11"/>
        <v>0</v>
      </c>
      <c r="AD12" s="679">
        <f t="shared" si="12"/>
        <v>0</v>
      </c>
      <c r="AE12" s="610"/>
    </row>
    <row r="13" spans="1:31" ht="24.95" customHeight="1" x14ac:dyDescent="0.2">
      <c r="A13" s="667">
        <v>6</v>
      </c>
      <c r="B13" s="680" t="s">
        <v>436</v>
      </c>
      <c r="C13" s="681" t="str">
        <f t="shared" si="13"/>
        <v>Chicken Steak</v>
      </c>
      <c r="D13" s="682"/>
      <c r="E13" s="683"/>
      <c r="F13" s="670"/>
      <c r="G13" s="683"/>
      <c r="H13" s="682"/>
      <c r="I13" s="683"/>
      <c r="J13" s="682"/>
      <c r="K13" s="683"/>
      <c r="L13" s="682"/>
      <c r="M13" s="684"/>
      <c r="N13" s="673">
        <f t="shared" si="0"/>
        <v>0</v>
      </c>
      <c r="O13" s="674">
        <f t="shared" si="1"/>
        <v>0</v>
      </c>
      <c r="P13" s="686" t="e">
        <f>(O13/O112)*100</f>
        <v>#DIV/0!</v>
      </c>
      <c r="Q13" s="676"/>
      <c r="R13" s="677" t="e">
        <f t="shared" si="2"/>
        <v>#DIV/0!</v>
      </c>
      <c r="S13" s="688">
        <v>17550</v>
      </c>
      <c r="U13" s="679">
        <f t="shared" si="3"/>
        <v>0</v>
      </c>
      <c r="V13" s="679">
        <f t="shared" si="4"/>
        <v>0</v>
      </c>
      <c r="W13" s="679">
        <f t="shared" si="5"/>
        <v>0</v>
      </c>
      <c r="X13" s="679">
        <f t="shared" si="6"/>
        <v>0</v>
      </c>
      <c r="Y13" s="679">
        <f t="shared" si="7"/>
        <v>0</v>
      </c>
      <c r="Z13" s="679">
        <f t="shared" si="8"/>
        <v>0</v>
      </c>
      <c r="AA13" s="679">
        <f t="shared" si="9"/>
        <v>0</v>
      </c>
      <c r="AB13" s="679">
        <f t="shared" si="10"/>
        <v>0</v>
      </c>
      <c r="AC13" s="679">
        <f t="shared" si="11"/>
        <v>0</v>
      </c>
      <c r="AD13" s="679">
        <f t="shared" si="12"/>
        <v>0</v>
      </c>
      <c r="AE13" s="610"/>
    </row>
    <row r="14" spans="1:31" ht="24.95" customHeight="1" x14ac:dyDescent="0.2">
      <c r="A14" s="667">
        <v>7</v>
      </c>
      <c r="B14" s="680"/>
      <c r="C14" s="680" t="s">
        <v>437</v>
      </c>
      <c r="D14" s="682"/>
      <c r="E14" s="683"/>
      <c r="F14" s="670"/>
      <c r="G14" s="683"/>
      <c r="H14" s="682"/>
      <c r="I14" s="683"/>
      <c r="J14" s="682"/>
      <c r="K14" s="683"/>
      <c r="L14" s="682"/>
      <c r="M14" s="684"/>
      <c r="N14" s="673">
        <f t="shared" si="0"/>
        <v>0</v>
      </c>
      <c r="O14" s="674">
        <f t="shared" si="1"/>
        <v>0</v>
      </c>
      <c r="P14" s="686" t="e">
        <f>(O14/O112)*100</f>
        <v>#DIV/0!</v>
      </c>
      <c r="Q14" s="676"/>
      <c r="R14" s="677" t="e">
        <f t="shared" si="2"/>
        <v>#DIV/0!</v>
      </c>
      <c r="S14" s="689">
        <v>19575</v>
      </c>
      <c r="U14" s="679">
        <f t="shared" si="3"/>
        <v>0</v>
      </c>
      <c r="V14" s="679">
        <f t="shared" si="4"/>
        <v>0</v>
      </c>
      <c r="W14" s="679">
        <f t="shared" si="5"/>
        <v>0</v>
      </c>
      <c r="X14" s="679">
        <f t="shared" si="6"/>
        <v>0</v>
      </c>
      <c r="Y14" s="679">
        <f t="shared" si="7"/>
        <v>0</v>
      </c>
      <c r="Z14" s="679">
        <f t="shared" si="8"/>
        <v>0</v>
      </c>
      <c r="AA14" s="679">
        <f t="shared" si="9"/>
        <v>0</v>
      </c>
      <c r="AB14" s="679">
        <f t="shared" si="10"/>
        <v>0</v>
      </c>
      <c r="AC14" s="679">
        <f t="shared" si="11"/>
        <v>0</v>
      </c>
      <c r="AD14" s="679">
        <f t="shared" si="12"/>
        <v>0</v>
      </c>
      <c r="AE14" s="610"/>
    </row>
    <row r="15" spans="1:31" ht="24.95" customHeight="1" x14ac:dyDescent="0.2">
      <c r="A15" s="667">
        <v>8</v>
      </c>
      <c r="B15" s="680" t="s">
        <v>438</v>
      </c>
      <c r="C15" s="681" t="str">
        <f t="shared" si="13"/>
        <v>French Fries</v>
      </c>
      <c r="D15" s="682"/>
      <c r="E15" s="683"/>
      <c r="F15" s="682"/>
      <c r="G15" s="683"/>
      <c r="H15" s="682"/>
      <c r="I15" s="683"/>
      <c r="J15" s="682"/>
      <c r="K15" s="683"/>
      <c r="L15" s="682"/>
      <c r="M15" s="684"/>
      <c r="N15" s="673">
        <f t="shared" si="0"/>
        <v>0</v>
      </c>
      <c r="O15" s="674">
        <f t="shared" si="1"/>
        <v>0</v>
      </c>
      <c r="P15" s="686" t="e">
        <f>(O15/O112)*100</f>
        <v>#DIV/0!</v>
      </c>
      <c r="Q15" s="676"/>
      <c r="R15" s="677" t="e">
        <f t="shared" si="2"/>
        <v>#DIV/0!</v>
      </c>
      <c r="S15" s="689">
        <v>14850.000000000002</v>
      </c>
      <c r="U15" s="679">
        <f t="shared" si="3"/>
        <v>0</v>
      </c>
      <c r="V15" s="679">
        <f t="shared" si="4"/>
        <v>0</v>
      </c>
      <c r="W15" s="679">
        <f t="shared" si="5"/>
        <v>0</v>
      </c>
      <c r="X15" s="679">
        <f t="shared" si="6"/>
        <v>0</v>
      </c>
      <c r="Y15" s="679">
        <f t="shared" si="7"/>
        <v>0</v>
      </c>
      <c r="Z15" s="679">
        <f t="shared" si="8"/>
        <v>0</v>
      </c>
      <c r="AA15" s="679">
        <f t="shared" si="9"/>
        <v>0</v>
      </c>
      <c r="AB15" s="679">
        <f t="shared" si="10"/>
        <v>0</v>
      </c>
      <c r="AC15" s="679">
        <f t="shared" si="11"/>
        <v>0</v>
      </c>
      <c r="AD15" s="679">
        <f t="shared" si="12"/>
        <v>0</v>
      </c>
      <c r="AE15" s="610"/>
    </row>
    <row r="16" spans="1:31" ht="24.95" customHeight="1" x14ac:dyDescent="0.2">
      <c r="A16" s="667">
        <v>9</v>
      </c>
      <c r="B16" s="680" t="s">
        <v>439</v>
      </c>
      <c r="C16" s="681" t="str">
        <f t="shared" si="13"/>
        <v xml:space="preserve">Nasi </v>
      </c>
      <c r="D16" s="682"/>
      <c r="E16" s="683"/>
      <c r="F16" s="682"/>
      <c r="G16" s="683"/>
      <c r="H16" s="682"/>
      <c r="I16" s="683"/>
      <c r="J16" s="682"/>
      <c r="K16" s="683"/>
      <c r="L16" s="682"/>
      <c r="M16" s="684"/>
      <c r="N16" s="673">
        <f t="shared" si="0"/>
        <v>0</v>
      </c>
      <c r="O16" s="674">
        <f t="shared" si="1"/>
        <v>0</v>
      </c>
      <c r="P16" s="686" t="e">
        <f>(O16/O112)*100</f>
        <v>#DIV/0!</v>
      </c>
      <c r="Q16" s="676"/>
      <c r="R16" s="677" t="e">
        <f t="shared" si="2"/>
        <v>#DIV/0!</v>
      </c>
      <c r="S16" s="689">
        <v>6750</v>
      </c>
      <c r="U16" s="679">
        <f t="shared" si="3"/>
        <v>0</v>
      </c>
      <c r="V16" s="679">
        <f t="shared" si="4"/>
        <v>0</v>
      </c>
      <c r="W16" s="679">
        <f t="shared" si="5"/>
        <v>0</v>
      </c>
      <c r="X16" s="679">
        <f t="shared" si="6"/>
        <v>0</v>
      </c>
      <c r="Y16" s="679">
        <f t="shared" si="7"/>
        <v>0</v>
      </c>
      <c r="Z16" s="679">
        <f t="shared" si="8"/>
        <v>0</v>
      </c>
      <c r="AA16" s="679">
        <f t="shared" si="9"/>
        <v>0</v>
      </c>
      <c r="AB16" s="679">
        <f t="shared" si="10"/>
        <v>0</v>
      </c>
      <c r="AC16" s="679">
        <f t="shared" si="11"/>
        <v>0</v>
      </c>
      <c r="AD16" s="679">
        <f t="shared" si="12"/>
        <v>0</v>
      </c>
      <c r="AE16" s="610"/>
    </row>
    <row r="17" spans="1:31" ht="24.95" customHeight="1" x14ac:dyDescent="0.2">
      <c r="A17" s="667">
        <v>10</v>
      </c>
      <c r="B17" s="680" t="s">
        <v>440</v>
      </c>
      <c r="C17" s="681" t="str">
        <f t="shared" si="13"/>
        <v xml:space="preserve">Perkedel </v>
      </c>
      <c r="D17" s="682"/>
      <c r="E17" s="683"/>
      <c r="F17" s="682"/>
      <c r="G17" s="683"/>
      <c r="H17" s="682"/>
      <c r="I17" s="683"/>
      <c r="J17" s="682"/>
      <c r="K17" s="683"/>
      <c r="L17" s="682"/>
      <c r="M17" s="684"/>
      <c r="N17" s="673">
        <f t="shared" si="0"/>
        <v>0</v>
      </c>
      <c r="O17" s="674">
        <f t="shared" si="1"/>
        <v>0</v>
      </c>
      <c r="P17" s="686" t="e">
        <f>(O17/O112)*100</f>
        <v>#DIV/0!</v>
      </c>
      <c r="Q17" s="676"/>
      <c r="R17" s="677" t="e">
        <f t="shared" si="2"/>
        <v>#DIV/0!</v>
      </c>
      <c r="S17" s="689">
        <v>6750</v>
      </c>
      <c r="U17" s="679">
        <f t="shared" si="3"/>
        <v>0</v>
      </c>
      <c r="V17" s="679">
        <f t="shared" si="4"/>
        <v>0</v>
      </c>
      <c r="W17" s="679">
        <f t="shared" si="5"/>
        <v>0</v>
      </c>
      <c r="X17" s="679">
        <f t="shared" si="6"/>
        <v>0</v>
      </c>
      <c r="Y17" s="679">
        <f t="shared" si="7"/>
        <v>0</v>
      </c>
      <c r="Z17" s="679">
        <f t="shared" si="8"/>
        <v>0</v>
      </c>
      <c r="AA17" s="679">
        <f t="shared" si="9"/>
        <v>0</v>
      </c>
      <c r="AB17" s="679">
        <f t="shared" si="10"/>
        <v>0</v>
      </c>
      <c r="AC17" s="679">
        <f t="shared" si="11"/>
        <v>0</v>
      </c>
      <c r="AD17" s="679">
        <f t="shared" si="12"/>
        <v>0</v>
      </c>
      <c r="AE17" s="610"/>
    </row>
    <row r="18" spans="1:31" ht="24.95" customHeight="1" x14ac:dyDescent="0.2">
      <c r="A18" s="667">
        <v>11</v>
      </c>
      <c r="B18" s="680" t="s">
        <v>441</v>
      </c>
      <c r="C18" s="681" t="str">
        <f t="shared" si="13"/>
        <v>Chicken Burger</v>
      </c>
      <c r="D18" s="682"/>
      <c r="E18" s="683"/>
      <c r="F18" s="682"/>
      <c r="G18" s="683"/>
      <c r="H18" s="682"/>
      <c r="I18" s="683"/>
      <c r="J18" s="682"/>
      <c r="K18" s="683"/>
      <c r="L18" s="682"/>
      <c r="M18" s="684"/>
      <c r="N18" s="673">
        <f t="shared" si="0"/>
        <v>0</v>
      </c>
      <c r="O18" s="674">
        <f t="shared" si="1"/>
        <v>0</v>
      </c>
      <c r="P18" s="686" t="e">
        <f>(O18/O112)*100</f>
        <v>#DIV/0!</v>
      </c>
      <c r="Q18" s="676"/>
      <c r="R18" s="677" t="e">
        <f t="shared" si="2"/>
        <v>#DIV/0!</v>
      </c>
      <c r="S18" s="689">
        <v>20250</v>
      </c>
      <c r="U18" s="679">
        <f t="shared" si="3"/>
        <v>0</v>
      </c>
      <c r="V18" s="679">
        <f t="shared" si="4"/>
        <v>0</v>
      </c>
      <c r="W18" s="679">
        <f t="shared" si="5"/>
        <v>0</v>
      </c>
      <c r="X18" s="679">
        <f t="shared" si="6"/>
        <v>0</v>
      </c>
      <c r="Y18" s="679">
        <f t="shared" si="7"/>
        <v>0</v>
      </c>
      <c r="Z18" s="679">
        <f t="shared" si="8"/>
        <v>0</v>
      </c>
      <c r="AA18" s="679">
        <f t="shared" si="9"/>
        <v>0</v>
      </c>
      <c r="AB18" s="679">
        <f t="shared" si="10"/>
        <v>0</v>
      </c>
      <c r="AC18" s="679">
        <f t="shared" si="11"/>
        <v>0</v>
      </c>
      <c r="AD18" s="679">
        <f t="shared" si="12"/>
        <v>0</v>
      </c>
      <c r="AE18" s="610"/>
    </row>
    <row r="19" spans="1:31" ht="24.95" customHeight="1" x14ac:dyDescent="0.2">
      <c r="A19" s="667">
        <v>12</v>
      </c>
      <c r="B19" s="680" t="s">
        <v>442</v>
      </c>
      <c r="C19" s="681" t="str">
        <f t="shared" si="13"/>
        <v xml:space="preserve">Cheese Burger </v>
      </c>
      <c r="D19" s="682"/>
      <c r="E19" s="683"/>
      <c r="F19" s="682"/>
      <c r="G19" s="683"/>
      <c r="H19" s="682"/>
      <c r="I19" s="683"/>
      <c r="J19" s="682"/>
      <c r="K19" s="683"/>
      <c r="L19" s="682"/>
      <c r="M19" s="684"/>
      <c r="N19" s="673">
        <f t="shared" si="0"/>
        <v>0</v>
      </c>
      <c r="O19" s="674">
        <f t="shared" si="1"/>
        <v>0</v>
      </c>
      <c r="P19" s="686" t="e">
        <f>(O19/O112)*100</f>
        <v>#DIV/0!</v>
      </c>
      <c r="Q19" s="676"/>
      <c r="R19" s="677" t="e">
        <f t="shared" si="2"/>
        <v>#DIV/0!</v>
      </c>
      <c r="S19" s="689">
        <v>22950</v>
      </c>
      <c r="U19" s="679">
        <f t="shared" si="3"/>
        <v>0</v>
      </c>
      <c r="V19" s="679">
        <f t="shared" si="4"/>
        <v>0</v>
      </c>
      <c r="W19" s="679">
        <f t="shared" si="5"/>
        <v>0</v>
      </c>
      <c r="X19" s="679">
        <f t="shared" si="6"/>
        <v>0</v>
      </c>
      <c r="Y19" s="679">
        <f t="shared" si="7"/>
        <v>0</v>
      </c>
      <c r="Z19" s="679">
        <f t="shared" si="8"/>
        <v>0</v>
      </c>
      <c r="AA19" s="679">
        <f t="shared" si="9"/>
        <v>0</v>
      </c>
      <c r="AB19" s="679">
        <f t="shared" si="10"/>
        <v>0</v>
      </c>
      <c r="AC19" s="679">
        <f t="shared" si="11"/>
        <v>0</v>
      </c>
      <c r="AD19" s="679">
        <f t="shared" si="12"/>
        <v>0</v>
      </c>
      <c r="AE19" s="610"/>
    </row>
    <row r="20" spans="1:31" ht="24.95" customHeight="1" x14ac:dyDescent="0.2">
      <c r="A20" s="667">
        <v>13</v>
      </c>
      <c r="B20" s="680" t="s">
        <v>443</v>
      </c>
      <c r="C20" s="681" t="str">
        <f t="shared" si="13"/>
        <v xml:space="preserve">Nasi Goreng </v>
      </c>
      <c r="D20" s="682"/>
      <c r="E20" s="683"/>
      <c r="F20" s="682"/>
      <c r="G20" s="683"/>
      <c r="H20" s="682"/>
      <c r="I20" s="683"/>
      <c r="J20" s="682"/>
      <c r="K20" s="683"/>
      <c r="L20" s="682"/>
      <c r="M20" s="684"/>
      <c r="N20" s="673">
        <f t="shared" si="0"/>
        <v>0</v>
      </c>
      <c r="O20" s="674">
        <f t="shared" si="1"/>
        <v>0</v>
      </c>
      <c r="P20" s="686" t="e">
        <f>(O20/O112)*100</f>
        <v>#DIV/0!</v>
      </c>
      <c r="Q20" s="676"/>
      <c r="R20" s="677" t="e">
        <f t="shared" si="2"/>
        <v>#DIV/0!</v>
      </c>
      <c r="S20" s="689">
        <v>21600</v>
      </c>
      <c r="U20" s="679">
        <f t="shared" si="3"/>
        <v>0</v>
      </c>
      <c r="V20" s="679">
        <f t="shared" si="4"/>
        <v>0</v>
      </c>
      <c r="W20" s="679">
        <f t="shared" si="5"/>
        <v>0</v>
      </c>
      <c r="X20" s="679">
        <f t="shared" si="6"/>
        <v>0</v>
      </c>
      <c r="Y20" s="679">
        <f t="shared" si="7"/>
        <v>0</v>
      </c>
      <c r="Z20" s="679">
        <f t="shared" si="8"/>
        <v>0</v>
      </c>
      <c r="AA20" s="679">
        <f t="shared" si="9"/>
        <v>0</v>
      </c>
      <c r="AB20" s="679">
        <f t="shared" si="10"/>
        <v>0</v>
      </c>
      <c r="AC20" s="679">
        <f t="shared" si="11"/>
        <v>0</v>
      </c>
      <c r="AD20" s="679">
        <f t="shared" si="12"/>
        <v>0</v>
      </c>
      <c r="AE20" s="610"/>
    </row>
    <row r="21" spans="1:31" ht="24.95" customHeight="1" x14ac:dyDescent="0.2">
      <c r="A21" s="667">
        <v>14</v>
      </c>
      <c r="B21" s="680" t="s">
        <v>444</v>
      </c>
      <c r="C21" s="681" t="s">
        <v>445</v>
      </c>
      <c r="D21" s="682"/>
      <c r="E21" s="683"/>
      <c r="F21" s="682"/>
      <c r="G21" s="683"/>
      <c r="H21" s="682"/>
      <c r="I21" s="683"/>
      <c r="J21" s="682"/>
      <c r="K21" s="683"/>
      <c r="L21" s="682"/>
      <c r="M21" s="684"/>
      <c r="N21" s="673">
        <f t="shared" si="0"/>
        <v>0</v>
      </c>
      <c r="O21" s="674">
        <f t="shared" si="1"/>
        <v>0</v>
      </c>
      <c r="P21" s="686" t="e">
        <f>(O21/O112)*100</f>
        <v>#DIV/0!</v>
      </c>
      <c r="Q21" s="676"/>
      <c r="R21" s="677" t="e">
        <f t="shared" si="2"/>
        <v>#DIV/0!</v>
      </c>
      <c r="S21" s="689">
        <v>25650</v>
      </c>
      <c r="U21" s="679">
        <f t="shared" si="3"/>
        <v>0</v>
      </c>
      <c r="V21" s="679">
        <f t="shared" si="4"/>
        <v>0</v>
      </c>
      <c r="W21" s="679">
        <f t="shared" si="5"/>
        <v>0</v>
      </c>
      <c r="X21" s="679">
        <f t="shared" si="6"/>
        <v>0</v>
      </c>
      <c r="Y21" s="679">
        <f t="shared" si="7"/>
        <v>0</v>
      </c>
      <c r="Z21" s="679">
        <f t="shared" si="8"/>
        <v>0</v>
      </c>
      <c r="AA21" s="679">
        <f t="shared" si="9"/>
        <v>0</v>
      </c>
      <c r="AB21" s="679">
        <f t="shared" si="10"/>
        <v>0</v>
      </c>
      <c r="AC21" s="679">
        <f t="shared" si="11"/>
        <v>0</v>
      </c>
      <c r="AD21" s="679">
        <f t="shared" si="12"/>
        <v>0</v>
      </c>
      <c r="AE21" s="610"/>
    </row>
    <row r="22" spans="1:31" ht="24.95" customHeight="1" x14ac:dyDescent="0.2">
      <c r="A22" s="667">
        <v>15</v>
      </c>
      <c r="B22" s="680" t="s">
        <v>446</v>
      </c>
      <c r="C22" s="681" t="s">
        <v>447</v>
      </c>
      <c r="D22" s="682"/>
      <c r="E22" s="683"/>
      <c r="F22" s="682"/>
      <c r="G22" s="683"/>
      <c r="H22" s="682"/>
      <c r="I22" s="683"/>
      <c r="J22" s="682"/>
      <c r="K22" s="683"/>
      <c r="L22" s="682"/>
      <c r="M22" s="684"/>
      <c r="N22" s="673">
        <f t="shared" si="0"/>
        <v>0</v>
      </c>
      <c r="O22" s="674">
        <f t="shared" si="1"/>
        <v>0</v>
      </c>
      <c r="P22" s="686" t="e">
        <f>(O22/O112)*100</f>
        <v>#DIV/0!</v>
      </c>
      <c r="Q22" s="676"/>
      <c r="R22" s="677" t="e">
        <f t="shared" si="2"/>
        <v>#DIV/0!</v>
      </c>
      <c r="S22" s="689">
        <v>21600</v>
      </c>
      <c r="U22" s="679">
        <f t="shared" si="3"/>
        <v>0</v>
      </c>
      <c r="V22" s="679">
        <f t="shared" si="4"/>
        <v>0</v>
      </c>
      <c r="W22" s="679">
        <f t="shared" si="5"/>
        <v>0</v>
      </c>
      <c r="X22" s="679">
        <f t="shared" si="6"/>
        <v>0</v>
      </c>
      <c r="Y22" s="679">
        <f t="shared" si="7"/>
        <v>0</v>
      </c>
      <c r="Z22" s="679">
        <f t="shared" si="8"/>
        <v>0</v>
      </c>
      <c r="AA22" s="679">
        <f t="shared" si="9"/>
        <v>0</v>
      </c>
      <c r="AB22" s="679">
        <f t="shared" si="10"/>
        <v>0</v>
      </c>
      <c r="AC22" s="679">
        <f t="shared" si="11"/>
        <v>0</v>
      </c>
      <c r="AD22" s="679">
        <f t="shared" si="12"/>
        <v>0</v>
      </c>
      <c r="AE22" s="610"/>
    </row>
    <row r="23" spans="1:31" ht="24.95" customHeight="1" x14ac:dyDescent="0.2">
      <c r="A23" s="667">
        <v>16</v>
      </c>
      <c r="B23" s="680"/>
      <c r="C23" s="680" t="s">
        <v>448</v>
      </c>
      <c r="D23" s="682"/>
      <c r="E23" s="683"/>
      <c r="F23" s="682"/>
      <c r="G23" s="683"/>
      <c r="H23" s="682"/>
      <c r="I23" s="683"/>
      <c r="J23" s="682"/>
      <c r="K23" s="683"/>
      <c r="L23" s="682"/>
      <c r="M23" s="684"/>
      <c r="N23" s="673">
        <f t="shared" si="0"/>
        <v>0</v>
      </c>
      <c r="O23" s="674">
        <f t="shared" si="1"/>
        <v>0</v>
      </c>
      <c r="P23" s="686" t="e">
        <f>(O23/O112)*100</f>
        <v>#DIV/0!</v>
      </c>
      <c r="Q23" s="676"/>
      <c r="R23" s="677" t="e">
        <f t="shared" si="2"/>
        <v>#DIV/0!</v>
      </c>
      <c r="S23" s="689">
        <v>33750</v>
      </c>
      <c r="U23" s="679">
        <f t="shared" si="3"/>
        <v>0</v>
      </c>
      <c r="V23" s="679">
        <f t="shared" si="4"/>
        <v>0</v>
      </c>
      <c r="W23" s="679">
        <f t="shared" si="5"/>
        <v>0</v>
      </c>
      <c r="X23" s="679">
        <f t="shared" si="6"/>
        <v>0</v>
      </c>
      <c r="Y23" s="679">
        <f t="shared" si="7"/>
        <v>0</v>
      </c>
      <c r="Z23" s="679">
        <f t="shared" si="8"/>
        <v>0</v>
      </c>
      <c r="AA23" s="679">
        <f t="shared" si="9"/>
        <v>0</v>
      </c>
      <c r="AB23" s="679">
        <f t="shared" si="10"/>
        <v>0</v>
      </c>
      <c r="AC23" s="679">
        <f t="shared" si="11"/>
        <v>0</v>
      </c>
      <c r="AD23" s="679">
        <f t="shared" si="12"/>
        <v>0</v>
      </c>
      <c r="AE23" s="610"/>
    </row>
    <row r="24" spans="1:31" ht="24.95" customHeight="1" x14ac:dyDescent="0.2">
      <c r="A24" s="667">
        <v>17</v>
      </c>
      <c r="B24" s="680"/>
      <c r="C24" s="680"/>
      <c r="D24" s="682"/>
      <c r="E24" s="683"/>
      <c r="F24" s="682"/>
      <c r="G24" s="683"/>
      <c r="H24" s="682"/>
      <c r="I24" s="683"/>
      <c r="J24" s="682"/>
      <c r="K24" s="683"/>
      <c r="L24" s="682"/>
      <c r="M24" s="684"/>
      <c r="N24" s="673">
        <f>SUM(D24:M24)</f>
        <v>0</v>
      </c>
      <c r="O24" s="674">
        <f t="shared" si="1"/>
        <v>0</v>
      </c>
      <c r="P24" s="686" t="e">
        <f>(O24/O112)*100</f>
        <v>#DIV/0!</v>
      </c>
      <c r="Q24" s="676"/>
      <c r="R24" s="677" t="e">
        <f t="shared" si="2"/>
        <v>#DIV/0!</v>
      </c>
      <c r="S24" s="689">
        <v>20250</v>
      </c>
      <c r="U24" s="679">
        <f t="shared" si="3"/>
        <v>0</v>
      </c>
      <c r="V24" s="679">
        <f t="shared" si="4"/>
        <v>0</v>
      </c>
      <c r="W24" s="679">
        <f t="shared" si="5"/>
        <v>0</v>
      </c>
      <c r="X24" s="679">
        <f t="shared" si="6"/>
        <v>0</v>
      </c>
      <c r="Y24" s="679">
        <f t="shared" si="7"/>
        <v>0</v>
      </c>
      <c r="Z24" s="679">
        <f t="shared" si="8"/>
        <v>0</v>
      </c>
      <c r="AA24" s="679">
        <f t="shared" si="9"/>
        <v>0</v>
      </c>
      <c r="AB24" s="679">
        <f t="shared" si="10"/>
        <v>0</v>
      </c>
      <c r="AC24" s="679">
        <f t="shared" si="11"/>
        <v>0</v>
      </c>
      <c r="AD24" s="679">
        <f t="shared" si="12"/>
        <v>0</v>
      </c>
      <c r="AE24" s="610"/>
    </row>
    <row r="25" spans="1:31" ht="24.95" customHeight="1" x14ac:dyDescent="0.2">
      <c r="A25" s="667">
        <v>18</v>
      </c>
      <c r="B25" s="680"/>
      <c r="C25" s="680"/>
      <c r="D25" s="682"/>
      <c r="E25" s="683"/>
      <c r="F25" s="682"/>
      <c r="G25" s="683"/>
      <c r="H25" s="682"/>
      <c r="I25" s="683"/>
      <c r="J25" s="682"/>
      <c r="K25" s="683"/>
      <c r="L25" s="682"/>
      <c r="M25" s="684"/>
      <c r="N25" s="673">
        <f t="shared" ref="N25:N26" si="14">SUM(D25:M25)</f>
        <v>0</v>
      </c>
      <c r="O25" s="674">
        <f t="shared" si="1"/>
        <v>0</v>
      </c>
      <c r="P25" s="686" t="e">
        <f>(O25/O112)*100</f>
        <v>#DIV/0!</v>
      </c>
      <c r="Q25" s="676"/>
      <c r="R25" s="677" t="e">
        <f t="shared" si="2"/>
        <v>#DIV/0!</v>
      </c>
      <c r="S25" s="689"/>
      <c r="U25" s="679">
        <f t="shared" si="3"/>
        <v>0</v>
      </c>
      <c r="V25" s="679">
        <f t="shared" si="4"/>
        <v>0</v>
      </c>
      <c r="W25" s="679">
        <f t="shared" si="5"/>
        <v>0</v>
      </c>
      <c r="X25" s="679">
        <f t="shared" si="6"/>
        <v>0</v>
      </c>
      <c r="Y25" s="679">
        <f t="shared" si="7"/>
        <v>0</v>
      </c>
      <c r="Z25" s="679">
        <f t="shared" si="8"/>
        <v>0</v>
      </c>
      <c r="AA25" s="679">
        <f t="shared" si="9"/>
        <v>0</v>
      </c>
      <c r="AB25" s="679">
        <f t="shared" si="10"/>
        <v>0</v>
      </c>
      <c r="AC25" s="679">
        <f t="shared" si="11"/>
        <v>0</v>
      </c>
      <c r="AD25" s="679">
        <f t="shared" si="12"/>
        <v>0</v>
      </c>
      <c r="AE25" s="610"/>
    </row>
    <row r="26" spans="1:31" ht="24.95" customHeight="1" x14ac:dyDescent="0.2">
      <c r="A26" s="667">
        <v>19</v>
      </c>
      <c r="B26" s="680" t="s">
        <v>449</v>
      </c>
      <c r="C26" s="681" t="s">
        <v>450</v>
      </c>
      <c r="D26" s="682"/>
      <c r="E26" s="683"/>
      <c r="F26" s="682"/>
      <c r="G26" s="683"/>
      <c r="H26" s="682"/>
      <c r="I26" s="683"/>
      <c r="J26" s="682"/>
      <c r="K26" s="683"/>
      <c r="L26" s="682"/>
      <c r="M26" s="684"/>
      <c r="N26" s="673">
        <f t="shared" si="14"/>
        <v>0</v>
      </c>
      <c r="O26" s="674">
        <f t="shared" si="1"/>
        <v>0</v>
      </c>
      <c r="P26" s="686" t="e">
        <f>(O26/O112)*100</f>
        <v>#DIV/0!</v>
      </c>
      <c r="Q26" s="676"/>
      <c r="R26" s="677" t="e">
        <f t="shared" si="2"/>
        <v>#DIV/0!</v>
      </c>
      <c r="S26" s="688">
        <v>17550</v>
      </c>
      <c r="U26" s="679">
        <f t="shared" si="3"/>
        <v>0</v>
      </c>
      <c r="V26" s="679">
        <f t="shared" si="4"/>
        <v>0</v>
      </c>
      <c r="W26" s="679">
        <f t="shared" si="5"/>
        <v>0</v>
      </c>
      <c r="X26" s="679">
        <f t="shared" si="6"/>
        <v>0</v>
      </c>
      <c r="Y26" s="679">
        <f t="shared" si="7"/>
        <v>0</v>
      </c>
      <c r="Z26" s="679">
        <f t="shared" si="8"/>
        <v>0</v>
      </c>
      <c r="AA26" s="679">
        <f t="shared" si="9"/>
        <v>0</v>
      </c>
      <c r="AB26" s="679">
        <f t="shared" si="10"/>
        <v>0</v>
      </c>
      <c r="AC26" s="679">
        <f t="shared" si="11"/>
        <v>0</v>
      </c>
      <c r="AD26" s="679">
        <f t="shared" si="12"/>
        <v>0</v>
      </c>
      <c r="AE26" s="610"/>
    </row>
    <row r="27" spans="1:31" ht="24.95" customHeight="1" x14ac:dyDescent="0.2">
      <c r="A27" s="667">
        <v>20</v>
      </c>
      <c r="B27" s="680" t="s">
        <v>451</v>
      </c>
      <c r="C27" s="681" t="s">
        <v>452</v>
      </c>
      <c r="D27" s="682"/>
      <c r="E27" s="683"/>
      <c r="F27" s="682"/>
      <c r="G27" s="683"/>
      <c r="H27" s="682"/>
      <c r="I27" s="683"/>
      <c r="J27" s="682"/>
      <c r="K27" s="683"/>
      <c r="L27" s="682"/>
      <c r="M27" s="684"/>
      <c r="N27" s="673">
        <f t="shared" si="0"/>
        <v>0</v>
      </c>
      <c r="O27" s="674">
        <f t="shared" si="1"/>
        <v>0</v>
      </c>
      <c r="P27" s="686" t="e">
        <f>(O27/O112)*100</f>
        <v>#DIV/0!</v>
      </c>
      <c r="Q27" s="676"/>
      <c r="R27" s="677" t="e">
        <f t="shared" si="2"/>
        <v>#DIV/0!</v>
      </c>
      <c r="S27" s="688">
        <v>20250</v>
      </c>
      <c r="U27" s="679">
        <f t="shared" si="3"/>
        <v>0</v>
      </c>
      <c r="V27" s="679">
        <f t="shared" si="4"/>
        <v>0</v>
      </c>
      <c r="W27" s="679">
        <f t="shared" si="5"/>
        <v>0</v>
      </c>
      <c r="X27" s="679">
        <f t="shared" si="6"/>
        <v>0</v>
      </c>
      <c r="Y27" s="679">
        <f t="shared" si="7"/>
        <v>0</v>
      </c>
      <c r="Z27" s="679">
        <f t="shared" si="8"/>
        <v>0</v>
      </c>
      <c r="AA27" s="679">
        <f t="shared" si="9"/>
        <v>0</v>
      </c>
      <c r="AB27" s="679">
        <f t="shared" si="10"/>
        <v>0</v>
      </c>
      <c r="AC27" s="679">
        <f t="shared" si="11"/>
        <v>0</v>
      </c>
      <c r="AD27" s="679">
        <f t="shared" si="12"/>
        <v>0</v>
      </c>
      <c r="AE27" s="610"/>
    </row>
    <row r="28" spans="1:31" ht="24.95" customHeight="1" x14ac:dyDescent="0.2">
      <c r="A28" s="667">
        <v>21</v>
      </c>
      <c r="B28" s="680" t="s">
        <v>453</v>
      </c>
      <c r="C28" s="681" t="s">
        <v>454</v>
      </c>
      <c r="D28" s="682"/>
      <c r="E28" s="683"/>
      <c r="F28" s="682"/>
      <c r="G28" s="683"/>
      <c r="H28" s="682"/>
      <c r="I28" s="683"/>
      <c r="J28" s="682"/>
      <c r="K28" s="683"/>
      <c r="L28" s="682"/>
      <c r="M28" s="684"/>
      <c r="N28" s="673">
        <f t="shared" si="0"/>
        <v>0</v>
      </c>
      <c r="O28" s="674">
        <f t="shared" si="1"/>
        <v>0</v>
      </c>
      <c r="P28" s="686" t="e">
        <f>(O28/O112)*100</f>
        <v>#DIV/0!</v>
      </c>
      <c r="Q28" s="676"/>
      <c r="R28" s="677" t="e">
        <f t="shared" si="2"/>
        <v>#DIV/0!</v>
      </c>
      <c r="S28" s="688">
        <v>32400</v>
      </c>
      <c r="U28" s="679">
        <f t="shared" si="3"/>
        <v>0</v>
      </c>
      <c r="V28" s="679">
        <f t="shared" si="4"/>
        <v>0</v>
      </c>
      <c r="W28" s="679">
        <f t="shared" si="5"/>
        <v>0</v>
      </c>
      <c r="X28" s="679">
        <f t="shared" si="6"/>
        <v>0</v>
      </c>
      <c r="Y28" s="679">
        <f t="shared" si="7"/>
        <v>0</v>
      </c>
      <c r="Z28" s="679">
        <f t="shared" si="8"/>
        <v>0</v>
      </c>
      <c r="AA28" s="679">
        <f t="shared" si="9"/>
        <v>0</v>
      </c>
      <c r="AB28" s="679">
        <f t="shared" si="10"/>
        <v>0</v>
      </c>
      <c r="AC28" s="679">
        <f t="shared" si="11"/>
        <v>0</v>
      </c>
      <c r="AD28" s="679">
        <f t="shared" si="12"/>
        <v>0</v>
      </c>
      <c r="AE28" s="610"/>
    </row>
    <row r="29" spans="1:31" ht="24.95" customHeight="1" x14ac:dyDescent="0.2">
      <c r="A29" s="667">
        <v>22</v>
      </c>
      <c r="B29" s="680" t="s">
        <v>455</v>
      </c>
      <c r="C29" s="681" t="s">
        <v>456</v>
      </c>
      <c r="D29" s="682"/>
      <c r="E29" s="683"/>
      <c r="F29" s="682"/>
      <c r="G29" s="683"/>
      <c r="H29" s="682"/>
      <c r="I29" s="683"/>
      <c r="J29" s="682"/>
      <c r="K29" s="683"/>
      <c r="L29" s="682"/>
      <c r="M29" s="684"/>
      <c r="N29" s="673">
        <f t="shared" si="0"/>
        <v>0</v>
      </c>
      <c r="O29" s="674">
        <f t="shared" si="1"/>
        <v>0</v>
      </c>
      <c r="P29" s="686" t="e">
        <f>(O29/O112)*100</f>
        <v>#DIV/0!</v>
      </c>
      <c r="Q29" s="676"/>
      <c r="R29" s="677" t="e">
        <f t="shared" si="2"/>
        <v>#DIV/0!</v>
      </c>
      <c r="S29" s="688">
        <v>32400</v>
      </c>
      <c r="U29" s="679">
        <f t="shared" si="3"/>
        <v>0</v>
      </c>
      <c r="V29" s="679">
        <f t="shared" si="4"/>
        <v>0</v>
      </c>
      <c r="W29" s="679">
        <f t="shared" si="5"/>
        <v>0</v>
      </c>
      <c r="X29" s="679">
        <f t="shared" si="6"/>
        <v>0</v>
      </c>
      <c r="Y29" s="679">
        <f t="shared" si="7"/>
        <v>0</v>
      </c>
      <c r="Z29" s="679">
        <f t="shared" si="8"/>
        <v>0</v>
      </c>
      <c r="AA29" s="679">
        <f t="shared" si="9"/>
        <v>0</v>
      </c>
      <c r="AB29" s="679">
        <f t="shared" si="10"/>
        <v>0</v>
      </c>
      <c r="AC29" s="679">
        <f t="shared" si="11"/>
        <v>0</v>
      </c>
      <c r="AD29" s="679">
        <f t="shared" si="12"/>
        <v>0</v>
      </c>
      <c r="AE29" s="610"/>
    </row>
    <row r="30" spans="1:31" ht="24.95" customHeight="1" x14ac:dyDescent="0.2">
      <c r="A30" s="667">
        <v>23</v>
      </c>
      <c r="B30" s="680" t="s">
        <v>457</v>
      </c>
      <c r="C30" s="681" t="s">
        <v>458</v>
      </c>
      <c r="D30" s="682"/>
      <c r="E30" s="683"/>
      <c r="F30" s="682"/>
      <c r="G30" s="683"/>
      <c r="H30" s="682"/>
      <c r="I30" s="683"/>
      <c r="J30" s="682"/>
      <c r="K30" s="683"/>
      <c r="L30" s="682"/>
      <c r="M30" s="684"/>
      <c r="N30" s="673">
        <f t="shared" si="0"/>
        <v>0</v>
      </c>
      <c r="O30" s="674">
        <f t="shared" si="1"/>
        <v>0</v>
      </c>
      <c r="P30" s="686" t="e">
        <f>(O30/O112)*100</f>
        <v>#DIV/0!</v>
      </c>
      <c r="Q30" s="676"/>
      <c r="R30" s="677" t="e">
        <f t="shared" si="2"/>
        <v>#DIV/0!</v>
      </c>
      <c r="S30" s="688">
        <v>32400</v>
      </c>
      <c r="U30" s="679">
        <f t="shared" si="3"/>
        <v>0</v>
      </c>
      <c r="V30" s="679">
        <f t="shared" si="4"/>
        <v>0</v>
      </c>
      <c r="W30" s="679">
        <f t="shared" si="5"/>
        <v>0</v>
      </c>
      <c r="X30" s="679">
        <f t="shared" si="6"/>
        <v>0</v>
      </c>
      <c r="Y30" s="679">
        <f t="shared" si="7"/>
        <v>0</v>
      </c>
      <c r="Z30" s="679">
        <f t="shared" si="8"/>
        <v>0</v>
      </c>
      <c r="AA30" s="679">
        <f t="shared" si="9"/>
        <v>0</v>
      </c>
      <c r="AB30" s="679">
        <f t="shared" si="10"/>
        <v>0</v>
      </c>
      <c r="AC30" s="679">
        <f t="shared" si="11"/>
        <v>0</v>
      </c>
      <c r="AD30" s="679">
        <f t="shared" si="12"/>
        <v>0</v>
      </c>
      <c r="AE30" s="610"/>
    </row>
    <row r="31" spans="1:31" ht="24.95" customHeight="1" x14ac:dyDescent="0.2">
      <c r="A31" s="667">
        <v>24</v>
      </c>
      <c r="B31" s="680" t="s">
        <v>459</v>
      </c>
      <c r="C31" s="681" t="s">
        <v>460</v>
      </c>
      <c r="D31" s="682"/>
      <c r="E31" s="683"/>
      <c r="F31" s="682"/>
      <c r="G31" s="683"/>
      <c r="H31" s="682"/>
      <c r="I31" s="683"/>
      <c r="J31" s="682"/>
      <c r="K31" s="683"/>
      <c r="L31" s="682"/>
      <c r="M31" s="684"/>
      <c r="N31" s="673">
        <f t="shared" si="0"/>
        <v>0</v>
      </c>
      <c r="O31" s="674">
        <f t="shared" si="1"/>
        <v>0</v>
      </c>
      <c r="P31" s="686" t="e">
        <f>(O31/O112)*100</f>
        <v>#DIV/0!</v>
      </c>
      <c r="Q31" s="676"/>
      <c r="R31" s="677" t="e">
        <f t="shared" si="2"/>
        <v>#DIV/0!</v>
      </c>
      <c r="S31" s="688">
        <v>37800</v>
      </c>
      <c r="U31" s="679">
        <f t="shared" si="3"/>
        <v>0</v>
      </c>
      <c r="V31" s="679">
        <f t="shared" si="4"/>
        <v>0</v>
      </c>
      <c r="W31" s="679">
        <f t="shared" si="5"/>
        <v>0</v>
      </c>
      <c r="X31" s="679">
        <f t="shared" si="6"/>
        <v>0</v>
      </c>
      <c r="Y31" s="679">
        <f t="shared" si="7"/>
        <v>0</v>
      </c>
      <c r="Z31" s="679">
        <f t="shared" si="8"/>
        <v>0</v>
      </c>
      <c r="AA31" s="679">
        <f t="shared" si="9"/>
        <v>0</v>
      </c>
      <c r="AB31" s="679">
        <f t="shared" si="10"/>
        <v>0</v>
      </c>
      <c r="AC31" s="679">
        <f t="shared" si="11"/>
        <v>0</v>
      </c>
      <c r="AD31" s="679">
        <f t="shared" si="12"/>
        <v>0</v>
      </c>
      <c r="AE31" s="610"/>
    </row>
    <row r="32" spans="1:31" ht="24.95" customHeight="1" x14ac:dyDescent="0.2">
      <c r="A32" s="667">
        <v>25</v>
      </c>
      <c r="B32" s="680" t="s">
        <v>461</v>
      </c>
      <c r="C32" s="681" t="s">
        <v>462</v>
      </c>
      <c r="D32" s="682"/>
      <c r="E32" s="683"/>
      <c r="F32" s="682"/>
      <c r="G32" s="683"/>
      <c r="H32" s="682"/>
      <c r="I32" s="683"/>
      <c r="J32" s="682"/>
      <c r="K32" s="683"/>
      <c r="L32" s="682"/>
      <c r="M32" s="684"/>
      <c r="N32" s="673">
        <f t="shared" si="0"/>
        <v>0</v>
      </c>
      <c r="O32" s="674">
        <f t="shared" si="1"/>
        <v>0</v>
      </c>
      <c r="P32" s="686" t="e">
        <f>(O32/O112)*100</f>
        <v>#DIV/0!</v>
      </c>
      <c r="Q32" s="676"/>
      <c r="R32" s="677" t="e">
        <f t="shared" si="2"/>
        <v>#DIV/0!</v>
      </c>
      <c r="S32" s="688">
        <v>27000</v>
      </c>
      <c r="U32" s="679">
        <f t="shared" si="3"/>
        <v>0</v>
      </c>
      <c r="V32" s="679">
        <f t="shared" si="4"/>
        <v>0</v>
      </c>
      <c r="W32" s="679">
        <f t="shared" si="5"/>
        <v>0</v>
      </c>
      <c r="X32" s="679">
        <f t="shared" si="6"/>
        <v>0</v>
      </c>
      <c r="Y32" s="679">
        <f t="shared" si="7"/>
        <v>0</v>
      </c>
      <c r="Z32" s="679">
        <f t="shared" si="8"/>
        <v>0</v>
      </c>
      <c r="AA32" s="679">
        <f t="shared" si="9"/>
        <v>0</v>
      </c>
      <c r="AB32" s="679">
        <f t="shared" si="10"/>
        <v>0</v>
      </c>
      <c r="AC32" s="679">
        <f t="shared" si="11"/>
        <v>0</v>
      </c>
      <c r="AD32" s="679">
        <f t="shared" si="12"/>
        <v>0</v>
      </c>
      <c r="AE32" s="610"/>
    </row>
    <row r="33" spans="1:31" ht="24.95" customHeight="1" x14ac:dyDescent="0.2">
      <c r="A33" s="667">
        <v>26</v>
      </c>
      <c r="B33" s="680"/>
      <c r="C33" s="681" t="s">
        <v>867</v>
      </c>
      <c r="D33" s="682"/>
      <c r="E33" s="683"/>
      <c r="F33" s="682"/>
      <c r="G33" s="683"/>
      <c r="H33" s="682"/>
      <c r="I33" s="683"/>
      <c r="J33" s="682"/>
      <c r="K33" s="683"/>
      <c r="L33" s="682"/>
      <c r="M33" s="684"/>
      <c r="N33" s="673">
        <f t="shared" si="0"/>
        <v>0</v>
      </c>
      <c r="O33" s="674">
        <f t="shared" si="1"/>
        <v>0</v>
      </c>
      <c r="P33" s="686" t="e">
        <f>(O33/O112)*100</f>
        <v>#DIV/0!</v>
      </c>
      <c r="Q33" s="676"/>
      <c r="R33" s="677" t="e">
        <f t="shared" si="2"/>
        <v>#DIV/0!</v>
      </c>
      <c r="S33" s="688">
        <v>32400</v>
      </c>
      <c r="U33" s="679">
        <f t="shared" si="3"/>
        <v>0</v>
      </c>
      <c r="V33" s="679">
        <f t="shared" si="4"/>
        <v>0</v>
      </c>
      <c r="W33" s="679">
        <f t="shared" si="5"/>
        <v>0</v>
      </c>
      <c r="X33" s="679">
        <f t="shared" si="6"/>
        <v>0</v>
      </c>
      <c r="Y33" s="679">
        <f t="shared" si="7"/>
        <v>0</v>
      </c>
      <c r="Z33" s="679">
        <f t="shared" si="8"/>
        <v>0</v>
      </c>
      <c r="AA33" s="679">
        <f t="shared" si="9"/>
        <v>0</v>
      </c>
      <c r="AB33" s="679">
        <f t="shared" si="10"/>
        <v>0</v>
      </c>
      <c r="AC33" s="679">
        <f t="shared" si="11"/>
        <v>0</v>
      </c>
      <c r="AD33" s="679">
        <f t="shared" si="12"/>
        <v>0</v>
      </c>
      <c r="AE33" s="610"/>
    </row>
    <row r="34" spans="1:31" ht="24.95" customHeight="1" x14ac:dyDescent="0.2">
      <c r="A34" s="667">
        <v>27</v>
      </c>
      <c r="B34" s="680" t="s">
        <v>463</v>
      </c>
      <c r="C34" s="681" t="s">
        <v>857</v>
      </c>
      <c r="D34" s="682"/>
      <c r="E34" s="683"/>
      <c r="F34" s="682"/>
      <c r="G34" s="683"/>
      <c r="H34" s="682"/>
      <c r="I34" s="683"/>
      <c r="J34" s="682"/>
      <c r="K34" s="683"/>
      <c r="L34" s="682"/>
      <c r="M34" s="684"/>
      <c r="N34" s="673">
        <f t="shared" si="0"/>
        <v>0</v>
      </c>
      <c r="O34" s="674">
        <f t="shared" si="1"/>
        <v>0</v>
      </c>
      <c r="P34" s="686" t="e">
        <f>(O34/O112)*100</f>
        <v>#DIV/0!</v>
      </c>
      <c r="Q34" s="676"/>
      <c r="R34" s="677" t="e">
        <f t="shared" si="2"/>
        <v>#DIV/0!</v>
      </c>
      <c r="S34" s="688"/>
      <c r="U34" s="679">
        <f t="shared" si="3"/>
        <v>0</v>
      </c>
      <c r="V34" s="679">
        <f t="shared" si="4"/>
        <v>0</v>
      </c>
      <c r="W34" s="679">
        <f t="shared" si="5"/>
        <v>0</v>
      </c>
      <c r="X34" s="679">
        <f t="shared" si="6"/>
        <v>0</v>
      </c>
      <c r="Y34" s="679">
        <f t="shared" si="7"/>
        <v>0</v>
      </c>
      <c r="Z34" s="679">
        <f t="shared" si="8"/>
        <v>0</v>
      </c>
      <c r="AA34" s="679">
        <f t="shared" si="9"/>
        <v>0</v>
      </c>
      <c r="AB34" s="679">
        <f t="shared" si="10"/>
        <v>0</v>
      </c>
      <c r="AC34" s="679">
        <f t="shared" si="11"/>
        <v>0</v>
      </c>
      <c r="AD34" s="679">
        <f t="shared" si="12"/>
        <v>0</v>
      </c>
      <c r="AE34" s="610"/>
    </row>
    <row r="35" spans="1:31" ht="24.95" customHeight="1" x14ac:dyDescent="0.2">
      <c r="A35" s="667">
        <v>28</v>
      </c>
      <c r="B35" s="680"/>
      <c r="C35" s="681"/>
      <c r="D35" s="682"/>
      <c r="E35" s="683"/>
      <c r="F35" s="682"/>
      <c r="G35" s="683"/>
      <c r="H35" s="682"/>
      <c r="I35" s="683"/>
      <c r="J35" s="682"/>
      <c r="K35" s="683"/>
      <c r="L35" s="682"/>
      <c r="M35" s="684"/>
      <c r="N35" s="673"/>
      <c r="O35" s="674">
        <f t="shared" si="1"/>
        <v>0</v>
      </c>
      <c r="P35" s="686" t="e">
        <f>(O35/O112)*100</f>
        <v>#DIV/0!</v>
      </c>
      <c r="Q35" s="676"/>
      <c r="R35" s="677" t="e">
        <f t="shared" si="2"/>
        <v>#DIV/0!</v>
      </c>
      <c r="S35" s="688"/>
      <c r="U35" s="679">
        <f t="shared" si="3"/>
        <v>0</v>
      </c>
      <c r="V35" s="679">
        <f t="shared" si="4"/>
        <v>0</v>
      </c>
      <c r="W35" s="679">
        <f t="shared" si="5"/>
        <v>0</v>
      </c>
      <c r="X35" s="679">
        <f t="shared" si="6"/>
        <v>0</v>
      </c>
      <c r="Y35" s="679">
        <f t="shared" si="7"/>
        <v>0</v>
      </c>
      <c r="Z35" s="679">
        <f t="shared" si="8"/>
        <v>0</v>
      </c>
      <c r="AA35" s="679">
        <f t="shared" si="9"/>
        <v>0</v>
      </c>
      <c r="AB35" s="679">
        <f t="shared" si="10"/>
        <v>0</v>
      </c>
      <c r="AC35" s="679">
        <f t="shared" si="11"/>
        <v>0</v>
      </c>
      <c r="AD35" s="679">
        <f t="shared" si="12"/>
        <v>0</v>
      </c>
      <c r="AE35" s="610"/>
    </row>
    <row r="36" spans="1:31" ht="24.95" customHeight="1" x14ac:dyDescent="0.2">
      <c r="A36" s="667">
        <v>29</v>
      </c>
      <c r="B36" s="680" t="s">
        <v>464</v>
      </c>
      <c r="C36" s="681" t="s">
        <v>465</v>
      </c>
      <c r="D36" s="682"/>
      <c r="E36" s="683"/>
      <c r="F36" s="682"/>
      <c r="G36" s="683"/>
      <c r="H36" s="682"/>
      <c r="I36" s="683"/>
      <c r="J36" s="682"/>
      <c r="K36" s="683"/>
      <c r="L36" s="682"/>
      <c r="M36" s="684"/>
      <c r="N36" s="673">
        <f t="shared" si="0"/>
        <v>0</v>
      </c>
      <c r="O36" s="674">
        <f t="shared" si="1"/>
        <v>0</v>
      </c>
      <c r="P36" s="686" t="e">
        <f>(O36/O112)*100</f>
        <v>#DIV/0!</v>
      </c>
      <c r="Q36" s="676"/>
      <c r="R36" s="677" t="e">
        <f t="shared" si="2"/>
        <v>#DIV/0!</v>
      </c>
      <c r="S36" s="688">
        <v>28350</v>
      </c>
      <c r="U36" s="679">
        <f t="shared" si="3"/>
        <v>0</v>
      </c>
      <c r="V36" s="679">
        <f t="shared" si="4"/>
        <v>0</v>
      </c>
      <c r="W36" s="679">
        <f t="shared" si="5"/>
        <v>0</v>
      </c>
      <c r="X36" s="679">
        <f t="shared" si="6"/>
        <v>0</v>
      </c>
      <c r="Y36" s="679">
        <f t="shared" si="7"/>
        <v>0</v>
      </c>
      <c r="Z36" s="679">
        <f t="shared" si="8"/>
        <v>0</v>
      </c>
      <c r="AA36" s="679">
        <f t="shared" si="9"/>
        <v>0</v>
      </c>
      <c r="AB36" s="679">
        <f t="shared" si="10"/>
        <v>0</v>
      </c>
      <c r="AC36" s="679">
        <f t="shared" si="11"/>
        <v>0</v>
      </c>
      <c r="AD36" s="679">
        <f t="shared" si="12"/>
        <v>0</v>
      </c>
      <c r="AE36" s="610"/>
    </row>
    <row r="37" spans="1:31" ht="24.95" customHeight="1" x14ac:dyDescent="0.2">
      <c r="A37" s="667">
        <v>30</v>
      </c>
      <c r="B37" s="680" t="s">
        <v>466</v>
      </c>
      <c r="C37" s="681" t="s">
        <v>467</v>
      </c>
      <c r="D37" s="682"/>
      <c r="E37" s="683"/>
      <c r="F37" s="682"/>
      <c r="G37" s="683"/>
      <c r="H37" s="682"/>
      <c r="I37" s="683"/>
      <c r="J37" s="682"/>
      <c r="K37" s="683"/>
      <c r="L37" s="682"/>
      <c r="M37" s="684"/>
      <c r="N37" s="673">
        <f t="shared" si="0"/>
        <v>0</v>
      </c>
      <c r="O37" s="674">
        <f t="shared" si="1"/>
        <v>0</v>
      </c>
      <c r="P37" s="686" t="e">
        <f>(O37/O112)*100</f>
        <v>#DIV/0!</v>
      </c>
      <c r="Q37" s="676"/>
      <c r="R37" s="677" t="e">
        <f t="shared" si="2"/>
        <v>#DIV/0!</v>
      </c>
      <c r="S37" s="688">
        <v>31050</v>
      </c>
      <c r="U37" s="679">
        <f t="shared" si="3"/>
        <v>0</v>
      </c>
      <c r="V37" s="679">
        <f t="shared" si="4"/>
        <v>0</v>
      </c>
      <c r="W37" s="679">
        <f t="shared" si="5"/>
        <v>0</v>
      </c>
      <c r="X37" s="679">
        <f t="shared" si="6"/>
        <v>0</v>
      </c>
      <c r="Y37" s="679">
        <f t="shared" si="7"/>
        <v>0</v>
      </c>
      <c r="Z37" s="679">
        <f t="shared" si="8"/>
        <v>0</v>
      </c>
      <c r="AA37" s="679">
        <f t="shared" si="9"/>
        <v>0</v>
      </c>
      <c r="AB37" s="679">
        <f t="shared" si="10"/>
        <v>0</v>
      </c>
      <c r="AC37" s="679">
        <f t="shared" si="11"/>
        <v>0</v>
      </c>
      <c r="AD37" s="679">
        <f t="shared" si="12"/>
        <v>0</v>
      </c>
      <c r="AE37" s="610"/>
    </row>
    <row r="38" spans="1:31" ht="24.95" customHeight="1" x14ac:dyDescent="0.2">
      <c r="A38" s="667">
        <v>31</v>
      </c>
      <c r="B38" s="680"/>
      <c r="C38" s="680" t="s">
        <v>868</v>
      </c>
      <c r="D38" s="682"/>
      <c r="E38" s="683"/>
      <c r="F38" s="682"/>
      <c r="G38" s="683"/>
      <c r="H38" s="682"/>
      <c r="I38" s="683"/>
      <c r="J38" s="682"/>
      <c r="K38" s="683"/>
      <c r="L38" s="682"/>
      <c r="M38" s="684"/>
      <c r="N38" s="673">
        <f t="shared" si="0"/>
        <v>0</v>
      </c>
      <c r="O38" s="674">
        <f t="shared" si="1"/>
        <v>0</v>
      </c>
      <c r="P38" s="686" t="e">
        <f>(O38/O112)*100</f>
        <v>#DIV/0!</v>
      </c>
      <c r="Q38" s="676"/>
      <c r="R38" s="677" t="e">
        <f t="shared" si="2"/>
        <v>#DIV/0!</v>
      </c>
      <c r="S38" s="689">
        <v>33750</v>
      </c>
      <c r="U38" s="679">
        <f t="shared" si="3"/>
        <v>0</v>
      </c>
      <c r="V38" s="679">
        <f t="shared" si="4"/>
        <v>0</v>
      </c>
      <c r="W38" s="679">
        <f t="shared" si="5"/>
        <v>0</v>
      </c>
      <c r="X38" s="679">
        <f t="shared" si="6"/>
        <v>0</v>
      </c>
      <c r="Y38" s="679">
        <f t="shared" si="7"/>
        <v>0</v>
      </c>
      <c r="Z38" s="679">
        <f t="shared" si="8"/>
        <v>0</v>
      </c>
      <c r="AA38" s="679">
        <f t="shared" si="9"/>
        <v>0</v>
      </c>
      <c r="AB38" s="679">
        <f t="shared" si="10"/>
        <v>0</v>
      </c>
      <c r="AC38" s="679">
        <f t="shared" si="11"/>
        <v>0</v>
      </c>
      <c r="AD38" s="679">
        <f t="shared" si="12"/>
        <v>0</v>
      </c>
      <c r="AE38" s="610"/>
    </row>
    <row r="39" spans="1:31" ht="24.95" customHeight="1" x14ac:dyDescent="0.2">
      <c r="A39" s="667">
        <v>32</v>
      </c>
      <c r="B39" s="680"/>
      <c r="C39" s="680" t="s">
        <v>869</v>
      </c>
      <c r="D39" s="682"/>
      <c r="E39" s="683"/>
      <c r="F39" s="682"/>
      <c r="G39" s="683"/>
      <c r="H39" s="682"/>
      <c r="I39" s="683"/>
      <c r="J39" s="682"/>
      <c r="K39" s="683"/>
      <c r="L39" s="682"/>
      <c r="M39" s="684"/>
      <c r="N39" s="673">
        <f t="shared" si="0"/>
        <v>0</v>
      </c>
      <c r="O39" s="674">
        <f t="shared" si="1"/>
        <v>0</v>
      </c>
      <c r="P39" s="686" t="e">
        <f>(O39/O112)*100</f>
        <v>#DIV/0!</v>
      </c>
      <c r="Q39" s="676"/>
      <c r="R39" s="677" t="e">
        <f t="shared" si="2"/>
        <v>#DIV/0!</v>
      </c>
      <c r="S39" s="689">
        <v>33750</v>
      </c>
      <c r="U39" s="679">
        <f t="shared" si="3"/>
        <v>0</v>
      </c>
      <c r="V39" s="679">
        <f t="shared" si="4"/>
        <v>0</v>
      </c>
      <c r="W39" s="679">
        <f t="shared" si="5"/>
        <v>0</v>
      </c>
      <c r="X39" s="679">
        <f t="shared" si="6"/>
        <v>0</v>
      </c>
      <c r="Y39" s="679">
        <f t="shared" si="7"/>
        <v>0</v>
      </c>
      <c r="Z39" s="679">
        <f t="shared" si="8"/>
        <v>0</v>
      </c>
      <c r="AA39" s="679">
        <f t="shared" si="9"/>
        <v>0</v>
      </c>
      <c r="AB39" s="679">
        <f t="shared" si="10"/>
        <v>0</v>
      </c>
      <c r="AC39" s="679">
        <f t="shared" si="11"/>
        <v>0</v>
      </c>
      <c r="AD39" s="679">
        <f t="shared" si="12"/>
        <v>0</v>
      </c>
      <c r="AE39" s="610"/>
    </row>
    <row r="40" spans="1:31" ht="24.95" customHeight="1" x14ac:dyDescent="0.2">
      <c r="A40" s="667">
        <v>33</v>
      </c>
      <c r="B40" s="691" t="s">
        <v>468</v>
      </c>
      <c r="C40" s="681"/>
      <c r="D40" s="682"/>
      <c r="E40" s="683"/>
      <c r="F40" s="682"/>
      <c r="G40" s="683"/>
      <c r="H40" s="682"/>
      <c r="I40" s="683"/>
      <c r="J40" s="682"/>
      <c r="K40" s="683"/>
      <c r="L40" s="682"/>
      <c r="M40" s="684"/>
      <c r="N40" s="673"/>
      <c r="O40" s="674">
        <f t="shared" si="1"/>
        <v>0</v>
      </c>
      <c r="P40" s="686" t="e">
        <f>(O40/O112)*100</f>
        <v>#DIV/0!</v>
      </c>
      <c r="Q40" s="676"/>
      <c r="R40" s="677" t="e">
        <f t="shared" si="2"/>
        <v>#DIV/0!</v>
      </c>
      <c r="S40" s="688"/>
      <c r="U40" s="679">
        <f t="shared" si="3"/>
        <v>0</v>
      </c>
      <c r="V40" s="679">
        <f t="shared" si="4"/>
        <v>0</v>
      </c>
      <c r="W40" s="679">
        <f t="shared" si="5"/>
        <v>0</v>
      </c>
      <c r="X40" s="679">
        <f t="shared" si="6"/>
        <v>0</v>
      </c>
      <c r="Y40" s="679">
        <f t="shared" si="7"/>
        <v>0</v>
      </c>
      <c r="Z40" s="679">
        <f t="shared" si="8"/>
        <v>0</v>
      </c>
      <c r="AA40" s="679">
        <f t="shared" si="9"/>
        <v>0</v>
      </c>
      <c r="AB40" s="679">
        <f t="shared" si="10"/>
        <v>0</v>
      </c>
      <c r="AC40" s="679">
        <f t="shared" si="11"/>
        <v>0</v>
      </c>
      <c r="AD40" s="679">
        <f t="shared" si="12"/>
        <v>0</v>
      </c>
      <c r="AE40" s="610"/>
    </row>
    <row r="41" spans="1:31" ht="24.95" customHeight="1" x14ac:dyDescent="0.2">
      <c r="A41" s="667">
        <v>34</v>
      </c>
      <c r="B41" s="692" t="s">
        <v>469</v>
      </c>
      <c r="C41" s="681" t="s">
        <v>470</v>
      </c>
      <c r="D41" s="682"/>
      <c r="E41" s="683"/>
      <c r="F41" s="682"/>
      <c r="G41" s="683"/>
      <c r="H41" s="682"/>
      <c r="I41" s="683"/>
      <c r="J41" s="682"/>
      <c r="K41" s="683"/>
      <c r="L41" s="682"/>
      <c r="M41" s="684"/>
      <c r="N41" s="673">
        <f t="shared" si="0"/>
        <v>0</v>
      </c>
      <c r="O41" s="674">
        <f t="shared" si="1"/>
        <v>0</v>
      </c>
      <c r="P41" s="686" t="e">
        <f>(O41/O112)*100</f>
        <v>#DIV/0!</v>
      </c>
      <c r="Q41" s="676"/>
      <c r="R41" s="677" t="e">
        <f t="shared" si="2"/>
        <v>#DIV/0!</v>
      </c>
      <c r="S41" s="688">
        <v>32400</v>
      </c>
      <c r="U41" s="679">
        <f t="shared" si="3"/>
        <v>0</v>
      </c>
      <c r="V41" s="679">
        <f t="shared" si="4"/>
        <v>0</v>
      </c>
      <c r="W41" s="679">
        <f t="shared" si="5"/>
        <v>0</v>
      </c>
      <c r="X41" s="679">
        <f t="shared" si="6"/>
        <v>0</v>
      </c>
      <c r="Y41" s="679">
        <f t="shared" si="7"/>
        <v>0</v>
      </c>
      <c r="Z41" s="679">
        <f t="shared" si="8"/>
        <v>0</v>
      </c>
      <c r="AA41" s="679">
        <f t="shared" si="9"/>
        <v>0</v>
      </c>
      <c r="AB41" s="679">
        <f t="shared" si="10"/>
        <v>0</v>
      </c>
      <c r="AC41" s="679">
        <f t="shared" si="11"/>
        <v>0</v>
      </c>
      <c r="AD41" s="679">
        <f t="shared" si="12"/>
        <v>0</v>
      </c>
      <c r="AE41" s="610"/>
    </row>
    <row r="42" spans="1:31" ht="24.95" customHeight="1" x14ac:dyDescent="0.2">
      <c r="A42" s="667">
        <v>35</v>
      </c>
      <c r="B42" s="692" t="s">
        <v>471</v>
      </c>
      <c r="C42" s="681" t="s">
        <v>472</v>
      </c>
      <c r="D42" s="682"/>
      <c r="E42" s="683"/>
      <c r="F42" s="682"/>
      <c r="G42" s="683"/>
      <c r="H42" s="682"/>
      <c r="I42" s="683"/>
      <c r="J42" s="682"/>
      <c r="K42" s="683"/>
      <c r="L42" s="682"/>
      <c r="M42" s="684"/>
      <c r="N42" s="673">
        <f t="shared" si="0"/>
        <v>0</v>
      </c>
      <c r="O42" s="674">
        <f t="shared" si="1"/>
        <v>0</v>
      </c>
      <c r="P42" s="686" t="e">
        <f>(O42/O112)*100</f>
        <v>#DIV/0!</v>
      </c>
      <c r="Q42" s="676"/>
      <c r="R42" s="677" t="e">
        <f t="shared" si="2"/>
        <v>#DIV/0!</v>
      </c>
      <c r="S42" s="688">
        <v>33750</v>
      </c>
      <c r="U42" s="679">
        <f t="shared" si="3"/>
        <v>0</v>
      </c>
      <c r="V42" s="679">
        <f t="shared" si="4"/>
        <v>0</v>
      </c>
      <c r="W42" s="679">
        <f t="shared" si="5"/>
        <v>0</v>
      </c>
      <c r="X42" s="679">
        <f t="shared" si="6"/>
        <v>0</v>
      </c>
      <c r="Y42" s="679">
        <f t="shared" si="7"/>
        <v>0</v>
      </c>
      <c r="Z42" s="679">
        <f t="shared" si="8"/>
        <v>0</v>
      </c>
      <c r="AA42" s="679">
        <f t="shared" si="9"/>
        <v>0</v>
      </c>
      <c r="AB42" s="679">
        <f t="shared" si="10"/>
        <v>0</v>
      </c>
      <c r="AC42" s="679">
        <f t="shared" si="11"/>
        <v>0</v>
      </c>
      <c r="AD42" s="679">
        <f t="shared" si="12"/>
        <v>0</v>
      </c>
      <c r="AE42" s="610"/>
    </row>
    <row r="43" spans="1:31" ht="24.95" customHeight="1" x14ac:dyDescent="0.2">
      <c r="A43" s="667">
        <v>36</v>
      </c>
      <c r="B43" s="692" t="s">
        <v>473</v>
      </c>
      <c r="C43" s="681" t="s">
        <v>474</v>
      </c>
      <c r="D43" s="682"/>
      <c r="E43" s="683"/>
      <c r="F43" s="682"/>
      <c r="G43" s="683"/>
      <c r="H43" s="682"/>
      <c r="I43" s="683"/>
      <c r="J43" s="682"/>
      <c r="K43" s="683"/>
      <c r="L43" s="682"/>
      <c r="M43" s="684"/>
      <c r="N43" s="673">
        <f t="shared" si="0"/>
        <v>0</v>
      </c>
      <c r="O43" s="674">
        <f t="shared" si="1"/>
        <v>0</v>
      </c>
      <c r="P43" s="686" t="e">
        <f>(O43/O112)*100</f>
        <v>#DIV/0!</v>
      </c>
      <c r="Q43" s="676"/>
      <c r="R43" s="677" t="e">
        <f t="shared" si="2"/>
        <v>#DIV/0!</v>
      </c>
      <c r="S43" s="688">
        <v>32400</v>
      </c>
      <c r="U43" s="679">
        <f t="shared" si="3"/>
        <v>0</v>
      </c>
      <c r="V43" s="679">
        <f t="shared" si="4"/>
        <v>0</v>
      </c>
      <c r="W43" s="679">
        <f t="shared" si="5"/>
        <v>0</v>
      </c>
      <c r="X43" s="679">
        <f t="shared" si="6"/>
        <v>0</v>
      </c>
      <c r="Y43" s="679">
        <f t="shared" si="7"/>
        <v>0</v>
      </c>
      <c r="Z43" s="679">
        <f t="shared" si="8"/>
        <v>0</v>
      </c>
      <c r="AA43" s="679">
        <f t="shared" si="9"/>
        <v>0</v>
      </c>
      <c r="AB43" s="679">
        <f t="shared" si="10"/>
        <v>0</v>
      </c>
      <c r="AC43" s="679">
        <f t="shared" si="11"/>
        <v>0</v>
      </c>
      <c r="AD43" s="679">
        <f t="shared" si="12"/>
        <v>0</v>
      </c>
      <c r="AE43" s="610"/>
    </row>
    <row r="44" spans="1:31" ht="24.95" customHeight="1" x14ac:dyDescent="0.2">
      <c r="A44" s="667">
        <v>37</v>
      </c>
      <c r="B44" s="692" t="s">
        <v>475</v>
      </c>
      <c r="C44" s="681" t="s">
        <v>476</v>
      </c>
      <c r="D44" s="682"/>
      <c r="E44" s="683"/>
      <c r="F44" s="682"/>
      <c r="G44" s="683"/>
      <c r="H44" s="682"/>
      <c r="I44" s="683"/>
      <c r="J44" s="682"/>
      <c r="K44" s="683"/>
      <c r="L44" s="682"/>
      <c r="M44" s="684"/>
      <c r="N44" s="673">
        <f t="shared" si="0"/>
        <v>0</v>
      </c>
      <c r="O44" s="674">
        <f t="shared" si="1"/>
        <v>0</v>
      </c>
      <c r="P44" s="686" t="e">
        <f>(O44/O112)*100</f>
        <v>#DIV/0!</v>
      </c>
      <c r="Q44" s="676"/>
      <c r="R44" s="677" t="e">
        <f t="shared" si="2"/>
        <v>#DIV/0!</v>
      </c>
      <c r="S44" s="688">
        <v>29700.000000000004</v>
      </c>
      <c r="U44" s="679">
        <f t="shared" si="3"/>
        <v>0</v>
      </c>
      <c r="V44" s="679">
        <f t="shared" si="4"/>
        <v>0</v>
      </c>
      <c r="W44" s="679">
        <f t="shared" si="5"/>
        <v>0</v>
      </c>
      <c r="X44" s="679">
        <f t="shared" si="6"/>
        <v>0</v>
      </c>
      <c r="Y44" s="679">
        <f t="shared" si="7"/>
        <v>0</v>
      </c>
      <c r="Z44" s="679">
        <f t="shared" si="8"/>
        <v>0</v>
      </c>
      <c r="AA44" s="679">
        <f t="shared" si="9"/>
        <v>0</v>
      </c>
      <c r="AB44" s="679">
        <f t="shared" si="10"/>
        <v>0</v>
      </c>
      <c r="AC44" s="679">
        <f t="shared" si="11"/>
        <v>0</v>
      </c>
      <c r="AD44" s="679">
        <f t="shared" si="12"/>
        <v>0</v>
      </c>
      <c r="AE44" s="610"/>
    </row>
    <row r="45" spans="1:31" ht="24.95" customHeight="1" x14ac:dyDescent="0.2">
      <c r="A45" s="667">
        <v>38</v>
      </c>
      <c r="B45" s="692"/>
      <c r="C45" s="680"/>
      <c r="D45" s="682"/>
      <c r="E45" s="683"/>
      <c r="F45" s="682"/>
      <c r="G45" s="683"/>
      <c r="H45" s="682"/>
      <c r="I45" s="683"/>
      <c r="J45" s="682"/>
      <c r="K45" s="683"/>
      <c r="L45" s="682"/>
      <c r="M45" s="684"/>
      <c r="N45" s="673"/>
      <c r="O45" s="674">
        <f t="shared" si="1"/>
        <v>0</v>
      </c>
      <c r="P45" s="686" t="e">
        <f>(O45/O112)*100</f>
        <v>#DIV/0!</v>
      </c>
      <c r="Q45" s="676"/>
      <c r="R45" s="677" t="e">
        <f t="shared" si="2"/>
        <v>#DIV/0!</v>
      </c>
      <c r="S45" s="689"/>
      <c r="U45" s="679">
        <f t="shared" si="3"/>
        <v>0</v>
      </c>
      <c r="V45" s="679">
        <f t="shared" si="4"/>
        <v>0</v>
      </c>
      <c r="W45" s="679">
        <f t="shared" si="5"/>
        <v>0</v>
      </c>
      <c r="X45" s="679">
        <f t="shared" si="6"/>
        <v>0</v>
      </c>
      <c r="Y45" s="679">
        <f t="shared" si="7"/>
        <v>0</v>
      </c>
      <c r="Z45" s="679">
        <f t="shared" si="8"/>
        <v>0</v>
      </c>
      <c r="AA45" s="679">
        <f t="shared" si="9"/>
        <v>0</v>
      </c>
      <c r="AB45" s="679">
        <f t="shared" si="10"/>
        <v>0</v>
      </c>
      <c r="AC45" s="679">
        <f t="shared" si="11"/>
        <v>0</v>
      </c>
      <c r="AD45" s="679">
        <f t="shared" si="12"/>
        <v>0</v>
      </c>
      <c r="AE45" s="610"/>
    </row>
    <row r="46" spans="1:31" ht="24.95" customHeight="1" x14ac:dyDescent="0.2">
      <c r="A46" s="667">
        <v>39</v>
      </c>
      <c r="B46" s="692" t="s">
        <v>477</v>
      </c>
      <c r="C46" s="681" t="s">
        <v>478</v>
      </c>
      <c r="D46" s="682"/>
      <c r="E46" s="683"/>
      <c r="F46" s="682"/>
      <c r="G46" s="683"/>
      <c r="H46" s="682"/>
      <c r="I46" s="683"/>
      <c r="J46" s="682"/>
      <c r="K46" s="683"/>
      <c r="L46" s="682"/>
      <c r="M46" s="684"/>
      <c r="N46" s="673">
        <f t="shared" si="0"/>
        <v>0</v>
      </c>
      <c r="O46" s="674">
        <f t="shared" si="1"/>
        <v>0</v>
      </c>
      <c r="P46" s="686" t="e">
        <f>(O46/O112)*100</f>
        <v>#DIV/0!</v>
      </c>
      <c r="Q46" s="676"/>
      <c r="R46" s="677" t="e">
        <f t="shared" si="2"/>
        <v>#DIV/0!</v>
      </c>
      <c r="S46" s="688">
        <v>18900</v>
      </c>
      <c r="U46" s="679">
        <f t="shared" si="3"/>
        <v>0</v>
      </c>
      <c r="V46" s="679">
        <f t="shared" si="4"/>
        <v>0</v>
      </c>
      <c r="W46" s="679">
        <f t="shared" si="5"/>
        <v>0</v>
      </c>
      <c r="X46" s="679">
        <f t="shared" si="6"/>
        <v>0</v>
      </c>
      <c r="Y46" s="679">
        <f t="shared" si="7"/>
        <v>0</v>
      </c>
      <c r="Z46" s="679">
        <f t="shared" si="8"/>
        <v>0</v>
      </c>
      <c r="AA46" s="679">
        <f t="shared" si="9"/>
        <v>0</v>
      </c>
      <c r="AB46" s="679">
        <f t="shared" si="10"/>
        <v>0</v>
      </c>
      <c r="AC46" s="679">
        <f t="shared" si="11"/>
        <v>0</v>
      </c>
      <c r="AD46" s="679">
        <f t="shared" si="12"/>
        <v>0</v>
      </c>
      <c r="AE46" s="610"/>
    </row>
    <row r="47" spans="1:31" ht="24.95" customHeight="1" x14ac:dyDescent="0.2">
      <c r="A47" s="667">
        <v>40</v>
      </c>
      <c r="B47" s="692" t="s">
        <v>479</v>
      </c>
      <c r="C47" s="681" t="s">
        <v>480</v>
      </c>
      <c r="D47" s="682"/>
      <c r="E47" s="683"/>
      <c r="F47" s="682"/>
      <c r="G47" s="683"/>
      <c r="H47" s="682"/>
      <c r="I47" s="683"/>
      <c r="J47" s="682"/>
      <c r="K47" s="683"/>
      <c r="L47" s="682"/>
      <c r="M47" s="684"/>
      <c r="N47" s="673">
        <f t="shared" si="0"/>
        <v>0</v>
      </c>
      <c r="O47" s="674">
        <f t="shared" si="1"/>
        <v>0</v>
      </c>
      <c r="P47" s="686" t="e">
        <f>(O47/O112)*100</f>
        <v>#DIV/0!</v>
      </c>
      <c r="Q47" s="676"/>
      <c r="R47" s="677" t="e">
        <f t="shared" si="2"/>
        <v>#DIV/0!</v>
      </c>
      <c r="S47" s="688">
        <v>20250</v>
      </c>
      <c r="U47" s="679">
        <f t="shared" si="3"/>
        <v>0</v>
      </c>
      <c r="V47" s="679">
        <f t="shared" si="4"/>
        <v>0</v>
      </c>
      <c r="W47" s="679">
        <f t="shared" si="5"/>
        <v>0</v>
      </c>
      <c r="X47" s="679">
        <f t="shared" si="6"/>
        <v>0</v>
      </c>
      <c r="Y47" s="679">
        <f t="shared" si="7"/>
        <v>0</v>
      </c>
      <c r="Z47" s="679">
        <f t="shared" si="8"/>
        <v>0</v>
      </c>
      <c r="AA47" s="679">
        <f t="shared" si="9"/>
        <v>0</v>
      </c>
      <c r="AB47" s="679">
        <f t="shared" si="10"/>
        <v>0</v>
      </c>
      <c r="AC47" s="679">
        <f t="shared" si="11"/>
        <v>0</v>
      </c>
      <c r="AD47" s="679">
        <f t="shared" si="12"/>
        <v>0</v>
      </c>
      <c r="AE47" s="610"/>
    </row>
    <row r="48" spans="1:31" ht="24.95" customHeight="1" x14ac:dyDescent="0.2">
      <c r="A48" s="667">
        <v>41</v>
      </c>
      <c r="B48" s="692" t="s">
        <v>481</v>
      </c>
      <c r="C48" s="681" t="s">
        <v>482</v>
      </c>
      <c r="D48" s="682"/>
      <c r="E48" s="683"/>
      <c r="F48" s="682"/>
      <c r="G48" s="683"/>
      <c r="H48" s="682"/>
      <c r="I48" s="683"/>
      <c r="J48" s="682"/>
      <c r="K48" s="683"/>
      <c r="L48" s="682"/>
      <c r="M48" s="684"/>
      <c r="N48" s="673">
        <f t="shared" si="0"/>
        <v>0</v>
      </c>
      <c r="O48" s="674">
        <f t="shared" si="1"/>
        <v>0</v>
      </c>
      <c r="P48" s="686" t="e">
        <f>(O48/O112)*100</f>
        <v>#DIV/0!</v>
      </c>
      <c r="Q48" s="676"/>
      <c r="R48" s="677" t="e">
        <f t="shared" si="2"/>
        <v>#DIV/0!</v>
      </c>
      <c r="S48" s="688">
        <v>22950</v>
      </c>
      <c r="U48" s="679">
        <f t="shared" si="3"/>
        <v>0</v>
      </c>
      <c r="V48" s="679">
        <f t="shared" si="4"/>
        <v>0</v>
      </c>
      <c r="W48" s="679">
        <f t="shared" si="5"/>
        <v>0</v>
      </c>
      <c r="X48" s="679">
        <f t="shared" si="6"/>
        <v>0</v>
      </c>
      <c r="Y48" s="679">
        <f t="shared" si="7"/>
        <v>0</v>
      </c>
      <c r="Z48" s="679">
        <f t="shared" si="8"/>
        <v>0</v>
      </c>
      <c r="AA48" s="679">
        <f t="shared" si="9"/>
        <v>0</v>
      </c>
      <c r="AB48" s="679">
        <f t="shared" si="10"/>
        <v>0</v>
      </c>
      <c r="AC48" s="679">
        <f t="shared" si="11"/>
        <v>0</v>
      </c>
      <c r="AD48" s="679">
        <f t="shared" si="12"/>
        <v>0</v>
      </c>
      <c r="AE48" s="610"/>
    </row>
    <row r="49" spans="1:31" ht="24.95" customHeight="1" x14ac:dyDescent="0.2">
      <c r="A49" s="667">
        <v>42</v>
      </c>
      <c r="B49" s="692" t="s">
        <v>478</v>
      </c>
      <c r="C49" s="681" t="s">
        <v>483</v>
      </c>
      <c r="D49" s="682"/>
      <c r="E49" s="683"/>
      <c r="F49" s="682"/>
      <c r="G49" s="683"/>
      <c r="H49" s="682"/>
      <c r="I49" s="683"/>
      <c r="J49" s="682"/>
      <c r="K49" s="683"/>
      <c r="L49" s="682"/>
      <c r="M49" s="684"/>
      <c r="N49" s="673">
        <f t="shared" si="0"/>
        <v>0</v>
      </c>
      <c r="O49" s="674">
        <f t="shared" si="1"/>
        <v>0</v>
      </c>
      <c r="P49" s="686" t="e">
        <f>(O49/O112)*100</f>
        <v>#DIV/0!</v>
      </c>
      <c r="Q49" s="676"/>
      <c r="R49" s="677" t="e">
        <f t="shared" si="2"/>
        <v>#DIV/0!</v>
      </c>
      <c r="S49" s="688">
        <v>5400</v>
      </c>
      <c r="U49" s="679">
        <f t="shared" si="3"/>
        <v>0</v>
      </c>
      <c r="V49" s="679">
        <f t="shared" si="4"/>
        <v>0</v>
      </c>
      <c r="W49" s="679">
        <f t="shared" si="5"/>
        <v>0</v>
      </c>
      <c r="X49" s="679">
        <f t="shared" si="6"/>
        <v>0</v>
      </c>
      <c r="Y49" s="679">
        <f t="shared" si="7"/>
        <v>0</v>
      </c>
      <c r="Z49" s="679">
        <f t="shared" si="8"/>
        <v>0</v>
      </c>
      <c r="AA49" s="679">
        <f t="shared" si="9"/>
        <v>0</v>
      </c>
      <c r="AB49" s="679">
        <f t="shared" si="10"/>
        <v>0</v>
      </c>
      <c r="AC49" s="679">
        <f t="shared" si="11"/>
        <v>0</v>
      </c>
      <c r="AD49" s="679">
        <f t="shared" si="12"/>
        <v>0</v>
      </c>
      <c r="AE49" s="610"/>
    </row>
    <row r="50" spans="1:31" ht="24.95" customHeight="1" x14ac:dyDescent="0.2">
      <c r="A50" s="667">
        <v>43</v>
      </c>
      <c r="B50" s="692"/>
      <c r="C50" s="681"/>
      <c r="D50" s="682"/>
      <c r="E50" s="683"/>
      <c r="F50" s="682"/>
      <c r="G50" s="683"/>
      <c r="H50" s="682"/>
      <c r="I50" s="683"/>
      <c r="J50" s="682"/>
      <c r="K50" s="683"/>
      <c r="L50" s="682"/>
      <c r="M50" s="684"/>
      <c r="N50" s="673"/>
      <c r="O50" s="674">
        <f t="shared" si="1"/>
        <v>0</v>
      </c>
      <c r="P50" s="686" t="e">
        <f>(O50/O112)*100</f>
        <v>#DIV/0!</v>
      </c>
      <c r="Q50" s="676"/>
      <c r="R50" s="677" t="e">
        <f t="shared" si="2"/>
        <v>#DIV/0!</v>
      </c>
      <c r="S50" s="688"/>
      <c r="U50" s="679">
        <f t="shared" si="3"/>
        <v>0</v>
      </c>
      <c r="V50" s="679">
        <f t="shared" si="4"/>
        <v>0</v>
      </c>
      <c r="W50" s="679">
        <f t="shared" si="5"/>
        <v>0</v>
      </c>
      <c r="X50" s="679">
        <f t="shared" si="6"/>
        <v>0</v>
      </c>
      <c r="Y50" s="679">
        <f t="shared" si="7"/>
        <v>0</v>
      </c>
      <c r="Z50" s="679">
        <f t="shared" si="8"/>
        <v>0</v>
      </c>
      <c r="AA50" s="679">
        <f t="shared" si="9"/>
        <v>0</v>
      </c>
      <c r="AB50" s="679">
        <f t="shared" si="10"/>
        <v>0</v>
      </c>
      <c r="AC50" s="679">
        <f t="shared" si="11"/>
        <v>0</v>
      </c>
      <c r="AD50" s="679">
        <f t="shared" si="12"/>
        <v>0</v>
      </c>
      <c r="AE50" s="610"/>
    </row>
    <row r="51" spans="1:31" ht="24.95" customHeight="1" x14ac:dyDescent="0.2">
      <c r="A51" s="667">
        <v>44</v>
      </c>
      <c r="B51" s="692" t="s">
        <v>480</v>
      </c>
      <c r="C51" s="681" t="s">
        <v>484</v>
      </c>
      <c r="D51" s="682"/>
      <c r="E51" s="683"/>
      <c r="F51" s="682"/>
      <c r="G51" s="683"/>
      <c r="H51" s="682"/>
      <c r="I51" s="683"/>
      <c r="J51" s="682"/>
      <c r="K51" s="683"/>
      <c r="L51" s="682"/>
      <c r="M51" s="684"/>
      <c r="N51" s="673">
        <f t="shared" si="0"/>
        <v>0</v>
      </c>
      <c r="O51" s="674">
        <f t="shared" si="1"/>
        <v>0</v>
      </c>
      <c r="P51" s="686" t="e">
        <f>(O51/O112)*100</f>
        <v>#DIV/0!</v>
      </c>
      <c r="Q51" s="676"/>
      <c r="R51" s="677" t="e">
        <f t="shared" si="2"/>
        <v>#DIV/0!</v>
      </c>
      <c r="S51" s="688">
        <v>31050</v>
      </c>
      <c r="U51" s="679">
        <f t="shared" si="3"/>
        <v>0</v>
      </c>
      <c r="V51" s="679">
        <f t="shared" si="4"/>
        <v>0</v>
      </c>
      <c r="W51" s="679">
        <f t="shared" si="5"/>
        <v>0</v>
      </c>
      <c r="X51" s="679">
        <f t="shared" si="6"/>
        <v>0</v>
      </c>
      <c r="Y51" s="679">
        <f t="shared" si="7"/>
        <v>0</v>
      </c>
      <c r="Z51" s="679">
        <f t="shared" si="8"/>
        <v>0</v>
      </c>
      <c r="AA51" s="679">
        <f t="shared" si="9"/>
        <v>0</v>
      </c>
      <c r="AB51" s="679">
        <f t="shared" si="10"/>
        <v>0</v>
      </c>
      <c r="AC51" s="679">
        <f t="shared" si="11"/>
        <v>0</v>
      </c>
      <c r="AD51" s="679">
        <f t="shared" si="12"/>
        <v>0</v>
      </c>
      <c r="AE51" s="610"/>
    </row>
    <row r="52" spans="1:31" ht="24.95" customHeight="1" x14ac:dyDescent="0.2">
      <c r="A52" s="667">
        <v>45</v>
      </c>
      <c r="B52" s="692" t="s">
        <v>485</v>
      </c>
      <c r="C52" s="681" t="s">
        <v>486</v>
      </c>
      <c r="D52" s="682"/>
      <c r="E52" s="683"/>
      <c r="F52" s="682"/>
      <c r="G52" s="683"/>
      <c r="H52" s="682"/>
      <c r="I52" s="683"/>
      <c r="J52" s="682"/>
      <c r="K52" s="683"/>
      <c r="L52" s="682"/>
      <c r="M52" s="684"/>
      <c r="N52" s="673">
        <f t="shared" si="0"/>
        <v>0</v>
      </c>
      <c r="O52" s="674">
        <f t="shared" si="1"/>
        <v>0</v>
      </c>
      <c r="P52" s="686" t="e">
        <f>(O52/O112)*100</f>
        <v>#DIV/0!</v>
      </c>
      <c r="Q52" s="676"/>
      <c r="R52" s="677" t="e">
        <f t="shared" si="2"/>
        <v>#DIV/0!</v>
      </c>
      <c r="S52" s="688">
        <v>32400</v>
      </c>
      <c r="U52" s="679">
        <f t="shared" si="3"/>
        <v>0</v>
      </c>
      <c r="V52" s="679">
        <f t="shared" si="4"/>
        <v>0</v>
      </c>
      <c r="W52" s="679">
        <f t="shared" si="5"/>
        <v>0</v>
      </c>
      <c r="X52" s="679">
        <f t="shared" si="6"/>
        <v>0</v>
      </c>
      <c r="Y52" s="679">
        <f t="shared" si="7"/>
        <v>0</v>
      </c>
      <c r="Z52" s="679">
        <f t="shared" si="8"/>
        <v>0</v>
      </c>
      <c r="AA52" s="679">
        <f t="shared" si="9"/>
        <v>0</v>
      </c>
      <c r="AB52" s="679">
        <f t="shared" si="10"/>
        <v>0</v>
      </c>
      <c r="AC52" s="679">
        <f t="shared" si="11"/>
        <v>0</v>
      </c>
      <c r="AD52" s="679">
        <f t="shared" si="12"/>
        <v>0</v>
      </c>
      <c r="AE52" s="610"/>
    </row>
    <row r="53" spans="1:31" ht="24.95" customHeight="1" x14ac:dyDescent="0.2">
      <c r="A53" s="667">
        <v>46</v>
      </c>
      <c r="B53" s="692" t="s">
        <v>487</v>
      </c>
      <c r="C53" s="681" t="s">
        <v>488</v>
      </c>
      <c r="D53" s="682"/>
      <c r="E53" s="683"/>
      <c r="F53" s="682"/>
      <c r="G53" s="683"/>
      <c r="H53" s="682"/>
      <c r="I53" s="683"/>
      <c r="J53" s="682"/>
      <c r="K53" s="683"/>
      <c r="L53" s="682"/>
      <c r="M53" s="684"/>
      <c r="N53" s="673">
        <f t="shared" si="0"/>
        <v>0</v>
      </c>
      <c r="O53" s="674">
        <f t="shared" si="1"/>
        <v>0</v>
      </c>
      <c r="P53" s="686" t="e">
        <f>(O53/O112)*100</f>
        <v>#DIV/0!</v>
      </c>
      <c r="Q53" s="676"/>
      <c r="R53" s="677" t="e">
        <f t="shared" si="2"/>
        <v>#DIV/0!</v>
      </c>
      <c r="S53" s="689">
        <v>24300</v>
      </c>
      <c r="U53" s="679">
        <f t="shared" si="3"/>
        <v>0</v>
      </c>
      <c r="V53" s="679">
        <f t="shared" si="4"/>
        <v>0</v>
      </c>
      <c r="W53" s="679">
        <f t="shared" si="5"/>
        <v>0</v>
      </c>
      <c r="X53" s="679">
        <f t="shared" si="6"/>
        <v>0</v>
      </c>
      <c r="Y53" s="679">
        <f t="shared" si="7"/>
        <v>0</v>
      </c>
      <c r="Z53" s="679">
        <f t="shared" si="8"/>
        <v>0</v>
      </c>
      <c r="AA53" s="679">
        <f t="shared" si="9"/>
        <v>0</v>
      </c>
      <c r="AB53" s="679">
        <f t="shared" si="10"/>
        <v>0</v>
      </c>
      <c r="AC53" s="679">
        <f t="shared" si="11"/>
        <v>0</v>
      </c>
      <c r="AD53" s="679">
        <f t="shared" si="12"/>
        <v>0</v>
      </c>
      <c r="AE53" s="610"/>
    </row>
    <row r="54" spans="1:31" ht="24.95" customHeight="1" x14ac:dyDescent="0.2">
      <c r="A54" s="667">
        <v>47</v>
      </c>
      <c r="B54" s="692"/>
      <c r="C54" s="680" t="s">
        <v>489</v>
      </c>
      <c r="D54" s="682"/>
      <c r="E54" s="683"/>
      <c r="F54" s="682"/>
      <c r="G54" s="683"/>
      <c r="H54" s="682"/>
      <c r="I54" s="683"/>
      <c r="J54" s="682"/>
      <c r="K54" s="683"/>
      <c r="L54" s="682"/>
      <c r="M54" s="684"/>
      <c r="N54" s="673">
        <f t="shared" si="0"/>
        <v>0</v>
      </c>
      <c r="O54" s="674">
        <f t="shared" si="1"/>
        <v>0</v>
      </c>
      <c r="P54" s="686" t="e">
        <f>(O54/O112)*100</f>
        <v>#DIV/0!</v>
      </c>
      <c r="Q54" s="676"/>
      <c r="R54" s="677" t="e">
        <f t="shared" si="2"/>
        <v>#DIV/0!</v>
      </c>
      <c r="S54" s="689">
        <v>32400</v>
      </c>
      <c r="U54" s="679">
        <f t="shared" si="3"/>
        <v>0</v>
      </c>
      <c r="V54" s="679">
        <f t="shared" si="4"/>
        <v>0</v>
      </c>
      <c r="W54" s="679">
        <f t="shared" si="5"/>
        <v>0</v>
      </c>
      <c r="X54" s="679">
        <f t="shared" si="6"/>
        <v>0</v>
      </c>
      <c r="Y54" s="679">
        <f t="shared" si="7"/>
        <v>0</v>
      </c>
      <c r="Z54" s="679">
        <f t="shared" si="8"/>
        <v>0</v>
      </c>
      <c r="AA54" s="679">
        <f t="shared" si="9"/>
        <v>0</v>
      </c>
      <c r="AB54" s="679">
        <f t="shared" si="10"/>
        <v>0</v>
      </c>
      <c r="AC54" s="679">
        <f t="shared" si="11"/>
        <v>0</v>
      </c>
      <c r="AD54" s="679">
        <f t="shared" si="12"/>
        <v>0</v>
      </c>
      <c r="AE54" s="610"/>
    </row>
    <row r="55" spans="1:31" ht="24.95" customHeight="1" x14ac:dyDescent="0.2">
      <c r="A55" s="667">
        <v>48</v>
      </c>
      <c r="B55" s="692" t="s">
        <v>490</v>
      </c>
      <c r="C55" s="681"/>
      <c r="D55" s="682"/>
      <c r="E55" s="683"/>
      <c r="F55" s="682"/>
      <c r="G55" s="683"/>
      <c r="H55" s="682"/>
      <c r="I55" s="683"/>
      <c r="J55" s="682"/>
      <c r="K55" s="683"/>
      <c r="L55" s="682"/>
      <c r="M55" s="684"/>
      <c r="N55" s="673"/>
      <c r="O55" s="674">
        <f t="shared" si="1"/>
        <v>0</v>
      </c>
      <c r="P55" s="686" t="e">
        <f>(O55/O112)*100</f>
        <v>#DIV/0!</v>
      </c>
      <c r="Q55" s="676"/>
      <c r="R55" s="677" t="e">
        <f t="shared" si="2"/>
        <v>#DIV/0!</v>
      </c>
      <c r="S55" s="688"/>
      <c r="U55" s="679">
        <f t="shared" si="3"/>
        <v>0</v>
      </c>
      <c r="V55" s="679">
        <f t="shared" si="4"/>
        <v>0</v>
      </c>
      <c r="W55" s="679">
        <f t="shared" si="5"/>
        <v>0</v>
      </c>
      <c r="X55" s="679">
        <f t="shared" si="6"/>
        <v>0</v>
      </c>
      <c r="Y55" s="679">
        <f t="shared" si="7"/>
        <v>0</v>
      </c>
      <c r="Z55" s="679">
        <f t="shared" si="8"/>
        <v>0</v>
      </c>
      <c r="AA55" s="679">
        <f t="shared" si="9"/>
        <v>0</v>
      </c>
      <c r="AB55" s="679">
        <f t="shared" si="10"/>
        <v>0</v>
      </c>
      <c r="AC55" s="679">
        <f t="shared" si="11"/>
        <v>0</v>
      </c>
      <c r="AD55" s="679">
        <f t="shared" si="12"/>
        <v>0</v>
      </c>
      <c r="AE55" s="610"/>
    </row>
    <row r="56" spans="1:31" ht="24.95" customHeight="1" x14ac:dyDescent="0.2">
      <c r="A56" s="667">
        <v>49</v>
      </c>
      <c r="B56" s="692" t="s">
        <v>491</v>
      </c>
      <c r="C56" s="681" t="s">
        <v>492</v>
      </c>
      <c r="D56" s="682"/>
      <c r="E56" s="683"/>
      <c r="F56" s="682"/>
      <c r="G56" s="683"/>
      <c r="H56" s="682"/>
      <c r="I56" s="683"/>
      <c r="J56" s="682"/>
      <c r="K56" s="683"/>
      <c r="L56" s="682"/>
      <c r="M56" s="684"/>
      <c r="N56" s="673">
        <f t="shared" si="0"/>
        <v>0</v>
      </c>
      <c r="O56" s="674">
        <f t="shared" si="1"/>
        <v>0</v>
      </c>
      <c r="P56" s="686" t="e">
        <f>(O56/O112)*100</f>
        <v>#DIV/0!</v>
      </c>
      <c r="Q56" s="676"/>
      <c r="R56" s="677" t="e">
        <f t="shared" si="2"/>
        <v>#DIV/0!</v>
      </c>
      <c r="S56" s="688">
        <v>15525.000000000002</v>
      </c>
      <c r="U56" s="679">
        <f t="shared" si="3"/>
        <v>0</v>
      </c>
      <c r="V56" s="679">
        <f t="shared" si="4"/>
        <v>0</v>
      </c>
      <c r="W56" s="679">
        <f t="shared" si="5"/>
        <v>0</v>
      </c>
      <c r="X56" s="679">
        <f t="shared" si="6"/>
        <v>0</v>
      </c>
      <c r="Y56" s="679">
        <f t="shared" si="7"/>
        <v>0</v>
      </c>
      <c r="Z56" s="679">
        <f t="shared" si="8"/>
        <v>0</v>
      </c>
      <c r="AA56" s="679">
        <f t="shared" si="9"/>
        <v>0</v>
      </c>
      <c r="AB56" s="679">
        <f t="shared" si="10"/>
        <v>0</v>
      </c>
      <c r="AC56" s="679">
        <f t="shared" si="11"/>
        <v>0</v>
      </c>
      <c r="AD56" s="679">
        <f t="shared" si="12"/>
        <v>0</v>
      </c>
      <c r="AE56" s="610"/>
    </row>
    <row r="57" spans="1:31" ht="24.95" customHeight="1" x14ac:dyDescent="0.2">
      <c r="A57" s="667">
        <v>50</v>
      </c>
      <c r="B57" s="692" t="s">
        <v>493</v>
      </c>
      <c r="C57" s="681" t="s">
        <v>494</v>
      </c>
      <c r="D57" s="682"/>
      <c r="E57" s="683"/>
      <c r="F57" s="682"/>
      <c r="G57" s="683"/>
      <c r="H57" s="682"/>
      <c r="I57" s="683"/>
      <c r="J57" s="682"/>
      <c r="K57" s="683"/>
      <c r="L57" s="682"/>
      <c r="M57" s="684"/>
      <c r="N57" s="673">
        <f t="shared" si="0"/>
        <v>0</v>
      </c>
      <c r="O57" s="674">
        <f t="shared" si="1"/>
        <v>0</v>
      </c>
      <c r="P57" s="686" t="e">
        <f>(O57/O112)*100</f>
        <v>#DIV/0!</v>
      </c>
      <c r="Q57" s="676"/>
      <c r="R57" s="677" t="e">
        <f t="shared" si="2"/>
        <v>#DIV/0!</v>
      </c>
      <c r="S57" s="688">
        <v>17550</v>
      </c>
      <c r="U57" s="679">
        <f t="shared" si="3"/>
        <v>0</v>
      </c>
      <c r="V57" s="679">
        <f t="shared" si="4"/>
        <v>0</v>
      </c>
      <c r="W57" s="679">
        <f t="shared" si="5"/>
        <v>0</v>
      </c>
      <c r="X57" s="679">
        <f t="shared" si="6"/>
        <v>0</v>
      </c>
      <c r="Y57" s="679">
        <f t="shared" si="7"/>
        <v>0</v>
      </c>
      <c r="Z57" s="679">
        <f t="shared" si="8"/>
        <v>0</v>
      </c>
      <c r="AA57" s="679">
        <f t="shared" si="9"/>
        <v>0</v>
      </c>
      <c r="AB57" s="679">
        <f t="shared" si="10"/>
        <v>0</v>
      </c>
      <c r="AC57" s="679">
        <f t="shared" si="11"/>
        <v>0</v>
      </c>
      <c r="AD57" s="679">
        <f t="shared" si="12"/>
        <v>0</v>
      </c>
      <c r="AE57" s="610"/>
    </row>
    <row r="58" spans="1:31" ht="24.95" customHeight="1" x14ac:dyDescent="0.2">
      <c r="A58" s="667">
        <v>51</v>
      </c>
      <c r="B58" s="692" t="s">
        <v>495</v>
      </c>
      <c r="C58" s="681" t="s">
        <v>496</v>
      </c>
      <c r="D58" s="682"/>
      <c r="E58" s="683"/>
      <c r="F58" s="682"/>
      <c r="G58" s="683"/>
      <c r="H58" s="682"/>
      <c r="I58" s="683"/>
      <c r="J58" s="682"/>
      <c r="K58" s="683"/>
      <c r="L58" s="682"/>
      <c r="M58" s="684"/>
      <c r="N58" s="673">
        <f t="shared" si="0"/>
        <v>0</v>
      </c>
      <c r="O58" s="674">
        <f t="shared" si="1"/>
        <v>0</v>
      </c>
      <c r="P58" s="686" t="e">
        <f>(O58/O112)*100</f>
        <v>#DIV/0!</v>
      </c>
      <c r="Q58" s="676"/>
      <c r="R58" s="677" t="e">
        <f t="shared" si="2"/>
        <v>#DIV/0!</v>
      </c>
      <c r="S58" s="688">
        <v>21600</v>
      </c>
      <c r="U58" s="679">
        <f t="shared" si="3"/>
        <v>0</v>
      </c>
      <c r="V58" s="679">
        <f t="shared" si="4"/>
        <v>0</v>
      </c>
      <c r="W58" s="679">
        <f t="shared" si="5"/>
        <v>0</v>
      </c>
      <c r="X58" s="679">
        <f t="shared" si="6"/>
        <v>0</v>
      </c>
      <c r="Y58" s="679">
        <f t="shared" si="7"/>
        <v>0</v>
      </c>
      <c r="Z58" s="679">
        <f t="shared" si="8"/>
        <v>0</v>
      </c>
      <c r="AA58" s="679">
        <f t="shared" si="9"/>
        <v>0</v>
      </c>
      <c r="AB58" s="679">
        <f t="shared" si="10"/>
        <v>0</v>
      </c>
      <c r="AC58" s="679">
        <f t="shared" si="11"/>
        <v>0</v>
      </c>
      <c r="AD58" s="679">
        <f t="shared" si="12"/>
        <v>0</v>
      </c>
      <c r="AE58" s="610"/>
    </row>
    <row r="59" spans="1:31" ht="24.95" customHeight="1" x14ac:dyDescent="0.2">
      <c r="A59" s="667">
        <v>52</v>
      </c>
      <c r="B59" s="692" t="s">
        <v>497</v>
      </c>
      <c r="C59" s="681"/>
      <c r="D59" s="682"/>
      <c r="E59" s="683"/>
      <c r="F59" s="682"/>
      <c r="G59" s="683"/>
      <c r="H59" s="682"/>
      <c r="I59" s="683"/>
      <c r="J59" s="682"/>
      <c r="K59" s="683"/>
      <c r="L59" s="682"/>
      <c r="M59" s="684"/>
      <c r="N59" s="673"/>
      <c r="O59" s="674">
        <f t="shared" si="1"/>
        <v>0</v>
      </c>
      <c r="P59" s="686" t="e">
        <f>(O59/O112)*100</f>
        <v>#DIV/0!</v>
      </c>
      <c r="Q59" s="676"/>
      <c r="R59" s="677" t="e">
        <f t="shared" si="2"/>
        <v>#DIV/0!</v>
      </c>
      <c r="S59" s="688"/>
      <c r="U59" s="679">
        <f t="shared" si="3"/>
        <v>0</v>
      </c>
      <c r="V59" s="679">
        <f t="shared" si="4"/>
        <v>0</v>
      </c>
      <c r="W59" s="679">
        <f t="shared" si="5"/>
        <v>0</v>
      </c>
      <c r="X59" s="679">
        <f t="shared" si="6"/>
        <v>0</v>
      </c>
      <c r="Y59" s="679">
        <f t="shared" si="7"/>
        <v>0</v>
      </c>
      <c r="Z59" s="679">
        <f t="shared" si="8"/>
        <v>0</v>
      </c>
      <c r="AA59" s="679">
        <f t="shared" si="9"/>
        <v>0</v>
      </c>
      <c r="AB59" s="679">
        <f t="shared" si="10"/>
        <v>0</v>
      </c>
      <c r="AC59" s="679">
        <f t="shared" si="11"/>
        <v>0</v>
      </c>
      <c r="AD59" s="679">
        <f t="shared" si="12"/>
        <v>0</v>
      </c>
      <c r="AE59" s="610"/>
    </row>
    <row r="60" spans="1:31" ht="24.95" customHeight="1" x14ac:dyDescent="0.2">
      <c r="A60" s="667">
        <v>53</v>
      </c>
      <c r="B60" s="692" t="s">
        <v>498</v>
      </c>
      <c r="C60" s="681" t="s">
        <v>499</v>
      </c>
      <c r="D60" s="682"/>
      <c r="E60" s="683"/>
      <c r="F60" s="682"/>
      <c r="G60" s="683"/>
      <c r="H60" s="682"/>
      <c r="I60" s="683"/>
      <c r="J60" s="682"/>
      <c r="K60" s="683"/>
      <c r="L60" s="682"/>
      <c r="M60" s="684"/>
      <c r="N60" s="673">
        <f t="shared" si="0"/>
        <v>0</v>
      </c>
      <c r="O60" s="674">
        <f t="shared" si="1"/>
        <v>0</v>
      </c>
      <c r="P60" s="686" t="e">
        <f>(O60/O112)*100</f>
        <v>#DIV/0!</v>
      </c>
      <c r="Q60" s="676"/>
      <c r="R60" s="677" t="e">
        <f t="shared" si="2"/>
        <v>#DIV/0!</v>
      </c>
      <c r="S60" s="688">
        <v>101250</v>
      </c>
      <c r="U60" s="679">
        <f t="shared" si="3"/>
        <v>0</v>
      </c>
      <c r="V60" s="679">
        <f t="shared" si="4"/>
        <v>0</v>
      </c>
      <c r="W60" s="679">
        <f t="shared" si="5"/>
        <v>0</v>
      </c>
      <c r="X60" s="679">
        <f t="shared" si="6"/>
        <v>0</v>
      </c>
      <c r="Y60" s="679">
        <f t="shared" si="7"/>
        <v>0</v>
      </c>
      <c r="Z60" s="679">
        <f t="shared" si="8"/>
        <v>0</v>
      </c>
      <c r="AA60" s="679">
        <f t="shared" si="9"/>
        <v>0</v>
      </c>
      <c r="AB60" s="679">
        <f t="shared" si="10"/>
        <v>0</v>
      </c>
      <c r="AC60" s="679">
        <f t="shared" si="11"/>
        <v>0</v>
      </c>
      <c r="AD60" s="679">
        <f t="shared" si="12"/>
        <v>0</v>
      </c>
      <c r="AE60" s="610"/>
    </row>
    <row r="61" spans="1:31" ht="24.95" customHeight="1" x14ac:dyDescent="0.2">
      <c r="A61" s="667">
        <v>54</v>
      </c>
      <c r="B61" s="692" t="s">
        <v>500</v>
      </c>
      <c r="C61" s="681" t="s">
        <v>501</v>
      </c>
      <c r="D61" s="682"/>
      <c r="E61" s="683"/>
      <c r="F61" s="682"/>
      <c r="G61" s="683"/>
      <c r="H61" s="682"/>
      <c r="I61" s="683"/>
      <c r="J61" s="682"/>
      <c r="K61" s="683"/>
      <c r="L61" s="682"/>
      <c r="M61" s="684"/>
      <c r="N61" s="673">
        <f t="shared" si="0"/>
        <v>0</v>
      </c>
      <c r="O61" s="674">
        <f t="shared" si="1"/>
        <v>0</v>
      </c>
      <c r="P61" s="686" t="e">
        <f>(O61/O112)*100</f>
        <v>#DIV/0!</v>
      </c>
      <c r="Q61" s="676"/>
      <c r="R61" s="677" t="e">
        <f t="shared" si="2"/>
        <v>#DIV/0!</v>
      </c>
      <c r="S61" s="689">
        <v>114750.00000000001</v>
      </c>
      <c r="U61" s="679">
        <f t="shared" si="3"/>
        <v>0</v>
      </c>
      <c r="V61" s="679">
        <f t="shared" si="4"/>
        <v>0</v>
      </c>
      <c r="W61" s="679">
        <f t="shared" si="5"/>
        <v>0</v>
      </c>
      <c r="X61" s="679">
        <f t="shared" si="6"/>
        <v>0</v>
      </c>
      <c r="Y61" s="679">
        <f t="shared" si="7"/>
        <v>0</v>
      </c>
      <c r="Z61" s="679">
        <f t="shared" si="8"/>
        <v>0</v>
      </c>
      <c r="AA61" s="679">
        <f t="shared" si="9"/>
        <v>0</v>
      </c>
      <c r="AB61" s="679">
        <f t="shared" si="10"/>
        <v>0</v>
      </c>
      <c r="AC61" s="679">
        <f t="shared" si="11"/>
        <v>0</v>
      </c>
      <c r="AD61" s="679">
        <f t="shared" si="12"/>
        <v>0</v>
      </c>
      <c r="AE61" s="610"/>
    </row>
    <row r="62" spans="1:31" ht="24.95" customHeight="1" x14ac:dyDescent="0.2">
      <c r="A62" s="667">
        <v>55</v>
      </c>
      <c r="B62" s="692"/>
      <c r="C62" s="680" t="s">
        <v>502</v>
      </c>
      <c r="D62" s="682"/>
      <c r="E62" s="683"/>
      <c r="F62" s="682"/>
      <c r="G62" s="683"/>
      <c r="H62" s="682"/>
      <c r="I62" s="683"/>
      <c r="J62" s="682"/>
      <c r="K62" s="683"/>
      <c r="L62" s="682"/>
      <c r="M62" s="684"/>
      <c r="N62" s="673">
        <f t="shared" si="0"/>
        <v>0</v>
      </c>
      <c r="O62" s="674">
        <f t="shared" si="1"/>
        <v>0</v>
      </c>
      <c r="P62" s="686" t="e">
        <f>(O62/O112)*100</f>
        <v>#DIV/0!</v>
      </c>
      <c r="Q62" s="676"/>
      <c r="R62" s="677" t="e">
        <f t="shared" si="2"/>
        <v>#DIV/0!</v>
      </c>
      <c r="S62" s="689">
        <v>121500.00000000001</v>
      </c>
      <c r="U62" s="679">
        <f t="shared" si="3"/>
        <v>0</v>
      </c>
      <c r="V62" s="679">
        <f t="shared" si="4"/>
        <v>0</v>
      </c>
      <c r="W62" s="679">
        <f t="shared" si="5"/>
        <v>0</v>
      </c>
      <c r="X62" s="679">
        <f t="shared" si="6"/>
        <v>0</v>
      </c>
      <c r="Y62" s="679">
        <f t="shared" si="7"/>
        <v>0</v>
      </c>
      <c r="Z62" s="679">
        <f t="shared" si="8"/>
        <v>0</v>
      </c>
      <c r="AA62" s="679">
        <f t="shared" si="9"/>
        <v>0</v>
      </c>
      <c r="AB62" s="679">
        <f t="shared" si="10"/>
        <v>0</v>
      </c>
      <c r="AC62" s="679">
        <f t="shared" si="11"/>
        <v>0</v>
      </c>
      <c r="AD62" s="679">
        <f t="shared" si="12"/>
        <v>0</v>
      </c>
      <c r="AE62" s="610"/>
    </row>
    <row r="63" spans="1:31" ht="24.95" customHeight="1" x14ac:dyDescent="0.2">
      <c r="A63" s="667">
        <v>56</v>
      </c>
      <c r="B63" s="692" t="s">
        <v>503</v>
      </c>
      <c r="C63" s="681" t="s">
        <v>504</v>
      </c>
      <c r="D63" s="682"/>
      <c r="E63" s="683"/>
      <c r="F63" s="682"/>
      <c r="G63" s="683"/>
      <c r="H63" s="682"/>
      <c r="I63" s="683"/>
      <c r="J63" s="682"/>
      <c r="K63" s="683"/>
      <c r="L63" s="682"/>
      <c r="M63" s="684"/>
      <c r="N63" s="673">
        <f t="shared" si="0"/>
        <v>0</v>
      </c>
      <c r="O63" s="674">
        <f t="shared" si="1"/>
        <v>0</v>
      </c>
      <c r="P63" s="686" t="e">
        <f>(O63/O112)*100</f>
        <v>#DIV/0!</v>
      </c>
      <c r="Q63" s="676"/>
      <c r="R63" s="677" t="e">
        <f t="shared" si="2"/>
        <v>#DIV/0!</v>
      </c>
      <c r="S63" s="693">
        <v>135000</v>
      </c>
      <c r="U63" s="679">
        <f t="shared" si="3"/>
        <v>0</v>
      </c>
      <c r="V63" s="679">
        <f t="shared" si="4"/>
        <v>0</v>
      </c>
      <c r="W63" s="679">
        <f t="shared" si="5"/>
        <v>0</v>
      </c>
      <c r="X63" s="679">
        <f t="shared" si="6"/>
        <v>0</v>
      </c>
      <c r="Y63" s="679">
        <f t="shared" si="7"/>
        <v>0</v>
      </c>
      <c r="Z63" s="679">
        <f t="shared" si="8"/>
        <v>0</v>
      </c>
      <c r="AA63" s="679">
        <f t="shared" si="9"/>
        <v>0</v>
      </c>
      <c r="AB63" s="679">
        <f t="shared" si="10"/>
        <v>0</v>
      </c>
      <c r="AC63" s="679">
        <f t="shared" si="11"/>
        <v>0</v>
      </c>
      <c r="AD63" s="679">
        <f t="shared" si="12"/>
        <v>0</v>
      </c>
      <c r="AE63" s="610"/>
    </row>
    <row r="64" spans="1:31" ht="24.95" customHeight="1" x14ac:dyDescent="0.2">
      <c r="A64" s="667">
        <v>57</v>
      </c>
      <c r="B64" s="692" t="s">
        <v>505</v>
      </c>
      <c r="C64" s="681"/>
      <c r="D64" s="682"/>
      <c r="E64" s="683"/>
      <c r="F64" s="682"/>
      <c r="G64" s="683"/>
      <c r="H64" s="682"/>
      <c r="I64" s="683"/>
      <c r="J64" s="682"/>
      <c r="K64" s="683"/>
      <c r="L64" s="682"/>
      <c r="M64" s="684"/>
      <c r="N64" s="673"/>
      <c r="O64" s="674">
        <f t="shared" si="1"/>
        <v>0</v>
      </c>
      <c r="P64" s="686" t="e">
        <f>(O64/O112)*100</f>
        <v>#DIV/0!</v>
      </c>
      <c r="Q64" s="676"/>
      <c r="R64" s="677" t="e">
        <f t="shared" si="2"/>
        <v>#DIV/0!</v>
      </c>
      <c r="S64" s="688"/>
      <c r="U64" s="679">
        <f t="shared" si="3"/>
        <v>0</v>
      </c>
      <c r="V64" s="679">
        <f t="shared" si="4"/>
        <v>0</v>
      </c>
      <c r="W64" s="679">
        <f t="shared" si="5"/>
        <v>0</v>
      </c>
      <c r="X64" s="679">
        <f t="shared" si="6"/>
        <v>0</v>
      </c>
      <c r="Y64" s="679">
        <f t="shared" si="7"/>
        <v>0</v>
      </c>
      <c r="Z64" s="679">
        <f t="shared" si="8"/>
        <v>0</v>
      </c>
      <c r="AA64" s="679">
        <f t="shared" si="9"/>
        <v>0</v>
      </c>
      <c r="AB64" s="679">
        <f t="shared" si="10"/>
        <v>0</v>
      </c>
      <c r="AC64" s="679">
        <f t="shared" si="11"/>
        <v>0</v>
      </c>
      <c r="AD64" s="679">
        <f t="shared" si="12"/>
        <v>0</v>
      </c>
      <c r="AE64" s="610"/>
    </row>
    <row r="65" spans="1:33" ht="24.95" customHeight="1" x14ac:dyDescent="0.2">
      <c r="A65" s="667">
        <v>58</v>
      </c>
      <c r="B65" s="692" t="s">
        <v>506</v>
      </c>
      <c r="C65" s="681" t="s">
        <v>507</v>
      </c>
      <c r="D65" s="682"/>
      <c r="E65" s="683"/>
      <c r="F65" s="682"/>
      <c r="G65" s="683"/>
      <c r="H65" s="682"/>
      <c r="I65" s="683"/>
      <c r="J65" s="682"/>
      <c r="K65" s="683"/>
      <c r="L65" s="682"/>
      <c r="M65" s="684"/>
      <c r="N65" s="673">
        <f t="shared" si="0"/>
        <v>0</v>
      </c>
      <c r="O65" s="674">
        <f t="shared" si="1"/>
        <v>0</v>
      </c>
      <c r="P65" s="686" t="e">
        <f>(O65/O112)*100</f>
        <v>#DIV/0!</v>
      </c>
      <c r="Q65" s="676"/>
      <c r="R65" s="677" t="e">
        <f t="shared" si="2"/>
        <v>#DIV/0!</v>
      </c>
      <c r="S65" s="688">
        <v>14850.000000000002</v>
      </c>
      <c r="U65" s="679">
        <f t="shared" si="3"/>
        <v>0</v>
      </c>
      <c r="V65" s="679">
        <f t="shared" si="4"/>
        <v>0</v>
      </c>
      <c r="W65" s="679">
        <f t="shared" si="5"/>
        <v>0</v>
      </c>
      <c r="X65" s="679">
        <f t="shared" si="6"/>
        <v>0</v>
      </c>
      <c r="Y65" s="679">
        <f t="shared" si="7"/>
        <v>0</v>
      </c>
      <c r="Z65" s="679">
        <f t="shared" si="8"/>
        <v>0</v>
      </c>
      <c r="AA65" s="679">
        <f t="shared" si="9"/>
        <v>0</v>
      </c>
      <c r="AB65" s="679">
        <f t="shared" si="10"/>
        <v>0</v>
      </c>
      <c r="AC65" s="679">
        <f t="shared" si="11"/>
        <v>0</v>
      </c>
      <c r="AD65" s="679">
        <f t="shared" si="12"/>
        <v>0</v>
      </c>
      <c r="AE65" s="610"/>
    </row>
    <row r="66" spans="1:33" ht="24.95" customHeight="1" x14ac:dyDescent="0.2">
      <c r="A66" s="667">
        <v>59</v>
      </c>
      <c r="B66" s="692"/>
      <c r="C66" s="681" t="s">
        <v>508</v>
      </c>
      <c r="D66" s="682"/>
      <c r="E66" s="683"/>
      <c r="F66" s="682"/>
      <c r="G66" s="683"/>
      <c r="H66" s="682"/>
      <c r="I66" s="683"/>
      <c r="J66" s="682"/>
      <c r="K66" s="683"/>
      <c r="L66" s="682"/>
      <c r="M66" s="684"/>
      <c r="N66" s="673">
        <f t="shared" si="0"/>
        <v>0</v>
      </c>
      <c r="O66" s="674">
        <f t="shared" si="1"/>
        <v>0</v>
      </c>
      <c r="P66" s="686" t="e">
        <f>(O66/O112)*100</f>
        <v>#DIV/0!</v>
      </c>
      <c r="Q66" s="676"/>
      <c r="R66" s="677" t="e">
        <f t="shared" si="2"/>
        <v>#DIV/0!</v>
      </c>
      <c r="S66" s="688">
        <v>16200.000000000002</v>
      </c>
      <c r="U66" s="679">
        <f t="shared" si="3"/>
        <v>0</v>
      </c>
      <c r="V66" s="679">
        <f t="shared" si="4"/>
        <v>0</v>
      </c>
      <c r="W66" s="679">
        <f t="shared" si="5"/>
        <v>0</v>
      </c>
      <c r="X66" s="679">
        <f t="shared" si="6"/>
        <v>0</v>
      </c>
      <c r="Y66" s="679">
        <f t="shared" si="7"/>
        <v>0</v>
      </c>
      <c r="Z66" s="679">
        <f t="shared" si="8"/>
        <v>0</v>
      </c>
      <c r="AA66" s="679">
        <f t="shared" si="9"/>
        <v>0</v>
      </c>
      <c r="AB66" s="679">
        <f t="shared" si="10"/>
        <v>0</v>
      </c>
      <c r="AC66" s="679">
        <f t="shared" si="11"/>
        <v>0</v>
      </c>
      <c r="AD66" s="679">
        <f t="shared" si="12"/>
        <v>0</v>
      </c>
      <c r="AE66" s="610"/>
    </row>
    <row r="67" spans="1:33" ht="24.95" customHeight="1" x14ac:dyDescent="0.2">
      <c r="A67" s="667">
        <v>60</v>
      </c>
      <c r="B67" s="692"/>
      <c r="C67" s="681" t="s">
        <v>509</v>
      </c>
      <c r="D67" s="682"/>
      <c r="E67" s="683"/>
      <c r="F67" s="682"/>
      <c r="G67" s="683"/>
      <c r="H67" s="682"/>
      <c r="I67" s="683"/>
      <c r="J67" s="682"/>
      <c r="K67" s="683"/>
      <c r="L67" s="682"/>
      <c r="M67" s="684"/>
      <c r="N67" s="673">
        <f t="shared" si="0"/>
        <v>0</v>
      </c>
      <c r="O67" s="674">
        <f t="shared" si="1"/>
        <v>0</v>
      </c>
      <c r="P67" s="686" t="e">
        <f>(O67/O112)*100</f>
        <v>#DIV/0!</v>
      </c>
      <c r="Q67" s="676"/>
      <c r="R67" s="677" t="e">
        <f t="shared" si="2"/>
        <v>#DIV/0!</v>
      </c>
      <c r="S67" s="693">
        <v>17550</v>
      </c>
      <c r="U67" s="679">
        <f t="shared" si="3"/>
        <v>0</v>
      </c>
      <c r="V67" s="679">
        <f t="shared" si="4"/>
        <v>0</v>
      </c>
      <c r="W67" s="679">
        <f t="shared" si="5"/>
        <v>0</v>
      </c>
      <c r="X67" s="679">
        <f t="shared" si="6"/>
        <v>0</v>
      </c>
      <c r="Y67" s="679">
        <f t="shared" si="7"/>
        <v>0</v>
      </c>
      <c r="Z67" s="679">
        <f t="shared" si="8"/>
        <v>0</v>
      </c>
      <c r="AA67" s="679">
        <f t="shared" si="9"/>
        <v>0</v>
      </c>
      <c r="AB67" s="679">
        <f t="shared" si="10"/>
        <v>0</v>
      </c>
      <c r="AC67" s="679">
        <f t="shared" si="11"/>
        <v>0</v>
      </c>
      <c r="AD67" s="679">
        <f t="shared" si="12"/>
        <v>0</v>
      </c>
      <c r="AE67" s="610"/>
    </row>
    <row r="68" spans="1:33" ht="24.95" customHeight="1" x14ac:dyDescent="0.2">
      <c r="A68" s="667">
        <v>61</v>
      </c>
      <c r="B68" s="692"/>
      <c r="C68" s="681" t="s">
        <v>510</v>
      </c>
      <c r="D68" s="682"/>
      <c r="E68" s="683"/>
      <c r="F68" s="682"/>
      <c r="G68" s="683"/>
      <c r="H68" s="682"/>
      <c r="I68" s="683"/>
      <c r="J68" s="682"/>
      <c r="K68" s="683"/>
      <c r="L68" s="682"/>
      <c r="M68" s="684"/>
      <c r="N68" s="673">
        <f t="shared" si="0"/>
        <v>0</v>
      </c>
      <c r="O68" s="674">
        <f t="shared" si="1"/>
        <v>0</v>
      </c>
      <c r="P68" s="686" t="e">
        <f>(O68/O112)*100</f>
        <v>#DIV/0!</v>
      </c>
      <c r="Q68" s="676"/>
      <c r="R68" s="677" t="e">
        <f t="shared" si="2"/>
        <v>#DIV/0!</v>
      </c>
      <c r="S68" s="695">
        <v>20250</v>
      </c>
      <c r="U68" s="679">
        <f t="shared" si="3"/>
        <v>0</v>
      </c>
      <c r="V68" s="679">
        <f t="shared" si="4"/>
        <v>0</v>
      </c>
      <c r="W68" s="679">
        <f t="shared" si="5"/>
        <v>0</v>
      </c>
      <c r="X68" s="679">
        <f t="shared" si="6"/>
        <v>0</v>
      </c>
      <c r="Y68" s="679">
        <f t="shared" si="7"/>
        <v>0</v>
      </c>
      <c r="Z68" s="679">
        <f t="shared" si="8"/>
        <v>0</v>
      </c>
      <c r="AA68" s="679">
        <f t="shared" si="9"/>
        <v>0</v>
      </c>
      <c r="AB68" s="679">
        <f t="shared" si="10"/>
        <v>0</v>
      </c>
      <c r="AC68" s="679">
        <f t="shared" si="11"/>
        <v>0</v>
      </c>
      <c r="AD68" s="679">
        <f t="shared" si="12"/>
        <v>0</v>
      </c>
      <c r="AE68" s="610"/>
    </row>
    <row r="69" spans="1:33" ht="24.95" customHeight="1" thickBot="1" x14ac:dyDescent="0.25">
      <c r="A69" s="667">
        <v>62</v>
      </c>
      <c r="B69" s="696"/>
      <c r="C69" s="697"/>
      <c r="D69" s="698"/>
      <c r="E69" s="699"/>
      <c r="F69" s="698"/>
      <c r="G69" s="699"/>
      <c r="H69" s="698"/>
      <c r="I69" s="699"/>
      <c r="J69" s="698"/>
      <c r="K69" s="699"/>
      <c r="L69" s="698"/>
      <c r="M69" s="700"/>
      <c r="N69" s="701"/>
      <c r="O69" s="702">
        <f t="shared" si="1"/>
        <v>0</v>
      </c>
      <c r="P69" s="703" t="e">
        <f>(O69/O112)*100</f>
        <v>#DIV/0!</v>
      </c>
      <c r="Q69" s="1113"/>
      <c r="R69" s="1114" t="e">
        <f t="shared" si="2"/>
        <v>#DIV/0!</v>
      </c>
      <c r="S69" s="705"/>
      <c r="U69" s="679">
        <f t="shared" si="3"/>
        <v>0</v>
      </c>
      <c r="V69" s="679">
        <f t="shared" si="4"/>
        <v>0</v>
      </c>
      <c r="W69" s="679">
        <f t="shared" si="5"/>
        <v>0</v>
      </c>
      <c r="X69" s="679">
        <f t="shared" si="6"/>
        <v>0</v>
      </c>
      <c r="Y69" s="679">
        <f t="shared" si="7"/>
        <v>0</v>
      </c>
      <c r="Z69" s="679">
        <f t="shared" si="8"/>
        <v>0</v>
      </c>
      <c r="AA69" s="679">
        <f t="shared" si="9"/>
        <v>0</v>
      </c>
      <c r="AB69" s="679">
        <f t="shared" si="10"/>
        <v>0</v>
      </c>
      <c r="AC69" s="679">
        <f t="shared" si="11"/>
        <v>0</v>
      </c>
      <c r="AD69" s="679">
        <f t="shared" si="12"/>
        <v>0</v>
      </c>
      <c r="AE69" s="610"/>
      <c r="AF69" s="1458"/>
      <c r="AG69" s="1458"/>
    </row>
    <row r="70" spans="1:33" ht="24.95" customHeight="1" x14ac:dyDescent="0.2">
      <c r="A70" s="667">
        <v>63</v>
      </c>
      <c r="B70" s="706"/>
      <c r="C70" s="706" t="s">
        <v>847</v>
      </c>
      <c r="D70" s="670"/>
      <c r="E70" s="671"/>
      <c r="F70" s="670"/>
      <c r="G70" s="671"/>
      <c r="H70" s="670"/>
      <c r="I70" s="671"/>
      <c r="J70" s="670"/>
      <c r="K70" s="671"/>
      <c r="L70" s="670"/>
      <c r="M70" s="672"/>
      <c r="N70" s="673">
        <f t="shared" si="0"/>
        <v>0</v>
      </c>
      <c r="O70" s="674">
        <f t="shared" si="1"/>
        <v>0</v>
      </c>
      <c r="P70" s="675" t="e">
        <f>(O70/O112)*100</f>
        <v>#DIV/0!</v>
      </c>
      <c r="Q70" s="694"/>
      <c r="R70" s="675" t="e">
        <f t="shared" si="2"/>
        <v>#DIV/0!</v>
      </c>
      <c r="S70" s="708">
        <v>10800</v>
      </c>
      <c r="U70" s="679">
        <f t="shared" si="3"/>
        <v>0</v>
      </c>
      <c r="V70" s="679">
        <f t="shared" si="4"/>
        <v>0</v>
      </c>
      <c r="W70" s="679">
        <f t="shared" si="5"/>
        <v>0</v>
      </c>
      <c r="X70" s="679">
        <f t="shared" si="6"/>
        <v>0</v>
      </c>
      <c r="Y70" s="679">
        <f t="shared" si="7"/>
        <v>0</v>
      </c>
      <c r="Z70" s="679">
        <f t="shared" si="8"/>
        <v>0</v>
      </c>
      <c r="AA70" s="679">
        <f t="shared" si="9"/>
        <v>0</v>
      </c>
      <c r="AB70" s="679">
        <f t="shared" si="10"/>
        <v>0</v>
      </c>
      <c r="AC70" s="679">
        <f t="shared" si="11"/>
        <v>0</v>
      </c>
      <c r="AD70" s="679">
        <f t="shared" si="12"/>
        <v>0</v>
      </c>
      <c r="AE70" s="610"/>
    </row>
    <row r="71" spans="1:33" ht="24.95" customHeight="1" x14ac:dyDescent="0.2">
      <c r="A71" s="667">
        <v>64</v>
      </c>
      <c r="B71" s="692"/>
      <c r="C71" s="709" t="s">
        <v>848</v>
      </c>
      <c r="D71" s="682"/>
      <c r="E71" s="683"/>
      <c r="F71" s="682"/>
      <c r="G71" s="683"/>
      <c r="H71" s="682"/>
      <c r="I71" s="683"/>
      <c r="J71" s="682"/>
      <c r="K71" s="683"/>
      <c r="L71" s="682"/>
      <c r="M71" s="684"/>
      <c r="N71" s="673">
        <f t="shared" si="0"/>
        <v>0</v>
      </c>
      <c r="O71" s="674">
        <f t="shared" si="1"/>
        <v>0</v>
      </c>
      <c r="P71" s="686" t="e">
        <f>(O71/O112)*100</f>
        <v>#DIV/0!</v>
      </c>
      <c r="Q71" s="690"/>
      <c r="R71" s="677" t="e">
        <f t="shared" si="2"/>
        <v>#DIV/0!</v>
      </c>
      <c r="S71" s="695">
        <v>16200.000000000002</v>
      </c>
      <c r="U71" s="679">
        <f t="shared" si="3"/>
        <v>0</v>
      </c>
      <c r="V71" s="679">
        <f t="shared" si="4"/>
        <v>0</v>
      </c>
      <c r="W71" s="679">
        <f t="shared" si="5"/>
        <v>0</v>
      </c>
      <c r="X71" s="679">
        <f t="shared" si="6"/>
        <v>0</v>
      </c>
      <c r="Y71" s="679">
        <f t="shared" si="7"/>
        <v>0</v>
      </c>
      <c r="Z71" s="679">
        <f t="shared" si="8"/>
        <v>0</v>
      </c>
      <c r="AA71" s="679">
        <f t="shared" si="9"/>
        <v>0</v>
      </c>
      <c r="AB71" s="679">
        <f t="shared" si="10"/>
        <v>0</v>
      </c>
      <c r="AC71" s="679">
        <f t="shared" si="11"/>
        <v>0</v>
      </c>
      <c r="AD71" s="679">
        <f t="shared" si="12"/>
        <v>0</v>
      </c>
      <c r="AE71" s="610"/>
    </row>
    <row r="72" spans="1:33" ht="24.95" customHeight="1" x14ac:dyDescent="0.2">
      <c r="A72" s="667">
        <v>65</v>
      </c>
      <c r="B72" s="692"/>
      <c r="C72" s="709" t="s">
        <v>849</v>
      </c>
      <c r="D72" s="682"/>
      <c r="E72" s="683"/>
      <c r="F72" s="682"/>
      <c r="G72" s="683"/>
      <c r="H72" s="682"/>
      <c r="I72" s="683"/>
      <c r="J72" s="682"/>
      <c r="K72" s="683"/>
      <c r="L72" s="682"/>
      <c r="M72" s="684"/>
      <c r="N72" s="673">
        <f t="shared" si="0"/>
        <v>0</v>
      </c>
      <c r="O72" s="674">
        <f t="shared" si="1"/>
        <v>0</v>
      </c>
      <c r="P72" s="686" t="e">
        <f>(O72/O112)*100</f>
        <v>#DIV/0!</v>
      </c>
      <c r="Q72" s="690"/>
      <c r="R72" s="677" t="e">
        <f t="shared" si="2"/>
        <v>#DIV/0!</v>
      </c>
      <c r="S72" s="695">
        <v>20250</v>
      </c>
      <c r="U72" s="679">
        <f t="shared" si="3"/>
        <v>0</v>
      </c>
      <c r="V72" s="679">
        <f t="shared" si="4"/>
        <v>0</v>
      </c>
      <c r="W72" s="679">
        <f t="shared" si="5"/>
        <v>0</v>
      </c>
      <c r="X72" s="679">
        <f t="shared" si="6"/>
        <v>0</v>
      </c>
      <c r="Y72" s="679">
        <f t="shared" si="7"/>
        <v>0</v>
      </c>
      <c r="Z72" s="679">
        <f t="shared" si="8"/>
        <v>0</v>
      </c>
      <c r="AA72" s="679">
        <f t="shared" si="9"/>
        <v>0</v>
      </c>
      <c r="AB72" s="679">
        <f t="shared" si="10"/>
        <v>0</v>
      </c>
      <c r="AC72" s="679">
        <f t="shared" si="11"/>
        <v>0</v>
      </c>
      <c r="AD72" s="679">
        <f t="shared" si="12"/>
        <v>0</v>
      </c>
      <c r="AE72" s="610"/>
    </row>
    <row r="73" spans="1:33" ht="24.95" customHeight="1" x14ac:dyDescent="0.2">
      <c r="A73" s="667">
        <v>66</v>
      </c>
      <c r="B73" s="692"/>
      <c r="C73" s="709"/>
      <c r="D73" s="682"/>
      <c r="E73" s="683"/>
      <c r="F73" s="682"/>
      <c r="G73" s="683"/>
      <c r="H73" s="682"/>
      <c r="I73" s="683"/>
      <c r="J73" s="682"/>
      <c r="K73" s="683"/>
      <c r="L73" s="682"/>
      <c r="M73" s="684"/>
      <c r="N73" s="673">
        <f t="shared" si="0"/>
        <v>0</v>
      </c>
      <c r="O73" s="674">
        <f t="shared" si="1"/>
        <v>0</v>
      </c>
      <c r="P73" s="686" t="e">
        <f>(O73/O112)*100</f>
        <v>#DIV/0!</v>
      </c>
      <c r="Q73" s="690"/>
      <c r="R73" s="677" t="e">
        <f t="shared" si="2"/>
        <v>#DIV/0!</v>
      </c>
      <c r="S73" s="695"/>
      <c r="U73" s="679">
        <f t="shared" si="3"/>
        <v>0</v>
      </c>
      <c r="V73" s="679">
        <f t="shared" si="4"/>
        <v>0</v>
      </c>
      <c r="W73" s="679">
        <f t="shared" si="5"/>
        <v>0</v>
      </c>
      <c r="X73" s="679">
        <f t="shared" si="6"/>
        <v>0</v>
      </c>
      <c r="Y73" s="679">
        <f t="shared" si="7"/>
        <v>0</v>
      </c>
      <c r="Z73" s="679">
        <f t="shared" si="8"/>
        <v>0</v>
      </c>
      <c r="AA73" s="679">
        <f t="shared" si="9"/>
        <v>0</v>
      </c>
      <c r="AB73" s="679">
        <f t="shared" si="10"/>
        <v>0</v>
      </c>
      <c r="AC73" s="679">
        <f t="shared" si="11"/>
        <v>0</v>
      </c>
      <c r="AD73" s="679">
        <f t="shared" si="12"/>
        <v>0</v>
      </c>
      <c r="AE73" s="610"/>
    </row>
    <row r="74" spans="1:33" ht="24.95" customHeight="1" x14ac:dyDescent="0.2">
      <c r="A74" s="667">
        <v>67</v>
      </c>
      <c r="B74" s="692"/>
      <c r="C74" s="709" t="s">
        <v>444</v>
      </c>
      <c r="D74" s="682"/>
      <c r="E74" s="683"/>
      <c r="F74" s="682"/>
      <c r="G74" s="683"/>
      <c r="H74" s="682"/>
      <c r="I74" s="683"/>
      <c r="J74" s="682"/>
      <c r="K74" s="683"/>
      <c r="L74" s="682"/>
      <c r="M74" s="684"/>
      <c r="N74" s="673">
        <f t="shared" si="0"/>
        <v>0</v>
      </c>
      <c r="O74" s="674">
        <f t="shared" si="1"/>
        <v>0</v>
      </c>
      <c r="P74" s="686" t="e">
        <f>(O74/O112)*100</f>
        <v>#DIV/0!</v>
      </c>
      <c r="Q74" s="690"/>
      <c r="R74" s="677" t="e">
        <f t="shared" si="2"/>
        <v>#DIV/0!</v>
      </c>
      <c r="S74" s="688">
        <v>6750</v>
      </c>
      <c r="U74" s="679">
        <f t="shared" si="3"/>
        <v>0</v>
      </c>
      <c r="V74" s="679">
        <f t="shared" si="4"/>
        <v>0</v>
      </c>
      <c r="W74" s="679">
        <f t="shared" si="5"/>
        <v>0</v>
      </c>
      <c r="X74" s="679">
        <f t="shared" si="6"/>
        <v>0</v>
      </c>
      <c r="Y74" s="679">
        <f t="shared" si="7"/>
        <v>0</v>
      </c>
      <c r="Z74" s="679">
        <f t="shared" si="8"/>
        <v>0</v>
      </c>
      <c r="AA74" s="679">
        <f t="shared" si="9"/>
        <v>0</v>
      </c>
      <c r="AB74" s="679">
        <f t="shared" si="10"/>
        <v>0</v>
      </c>
      <c r="AC74" s="679">
        <f t="shared" si="11"/>
        <v>0</v>
      </c>
      <c r="AD74" s="679">
        <f t="shared" si="12"/>
        <v>0</v>
      </c>
      <c r="AE74" s="610"/>
    </row>
    <row r="75" spans="1:33" ht="24.95" customHeight="1" x14ac:dyDescent="0.2">
      <c r="A75" s="667">
        <v>68</v>
      </c>
      <c r="B75" s="692"/>
      <c r="C75" s="709"/>
      <c r="D75" s="682"/>
      <c r="E75" s="683"/>
      <c r="F75" s="682"/>
      <c r="G75" s="683"/>
      <c r="H75" s="682"/>
      <c r="I75" s="683"/>
      <c r="J75" s="682"/>
      <c r="K75" s="683"/>
      <c r="L75" s="682"/>
      <c r="M75" s="684"/>
      <c r="N75" s="673">
        <f t="shared" si="0"/>
        <v>0</v>
      </c>
      <c r="O75" s="674">
        <f t="shared" si="1"/>
        <v>0</v>
      </c>
      <c r="P75" s="686" t="e">
        <f>(O75/O112)*100</f>
        <v>#DIV/0!</v>
      </c>
      <c r="Q75" s="690"/>
      <c r="R75" s="677" t="e">
        <f t="shared" si="2"/>
        <v>#DIV/0!</v>
      </c>
      <c r="S75" s="688"/>
      <c r="U75" s="679">
        <f t="shared" si="3"/>
        <v>0</v>
      </c>
      <c r="V75" s="679">
        <f t="shared" si="4"/>
        <v>0</v>
      </c>
      <c r="W75" s="679">
        <f t="shared" si="5"/>
        <v>0</v>
      </c>
      <c r="X75" s="679">
        <f t="shared" si="6"/>
        <v>0</v>
      </c>
      <c r="Y75" s="679">
        <f t="shared" si="7"/>
        <v>0</v>
      </c>
      <c r="Z75" s="679">
        <f t="shared" si="8"/>
        <v>0</v>
      </c>
      <c r="AA75" s="679">
        <f t="shared" si="9"/>
        <v>0</v>
      </c>
      <c r="AB75" s="679">
        <f t="shared" si="10"/>
        <v>0</v>
      </c>
      <c r="AC75" s="679">
        <f t="shared" si="11"/>
        <v>0</v>
      </c>
      <c r="AD75" s="679">
        <f t="shared" si="12"/>
        <v>0</v>
      </c>
      <c r="AE75" s="610"/>
    </row>
    <row r="76" spans="1:33" ht="24.95" customHeight="1" x14ac:dyDescent="0.2">
      <c r="A76" s="667">
        <v>69</v>
      </c>
      <c r="B76" s="692"/>
      <c r="C76" s="709"/>
      <c r="D76" s="682"/>
      <c r="E76" s="683"/>
      <c r="F76" s="682"/>
      <c r="G76" s="683"/>
      <c r="H76" s="682"/>
      <c r="I76" s="683"/>
      <c r="J76" s="682"/>
      <c r="K76" s="683"/>
      <c r="L76" s="682"/>
      <c r="M76" s="684"/>
      <c r="N76" s="673">
        <f t="shared" si="0"/>
        <v>0</v>
      </c>
      <c r="O76" s="674">
        <f t="shared" si="1"/>
        <v>0</v>
      </c>
      <c r="P76" s="686" t="e">
        <f>(O76/O112)*100</f>
        <v>#DIV/0!</v>
      </c>
      <c r="Q76" s="690"/>
      <c r="R76" s="677" t="e">
        <f t="shared" si="2"/>
        <v>#DIV/0!</v>
      </c>
      <c r="S76" s="688">
        <v>31050</v>
      </c>
      <c r="U76" s="679">
        <f t="shared" ref="U76:U82" si="15">D76*S76</f>
        <v>0</v>
      </c>
      <c r="V76" s="679">
        <f t="shared" ref="V76:V82" si="16">E76*S76</f>
        <v>0</v>
      </c>
      <c r="W76" s="679">
        <f t="shared" ref="W76:W82" si="17">F76*S76</f>
        <v>0</v>
      </c>
      <c r="X76" s="679">
        <f t="shared" ref="X76:X82" si="18">G76*S76</f>
        <v>0</v>
      </c>
      <c r="Y76" s="679">
        <f t="shared" ref="Y76:Y82" si="19">H76*S76</f>
        <v>0</v>
      </c>
      <c r="Z76" s="679">
        <f t="shared" ref="Z76:Z82" si="20">I76*S76</f>
        <v>0</v>
      </c>
      <c r="AA76" s="679">
        <f t="shared" ref="AA76:AA82" si="21">J76*S76</f>
        <v>0</v>
      </c>
      <c r="AB76" s="679">
        <f t="shared" ref="AB76:AB82" si="22">K76*S76</f>
        <v>0</v>
      </c>
      <c r="AC76" s="679">
        <f t="shared" ref="AC76:AC82" si="23">L76*S76</f>
        <v>0</v>
      </c>
      <c r="AD76" s="679">
        <f t="shared" ref="AD76:AD82" si="24">M76*S76</f>
        <v>0</v>
      </c>
      <c r="AE76" s="610"/>
    </row>
    <row r="77" spans="1:33" ht="24.95" customHeight="1" x14ac:dyDescent="0.2">
      <c r="A77" s="667">
        <v>70</v>
      </c>
      <c r="B77" s="692"/>
      <c r="C77" s="709"/>
      <c r="D77" s="682"/>
      <c r="E77" s="683"/>
      <c r="F77" s="682"/>
      <c r="G77" s="683"/>
      <c r="H77" s="682"/>
      <c r="I77" s="683"/>
      <c r="J77" s="682"/>
      <c r="K77" s="683"/>
      <c r="L77" s="682"/>
      <c r="M77" s="684"/>
      <c r="N77" s="673">
        <f t="shared" si="0"/>
        <v>0</v>
      </c>
      <c r="O77" s="674">
        <f t="shared" si="1"/>
        <v>0</v>
      </c>
      <c r="P77" s="686" t="e">
        <f>(O77/O112)*100</f>
        <v>#DIV/0!</v>
      </c>
      <c r="Q77" s="690"/>
      <c r="R77" s="677" t="e">
        <f t="shared" si="2"/>
        <v>#DIV/0!</v>
      </c>
      <c r="S77" s="688">
        <v>28350.000000000004</v>
      </c>
      <c r="U77" s="679">
        <f t="shared" si="15"/>
        <v>0</v>
      </c>
      <c r="V77" s="679">
        <f t="shared" si="16"/>
        <v>0</v>
      </c>
      <c r="W77" s="679">
        <f t="shared" si="17"/>
        <v>0</v>
      </c>
      <c r="X77" s="679">
        <f t="shared" si="18"/>
        <v>0</v>
      </c>
      <c r="Y77" s="679">
        <f t="shared" si="19"/>
        <v>0</v>
      </c>
      <c r="Z77" s="679">
        <f t="shared" si="20"/>
        <v>0</v>
      </c>
      <c r="AA77" s="679">
        <f t="shared" si="21"/>
        <v>0</v>
      </c>
      <c r="AB77" s="679">
        <f t="shared" si="22"/>
        <v>0</v>
      </c>
      <c r="AC77" s="679">
        <f t="shared" si="23"/>
        <v>0</v>
      </c>
      <c r="AD77" s="679">
        <f t="shared" si="24"/>
        <v>0</v>
      </c>
      <c r="AE77" s="610"/>
    </row>
    <row r="78" spans="1:33" ht="24.95" customHeight="1" x14ac:dyDescent="0.2">
      <c r="A78" s="667">
        <v>71</v>
      </c>
      <c r="B78" s="692"/>
      <c r="C78" s="709"/>
      <c r="D78" s="682"/>
      <c r="E78" s="683"/>
      <c r="F78" s="682"/>
      <c r="G78" s="683"/>
      <c r="H78" s="682"/>
      <c r="I78" s="683"/>
      <c r="J78" s="682"/>
      <c r="K78" s="683"/>
      <c r="L78" s="682"/>
      <c r="M78" s="684"/>
      <c r="N78" s="673">
        <f t="shared" si="0"/>
        <v>0</v>
      </c>
      <c r="O78" s="674">
        <f t="shared" si="1"/>
        <v>0</v>
      </c>
      <c r="P78" s="686" t="e">
        <f>(O78/O112)*100</f>
        <v>#DIV/0!</v>
      </c>
      <c r="Q78" s="690"/>
      <c r="R78" s="677" t="e">
        <f t="shared" si="2"/>
        <v>#DIV/0!</v>
      </c>
      <c r="S78" s="688"/>
      <c r="U78" s="679">
        <f t="shared" si="15"/>
        <v>0</v>
      </c>
      <c r="V78" s="679">
        <f t="shared" si="16"/>
        <v>0</v>
      </c>
      <c r="W78" s="679">
        <f t="shared" si="17"/>
        <v>0</v>
      </c>
      <c r="X78" s="679">
        <f t="shared" si="18"/>
        <v>0</v>
      </c>
      <c r="Y78" s="679">
        <f t="shared" si="19"/>
        <v>0</v>
      </c>
      <c r="Z78" s="679">
        <f t="shared" si="20"/>
        <v>0</v>
      </c>
      <c r="AA78" s="679">
        <f t="shared" si="21"/>
        <v>0</v>
      </c>
      <c r="AB78" s="679">
        <f t="shared" si="22"/>
        <v>0</v>
      </c>
      <c r="AC78" s="679">
        <f t="shared" si="23"/>
        <v>0</v>
      </c>
      <c r="AD78" s="679">
        <f t="shared" si="24"/>
        <v>0</v>
      </c>
      <c r="AE78" s="610"/>
    </row>
    <row r="79" spans="1:33" ht="24.95" customHeight="1" x14ac:dyDescent="0.2">
      <c r="A79" s="667">
        <v>72</v>
      </c>
      <c r="B79" s="692"/>
      <c r="C79" s="709"/>
      <c r="D79" s="682"/>
      <c r="E79" s="683"/>
      <c r="F79" s="682"/>
      <c r="G79" s="683"/>
      <c r="H79" s="682"/>
      <c r="I79" s="683"/>
      <c r="J79" s="682"/>
      <c r="K79" s="683"/>
      <c r="L79" s="682"/>
      <c r="M79" s="684"/>
      <c r="N79" s="673">
        <f>SUM(D79:M79)</f>
        <v>0</v>
      </c>
      <c r="O79" s="674">
        <f t="shared" ref="O79:O82" si="25">N79*S79</f>
        <v>0</v>
      </c>
      <c r="P79" s="686" t="e">
        <f>(O79/O112)*100</f>
        <v>#DIV/0!</v>
      </c>
      <c r="Q79" s="690"/>
      <c r="R79" s="677" t="e">
        <f>P79*Q79</f>
        <v>#DIV/0!</v>
      </c>
      <c r="S79" s="688">
        <v>16200</v>
      </c>
      <c r="U79" s="679">
        <f t="shared" si="15"/>
        <v>0</v>
      </c>
      <c r="V79" s="679">
        <f t="shared" si="16"/>
        <v>0</v>
      </c>
      <c r="W79" s="679">
        <f t="shared" si="17"/>
        <v>0</v>
      </c>
      <c r="X79" s="679">
        <f t="shared" si="18"/>
        <v>0</v>
      </c>
      <c r="Y79" s="679">
        <f t="shared" si="19"/>
        <v>0</v>
      </c>
      <c r="Z79" s="679">
        <f t="shared" si="20"/>
        <v>0</v>
      </c>
      <c r="AA79" s="679">
        <f t="shared" si="21"/>
        <v>0</v>
      </c>
      <c r="AB79" s="679">
        <f t="shared" si="22"/>
        <v>0</v>
      </c>
      <c r="AC79" s="679">
        <f t="shared" si="23"/>
        <v>0</v>
      </c>
      <c r="AD79" s="679">
        <f t="shared" si="24"/>
        <v>0</v>
      </c>
      <c r="AE79" s="610"/>
    </row>
    <row r="80" spans="1:33" ht="24.95" customHeight="1" x14ac:dyDescent="0.2">
      <c r="A80" s="667">
        <v>73</v>
      </c>
      <c r="B80" s="692"/>
      <c r="C80" s="709"/>
      <c r="D80" s="682"/>
      <c r="E80" s="710"/>
      <c r="F80" s="687"/>
      <c r="G80" s="710"/>
      <c r="H80" s="687"/>
      <c r="I80" s="710"/>
      <c r="J80" s="687"/>
      <c r="K80" s="710"/>
      <c r="L80" s="687"/>
      <c r="M80" s="711"/>
      <c r="N80" s="712">
        <f>SUM(D80:M80)</f>
        <v>0</v>
      </c>
      <c r="O80" s="674">
        <f t="shared" si="25"/>
        <v>0</v>
      </c>
      <c r="P80" s="686" t="e">
        <f>(O80/O112)*100</f>
        <v>#DIV/0!</v>
      </c>
      <c r="Q80" s="694"/>
      <c r="R80" s="677" t="e">
        <f>P80*Q80</f>
        <v>#DIV/0!</v>
      </c>
      <c r="S80" s="713">
        <v>20250</v>
      </c>
      <c r="U80" s="679">
        <f t="shared" si="15"/>
        <v>0</v>
      </c>
      <c r="V80" s="679">
        <f t="shared" si="16"/>
        <v>0</v>
      </c>
      <c r="W80" s="679">
        <f t="shared" si="17"/>
        <v>0</v>
      </c>
      <c r="X80" s="679">
        <f t="shared" si="18"/>
        <v>0</v>
      </c>
      <c r="Y80" s="679">
        <f t="shared" si="19"/>
        <v>0</v>
      </c>
      <c r="Z80" s="679">
        <f t="shared" si="20"/>
        <v>0</v>
      </c>
      <c r="AA80" s="679">
        <f t="shared" si="21"/>
        <v>0</v>
      </c>
      <c r="AB80" s="679">
        <f t="shared" si="22"/>
        <v>0</v>
      </c>
      <c r="AC80" s="679">
        <f t="shared" si="23"/>
        <v>0</v>
      </c>
      <c r="AD80" s="679">
        <f t="shared" si="24"/>
        <v>0</v>
      </c>
      <c r="AE80" s="610"/>
    </row>
    <row r="81" spans="1:31" ht="24.95" customHeight="1" x14ac:dyDescent="0.2">
      <c r="A81" s="667">
        <v>74</v>
      </c>
      <c r="B81" s="706"/>
      <c r="C81" s="714"/>
      <c r="D81" s="670"/>
      <c r="E81" s="683"/>
      <c r="F81" s="682"/>
      <c r="G81" s="683"/>
      <c r="H81" s="682"/>
      <c r="I81" s="683"/>
      <c r="J81" s="682"/>
      <c r="K81" s="683"/>
      <c r="L81" s="682"/>
      <c r="M81" s="684"/>
      <c r="N81" s="715">
        <f>SUM(D81:M81)</f>
        <v>0</v>
      </c>
      <c r="O81" s="674">
        <f t="shared" si="25"/>
        <v>0</v>
      </c>
      <c r="P81" s="686" t="e">
        <f>(O81/O112)*100</f>
        <v>#DIV/0!</v>
      </c>
      <c r="Q81" s="690"/>
      <c r="R81" s="677" t="e">
        <f>P81*Q81</f>
        <v>#DIV/0!</v>
      </c>
      <c r="S81" s="716"/>
      <c r="U81" s="679">
        <f t="shared" si="15"/>
        <v>0</v>
      </c>
      <c r="V81" s="679">
        <f t="shared" si="16"/>
        <v>0</v>
      </c>
      <c r="W81" s="679">
        <f t="shared" si="17"/>
        <v>0</v>
      </c>
      <c r="X81" s="679">
        <f t="shared" si="18"/>
        <v>0</v>
      </c>
      <c r="Y81" s="679">
        <f t="shared" si="19"/>
        <v>0</v>
      </c>
      <c r="Z81" s="679">
        <f t="shared" si="20"/>
        <v>0</v>
      </c>
      <c r="AA81" s="679">
        <f t="shared" si="21"/>
        <v>0</v>
      </c>
      <c r="AB81" s="679">
        <f t="shared" si="22"/>
        <v>0</v>
      </c>
      <c r="AC81" s="679">
        <f t="shared" si="23"/>
        <v>0</v>
      </c>
      <c r="AD81" s="679">
        <f t="shared" si="24"/>
        <v>0</v>
      </c>
      <c r="AE81" s="610"/>
    </row>
    <row r="82" spans="1:31" ht="24.95" customHeight="1" thickBot="1" x14ac:dyDescent="0.25">
      <c r="A82" s="667">
        <v>75</v>
      </c>
      <c r="B82" s="692"/>
      <c r="C82" s="692"/>
      <c r="D82" s="682"/>
      <c r="E82" s="683"/>
      <c r="F82" s="682"/>
      <c r="G82" s="683"/>
      <c r="H82" s="682"/>
      <c r="I82" s="683"/>
      <c r="J82" s="682"/>
      <c r="K82" s="683"/>
      <c r="L82" s="682"/>
      <c r="M82" s="684"/>
      <c r="N82" s="673">
        <f>SUM(D82:M82)</f>
        <v>0</v>
      </c>
      <c r="O82" s="674">
        <f t="shared" si="25"/>
        <v>0</v>
      </c>
      <c r="P82" s="686" t="e">
        <f>(O82/O112)*100</f>
        <v>#DIV/0!</v>
      </c>
      <c r="Q82" s="717"/>
      <c r="R82" s="704" t="e">
        <f>P82*Q82</f>
        <v>#DIV/0!</v>
      </c>
      <c r="S82" s="689"/>
      <c r="U82" s="679">
        <f t="shared" si="15"/>
        <v>0</v>
      </c>
      <c r="V82" s="679">
        <f t="shared" si="16"/>
        <v>0</v>
      </c>
      <c r="W82" s="679">
        <f t="shared" si="17"/>
        <v>0</v>
      </c>
      <c r="X82" s="679">
        <f t="shared" si="18"/>
        <v>0</v>
      </c>
      <c r="Y82" s="679">
        <f t="shared" si="19"/>
        <v>0</v>
      </c>
      <c r="Z82" s="679">
        <f t="shared" si="20"/>
        <v>0</v>
      </c>
      <c r="AA82" s="679">
        <f t="shared" si="21"/>
        <v>0</v>
      </c>
      <c r="AB82" s="679">
        <f t="shared" si="22"/>
        <v>0</v>
      </c>
      <c r="AC82" s="679">
        <f t="shared" si="23"/>
        <v>0</v>
      </c>
      <c r="AD82" s="679">
        <f t="shared" si="24"/>
        <v>0</v>
      </c>
      <c r="AE82" s="610"/>
    </row>
    <row r="83" spans="1:31" ht="99.95" customHeight="1" thickBot="1" x14ac:dyDescent="0.25">
      <c r="A83" s="718"/>
      <c r="B83" s="459" t="s">
        <v>340</v>
      </c>
      <c r="C83" s="719" t="str">
        <f>B83</f>
        <v>TOTAL FOOD</v>
      </c>
      <c r="D83" s="720">
        <f t="shared" ref="D83:M83" si="26">U83</f>
        <v>0</v>
      </c>
      <c r="E83" s="720">
        <f t="shared" si="26"/>
        <v>0</v>
      </c>
      <c r="F83" s="720">
        <f>W83</f>
        <v>0</v>
      </c>
      <c r="G83" s="720">
        <f t="shared" si="26"/>
        <v>0</v>
      </c>
      <c r="H83" s="720">
        <f t="shared" si="26"/>
        <v>0</v>
      </c>
      <c r="I83" s="720">
        <f t="shared" si="26"/>
        <v>0</v>
      </c>
      <c r="J83" s="720">
        <f t="shared" si="26"/>
        <v>0</v>
      </c>
      <c r="K83" s="720">
        <f t="shared" si="26"/>
        <v>0</v>
      </c>
      <c r="L83" s="720">
        <f t="shared" si="26"/>
        <v>0</v>
      </c>
      <c r="M83" s="720">
        <f t="shared" si="26"/>
        <v>0</v>
      </c>
      <c r="N83" s="721"/>
      <c r="O83" s="722">
        <f>SUM(D83:M83)</f>
        <v>0</v>
      </c>
      <c r="P83" s="723" t="e">
        <f>SUM(P8:P82)/100</f>
        <v>#DIV/0!</v>
      </c>
      <c r="Q83" s="724"/>
      <c r="R83" s="725" t="e">
        <f>SUM(R8:R82)/100</f>
        <v>#DIV/0!</v>
      </c>
      <c r="S83" s="726"/>
      <c r="U83" s="727">
        <f t="shared" ref="U83:AD83" si="27">SUM(U8:U82)</f>
        <v>0</v>
      </c>
      <c r="V83" s="727">
        <f t="shared" si="27"/>
        <v>0</v>
      </c>
      <c r="W83" s="727">
        <f t="shared" si="27"/>
        <v>0</v>
      </c>
      <c r="X83" s="727">
        <f t="shared" si="27"/>
        <v>0</v>
      </c>
      <c r="Y83" s="727">
        <f t="shared" si="27"/>
        <v>0</v>
      </c>
      <c r="Z83" s="727">
        <f t="shared" si="27"/>
        <v>0</v>
      </c>
      <c r="AA83" s="727">
        <f t="shared" si="27"/>
        <v>0</v>
      </c>
      <c r="AB83" s="727">
        <f t="shared" si="27"/>
        <v>0</v>
      </c>
      <c r="AC83" s="727">
        <f t="shared" si="27"/>
        <v>0</v>
      </c>
      <c r="AD83" s="727">
        <f t="shared" si="27"/>
        <v>0</v>
      </c>
      <c r="AE83" s="610"/>
    </row>
    <row r="84" spans="1:31" ht="45" customHeight="1" thickBot="1" x14ac:dyDescent="0.25">
      <c r="A84" s="162"/>
      <c r="B84" s="162"/>
      <c r="C84" s="162"/>
      <c r="D84" s="728"/>
      <c r="E84" s="728"/>
      <c r="F84" s="728"/>
      <c r="G84" s="728"/>
      <c r="H84" s="728"/>
      <c r="I84" s="728"/>
      <c r="J84" s="728"/>
      <c r="K84" s="729"/>
      <c r="L84" s="729"/>
      <c r="M84" s="729"/>
      <c r="N84" s="729"/>
      <c r="O84" s="729"/>
      <c r="P84" s="658"/>
      <c r="Q84" s="730"/>
      <c r="R84" s="731"/>
      <c r="S84" s="729"/>
      <c r="U84" s="732"/>
      <c r="V84" s="732"/>
      <c r="W84" s="732"/>
      <c r="X84" s="732"/>
      <c r="Y84" s="732"/>
      <c r="Z84" s="732"/>
      <c r="AA84" s="732"/>
      <c r="AB84" s="610"/>
      <c r="AC84" s="610"/>
      <c r="AD84" s="610"/>
      <c r="AE84" s="610"/>
    </row>
    <row r="85" spans="1:31" ht="45" customHeight="1" thickBot="1" x14ac:dyDescent="0.35">
      <c r="A85" s="459" t="s">
        <v>89</v>
      </c>
      <c r="B85" s="459" t="s">
        <v>511</v>
      </c>
      <c r="C85" s="719" t="str">
        <f>B85</f>
        <v>BEVERAGES</v>
      </c>
      <c r="D85" s="733"/>
      <c r="E85" s="733"/>
      <c r="F85" s="733"/>
      <c r="G85" s="733"/>
      <c r="H85" s="733"/>
      <c r="I85" s="733"/>
      <c r="J85" s="733"/>
      <c r="K85" s="733"/>
      <c r="L85" s="733"/>
      <c r="M85" s="733"/>
      <c r="N85" s="734"/>
      <c r="O85" s="734"/>
      <c r="P85" s="735"/>
      <c r="Q85" s="736"/>
      <c r="R85" s="737"/>
      <c r="S85" s="734"/>
      <c r="U85" s="732"/>
      <c r="V85" s="732"/>
      <c r="W85" s="732"/>
      <c r="X85" s="732"/>
      <c r="Y85" s="732"/>
      <c r="Z85" s="732"/>
      <c r="AA85" s="732"/>
      <c r="AB85" s="732"/>
      <c r="AC85" s="610"/>
      <c r="AD85" s="610"/>
      <c r="AE85" s="610"/>
    </row>
    <row r="86" spans="1:31" ht="24.95" customHeight="1" x14ac:dyDescent="0.3">
      <c r="A86" s="738">
        <v>1</v>
      </c>
      <c r="B86" s="739" t="s">
        <v>512</v>
      </c>
      <c r="C86" s="740" t="str">
        <f>B86</f>
        <v xml:space="preserve">Air Mineral Botol </v>
      </c>
      <c r="D86" s="741"/>
      <c r="E86" s="742"/>
      <c r="F86" s="743"/>
      <c r="G86" s="742"/>
      <c r="H86" s="743"/>
      <c r="I86" s="742"/>
      <c r="J86" s="743"/>
      <c r="K86" s="742"/>
      <c r="L86" s="743"/>
      <c r="M86" s="742"/>
      <c r="N86" s="744">
        <f>SUM(D86:M86)</f>
        <v>0</v>
      </c>
      <c r="O86" s="745">
        <f t="shared" ref="O86:O110" si="28">N86*S86</f>
        <v>0</v>
      </c>
      <c r="P86" s="746" t="e">
        <f>(O86/O112)*100</f>
        <v>#DIV/0!</v>
      </c>
      <c r="Q86" s="747"/>
      <c r="R86" s="707" t="e">
        <f>P86*Q86</f>
        <v>#DIV/0!</v>
      </c>
      <c r="S86" s="741">
        <v>5400</v>
      </c>
      <c r="U86" s="679">
        <f>D86*S86</f>
        <v>0</v>
      </c>
      <c r="V86" s="679">
        <f>E86*S86</f>
        <v>0</v>
      </c>
      <c r="W86" s="679">
        <f>F86*S86</f>
        <v>0</v>
      </c>
      <c r="X86" s="679">
        <f>G86*S86</f>
        <v>0</v>
      </c>
      <c r="Y86" s="679">
        <f>H86*S86</f>
        <v>0</v>
      </c>
      <c r="Z86" s="679">
        <f>I86*S86</f>
        <v>0</v>
      </c>
      <c r="AA86" s="679">
        <f>J86*S86</f>
        <v>0</v>
      </c>
      <c r="AB86" s="748">
        <f>K86*S86</f>
        <v>0</v>
      </c>
      <c r="AC86" s="679">
        <f>L86*S86</f>
        <v>0</v>
      </c>
      <c r="AD86" s="679">
        <f>M86*S86</f>
        <v>0</v>
      </c>
      <c r="AE86" s="610"/>
    </row>
    <row r="87" spans="1:31" ht="24.95" customHeight="1" x14ac:dyDescent="0.3">
      <c r="A87" s="749">
        <v>2</v>
      </c>
      <c r="B87" s="750" t="s">
        <v>513</v>
      </c>
      <c r="C87" s="740" t="str">
        <f>B87</f>
        <v>Air Mineral Cup</v>
      </c>
      <c r="D87" s="741"/>
      <c r="E87" s="742"/>
      <c r="F87" s="743"/>
      <c r="G87" s="742"/>
      <c r="H87" s="743"/>
      <c r="I87" s="742"/>
      <c r="J87" s="743"/>
      <c r="K87" s="742"/>
      <c r="L87" s="743"/>
      <c r="M87" s="742"/>
      <c r="N87" s="744">
        <f t="shared" ref="N87:N110" si="29">SUM(D87:M87)</f>
        <v>0</v>
      </c>
      <c r="O87" s="745">
        <f t="shared" si="28"/>
        <v>0</v>
      </c>
      <c r="P87" s="746" t="e">
        <f>(O87/O112)*100</f>
        <v>#DIV/0!</v>
      </c>
      <c r="Q87" s="747"/>
      <c r="R87" s="677" t="e">
        <f>P87*Q87</f>
        <v>#DIV/0!</v>
      </c>
      <c r="S87" s="752">
        <v>2700</v>
      </c>
      <c r="T87" s="63" t="s">
        <v>112</v>
      </c>
      <c r="U87" s="679">
        <f t="shared" ref="U87:U110" si="30">D87*S87</f>
        <v>0</v>
      </c>
      <c r="V87" s="679">
        <f t="shared" ref="V87:V110" si="31">E87*S87</f>
        <v>0</v>
      </c>
      <c r="W87" s="679">
        <f t="shared" ref="W87:W110" si="32">F87*S87</f>
        <v>0</v>
      </c>
      <c r="X87" s="679">
        <f t="shared" ref="X87:X110" si="33">G87*S87</f>
        <v>0</v>
      </c>
      <c r="Y87" s="679">
        <f t="shared" ref="Y87:Y110" si="34">H87*S87</f>
        <v>0</v>
      </c>
      <c r="Z87" s="679">
        <f t="shared" ref="Z87:Z110" si="35">I87*S87</f>
        <v>0</v>
      </c>
      <c r="AA87" s="679">
        <f t="shared" ref="AA87:AA110" si="36">J87*S87</f>
        <v>0</v>
      </c>
      <c r="AB87" s="679">
        <f t="shared" ref="AB87:AB110" si="37">K87*S87</f>
        <v>0</v>
      </c>
      <c r="AC87" s="679">
        <f t="shared" ref="AC87:AC110" si="38">L87*S87</f>
        <v>0</v>
      </c>
      <c r="AD87" s="679">
        <f t="shared" ref="AD87:AD110" si="39">M87*S87</f>
        <v>0</v>
      </c>
      <c r="AE87" s="610"/>
    </row>
    <row r="88" spans="1:31" ht="24.95" customHeight="1" x14ac:dyDescent="0.3">
      <c r="A88" s="749">
        <v>3</v>
      </c>
      <c r="B88" s="750" t="s">
        <v>514</v>
      </c>
      <c r="C88" s="740" t="str">
        <f>B88</f>
        <v>Teh Botol</v>
      </c>
      <c r="D88" s="741"/>
      <c r="E88" s="742"/>
      <c r="F88" s="743"/>
      <c r="G88" s="742"/>
      <c r="H88" s="743"/>
      <c r="I88" s="742"/>
      <c r="J88" s="743"/>
      <c r="K88" s="742"/>
      <c r="L88" s="743"/>
      <c r="M88" s="742"/>
      <c r="N88" s="744">
        <f t="shared" si="29"/>
        <v>0</v>
      </c>
      <c r="O88" s="745">
        <f t="shared" si="28"/>
        <v>0</v>
      </c>
      <c r="P88" s="746" t="e">
        <f>(O88/O112)*100</f>
        <v>#DIV/0!</v>
      </c>
      <c r="Q88" s="747"/>
      <c r="R88" s="677" t="e">
        <f t="shared" ref="R88:R110" si="40">P88*Q88</f>
        <v>#DIV/0!</v>
      </c>
      <c r="S88" s="753">
        <v>8100.0000000000009</v>
      </c>
      <c r="U88" s="679">
        <f t="shared" si="30"/>
        <v>0</v>
      </c>
      <c r="V88" s="679">
        <f t="shared" si="31"/>
        <v>0</v>
      </c>
      <c r="W88" s="679">
        <f t="shared" si="32"/>
        <v>0</v>
      </c>
      <c r="X88" s="679">
        <f t="shared" si="33"/>
        <v>0</v>
      </c>
      <c r="Y88" s="679">
        <f t="shared" si="34"/>
        <v>0</v>
      </c>
      <c r="Z88" s="679">
        <f t="shared" si="35"/>
        <v>0</v>
      </c>
      <c r="AA88" s="679">
        <f t="shared" si="36"/>
        <v>0</v>
      </c>
      <c r="AB88" s="679">
        <f t="shared" si="37"/>
        <v>0</v>
      </c>
      <c r="AC88" s="679">
        <f t="shared" si="38"/>
        <v>0</v>
      </c>
      <c r="AD88" s="679">
        <f t="shared" si="39"/>
        <v>0</v>
      </c>
      <c r="AE88" s="610"/>
    </row>
    <row r="89" spans="1:31" ht="24.95" customHeight="1" x14ac:dyDescent="0.3">
      <c r="A89" s="749">
        <v>4</v>
      </c>
      <c r="B89" s="750" t="s">
        <v>515</v>
      </c>
      <c r="C89" s="740" t="str">
        <f>B89</f>
        <v>Teh Sosro Genggam</v>
      </c>
      <c r="D89" s="741"/>
      <c r="E89" s="742"/>
      <c r="F89" s="743"/>
      <c r="G89" s="742"/>
      <c r="H89" s="743"/>
      <c r="I89" s="742"/>
      <c r="J89" s="743"/>
      <c r="K89" s="742"/>
      <c r="L89" s="743"/>
      <c r="M89" s="742"/>
      <c r="N89" s="744">
        <f t="shared" si="29"/>
        <v>0</v>
      </c>
      <c r="O89" s="745">
        <f t="shared" si="28"/>
        <v>0</v>
      </c>
      <c r="P89" s="746" t="e">
        <f>(O89/O112)*100</f>
        <v>#DIV/0!</v>
      </c>
      <c r="Q89" s="747"/>
      <c r="R89" s="677" t="e">
        <f t="shared" si="40"/>
        <v>#DIV/0!</v>
      </c>
      <c r="S89" s="753">
        <v>8100</v>
      </c>
      <c r="U89" s="679">
        <f t="shared" si="30"/>
        <v>0</v>
      </c>
      <c r="V89" s="679">
        <f t="shared" si="31"/>
        <v>0</v>
      </c>
      <c r="W89" s="679">
        <f t="shared" si="32"/>
        <v>0</v>
      </c>
      <c r="X89" s="679">
        <f t="shared" si="33"/>
        <v>0</v>
      </c>
      <c r="Y89" s="679">
        <f t="shared" si="34"/>
        <v>0</v>
      </c>
      <c r="Z89" s="679">
        <f t="shared" si="35"/>
        <v>0</v>
      </c>
      <c r="AA89" s="679">
        <f t="shared" si="36"/>
        <v>0</v>
      </c>
      <c r="AB89" s="679">
        <f t="shared" si="37"/>
        <v>0</v>
      </c>
      <c r="AC89" s="679">
        <f t="shared" si="38"/>
        <v>0</v>
      </c>
      <c r="AD89" s="679">
        <f t="shared" si="39"/>
        <v>0</v>
      </c>
      <c r="AE89" s="610"/>
    </row>
    <row r="90" spans="1:31" ht="24.95" customHeight="1" x14ac:dyDescent="0.3">
      <c r="A90" s="749">
        <v>5</v>
      </c>
      <c r="B90" s="750" t="s">
        <v>516</v>
      </c>
      <c r="C90" s="740"/>
      <c r="D90" s="754"/>
      <c r="E90" s="755"/>
      <c r="F90" s="753"/>
      <c r="G90" s="755"/>
      <c r="H90" s="753"/>
      <c r="I90" s="755"/>
      <c r="J90" s="753"/>
      <c r="K90" s="755"/>
      <c r="L90" s="753"/>
      <c r="M90" s="755"/>
      <c r="N90" s="744">
        <f t="shared" si="29"/>
        <v>0</v>
      </c>
      <c r="O90" s="745">
        <f t="shared" si="28"/>
        <v>0</v>
      </c>
      <c r="P90" s="756" t="e">
        <f>(O90/O112)*100</f>
        <v>#DIV/0!</v>
      </c>
      <c r="Q90" s="747"/>
      <c r="R90" s="677" t="e">
        <f t="shared" si="40"/>
        <v>#DIV/0!</v>
      </c>
      <c r="S90" s="743"/>
      <c r="U90" s="679">
        <f t="shared" si="30"/>
        <v>0</v>
      </c>
      <c r="V90" s="679">
        <f t="shared" si="31"/>
        <v>0</v>
      </c>
      <c r="W90" s="679">
        <f t="shared" si="32"/>
        <v>0</v>
      </c>
      <c r="X90" s="679">
        <f t="shared" si="33"/>
        <v>0</v>
      </c>
      <c r="Y90" s="679">
        <f t="shared" si="34"/>
        <v>0</v>
      </c>
      <c r="Z90" s="679">
        <f t="shared" si="35"/>
        <v>0</v>
      </c>
      <c r="AA90" s="679">
        <f t="shared" si="36"/>
        <v>0</v>
      </c>
      <c r="AB90" s="679">
        <f t="shared" si="37"/>
        <v>0</v>
      </c>
      <c r="AC90" s="679">
        <f t="shared" si="38"/>
        <v>0</v>
      </c>
      <c r="AD90" s="679">
        <f t="shared" si="39"/>
        <v>0</v>
      </c>
      <c r="AE90" s="610"/>
    </row>
    <row r="91" spans="1:31" ht="24.95" customHeight="1" x14ac:dyDescent="0.3">
      <c r="A91" s="749">
        <v>6</v>
      </c>
      <c r="B91" s="750" t="s">
        <v>518</v>
      </c>
      <c r="C91" s="740" t="s">
        <v>519</v>
      </c>
      <c r="D91" s="754"/>
      <c r="E91" s="755"/>
      <c r="F91" s="753"/>
      <c r="G91" s="755"/>
      <c r="H91" s="753"/>
      <c r="I91" s="755"/>
      <c r="J91" s="753"/>
      <c r="K91" s="755"/>
      <c r="L91" s="753"/>
      <c r="M91" s="755"/>
      <c r="N91" s="744">
        <f t="shared" si="29"/>
        <v>0</v>
      </c>
      <c r="O91" s="745">
        <f t="shared" si="28"/>
        <v>0</v>
      </c>
      <c r="P91" s="756" t="e">
        <f>(O91/O112)*100</f>
        <v>#DIV/0!</v>
      </c>
      <c r="Q91" s="747"/>
      <c r="R91" s="677" t="e">
        <f t="shared" si="40"/>
        <v>#DIV/0!</v>
      </c>
      <c r="S91" s="743">
        <v>4050.0000000000005</v>
      </c>
      <c r="U91" s="679">
        <f t="shared" si="30"/>
        <v>0</v>
      </c>
      <c r="V91" s="679">
        <f t="shared" si="31"/>
        <v>0</v>
      </c>
      <c r="W91" s="679">
        <f t="shared" si="32"/>
        <v>0</v>
      </c>
      <c r="X91" s="679">
        <f t="shared" si="33"/>
        <v>0</v>
      </c>
      <c r="Y91" s="679">
        <f t="shared" si="34"/>
        <v>0</v>
      </c>
      <c r="Z91" s="679">
        <f t="shared" si="35"/>
        <v>0</v>
      </c>
      <c r="AA91" s="679">
        <f t="shared" si="36"/>
        <v>0</v>
      </c>
      <c r="AB91" s="679">
        <f t="shared" si="37"/>
        <v>0</v>
      </c>
      <c r="AC91" s="679">
        <f t="shared" si="38"/>
        <v>0</v>
      </c>
      <c r="AD91" s="679">
        <f t="shared" si="39"/>
        <v>0</v>
      </c>
      <c r="AE91" s="610"/>
    </row>
    <row r="92" spans="1:31" ht="24.95" customHeight="1" x14ac:dyDescent="0.3">
      <c r="A92" s="749"/>
      <c r="B92" s="750" t="s">
        <v>520</v>
      </c>
      <c r="C92" s="740"/>
      <c r="D92" s="754"/>
      <c r="E92" s="755"/>
      <c r="F92" s="753"/>
      <c r="G92" s="755"/>
      <c r="H92" s="753"/>
      <c r="I92" s="755"/>
      <c r="J92" s="753"/>
      <c r="K92" s="755"/>
      <c r="L92" s="753"/>
      <c r="M92" s="755"/>
      <c r="N92" s="744"/>
      <c r="O92" s="745">
        <f t="shared" si="28"/>
        <v>0</v>
      </c>
      <c r="P92" s="756" t="e">
        <f>(O92/O112)*100</f>
        <v>#DIV/0!</v>
      </c>
      <c r="Q92" s="747"/>
      <c r="R92" s="677" t="e">
        <f t="shared" si="40"/>
        <v>#DIV/0!</v>
      </c>
      <c r="S92" s="757"/>
      <c r="U92" s="679">
        <f t="shared" si="30"/>
        <v>0</v>
      </c>
      <c r="V92" s="679">
        <f t="shared" si="31"/>
        <v>0</v>
      </c>
      <c r="W92" s="679">
        <f t="shared" si="32"/>
        <v>0</v>
      </c>
      <c r="X92" s="679">
        <f t="shared" si="33"/>
        <v>0</v>
      </c>
      <c r="Y92" s="679">
        <f t="shared" si="34"/>
        <v>0</v>
      </c>
      <c r="Z92" s="679">
        <f t="shared" si="35"/>
        <v>0</v>
      </c>
      <c r="AA92" s="679">
        <f t="shared" si="36"/>
        <v>0</v>
      </c>
      <c r="AB92" s="679">
        <f t="shared" si="37"/>
        <v>0</v>
      </c>
      <c r="AC92" s="679">
        <f t="shared" si="38"/>
        <v>0</v>
      </c>
      <c r="AD92" s="679">
        <f t="shared" si="39"/>
        <v>0</v>
      </c>
      <c r="AE92" s="610"/>
    </row>
    <row r="93" spans="1:31" ht="24.95" customHeight="1" x14ac:dyDescent="0.3">
      <c r="A93" s="749">
        <v>7</v>
      </c>
      <c r="B93" s="750" t="s">
        <v>521</v>
      </c>
      <c r="C93" s="740" t="s">
        <v>522</v>
      </c>
      <c r="D93" s="754"/>
      <c r="E93" s="755"/>
      <c r="F93" s="753"/>
      <c r="G93" s="755"/>
      <c r="H93" s="753"/>
      <c r="I93" s="755"/>
      <c r="J93" s="753"/>
      <c r="K93" s="755"/>
      <c r="L93" s="753"/>
      <c r="M93" s="755"/>
      <c r="N93" s="744">
        <f t="shared" si="29"/>
        <v>0</v>
      </c>
      <c r="O93" s="745">
        <f t="shared" si="28"/>
        <v>0</v>
      </c>
      <c r="P93" s="756" t="e">
        <f>(O93/O112)*100</f>
        <v>#DIV/0!</v>
      </c>
      <c r="Q93" s="747"/>
      <c r="R93" s="677" t="e">
        <f t="shared" si="40"/>
        <v>#DIV/0!</v>
      </c>
      <c r="S93" s="753">
        <v>12150</v>
      </c>
      <c r="U93" s="679">
        <f t="shared" si="30"/>
        <v>0</v>
      </c>
      <c r="V93" s="679">
        <f t="shared" si="31"/>
        <v>0</v>
      </c>
      <c r="W93" s="679">
        <f t="shared" si="32"/>
        <v>0</v>
      </c>
      <c r="X93" s="679">
        <f t="shared" si="33"/>
        <v>0</v>
      </c>
      <c r="Y93" s="679">
        <f t="shared" si="34"/>
        <v>0</v>
      </c>
      <c r="Z93" s="679">
        <f t="shared" si="35"/>
        <v>0</v>
      </c>
      <c r="AA93" s="679">
        <f t="shared" si="36"/>
        <v>0</v>
      </c>
      <c r="AB93" s="679">
        <f t="shared" si="37"/>
        <v>0</v>
      </c>
      <c r="AC93" s="679">
        <f t="shared" si="38"/>
        <v>0</v>
      </c>
      <c r="AD93" s="679">
        <f t="shared" si="39"/>
        <v>0</v>
      </c>
      <c r="AE93" s="610"/>
    </row>
    <row r="94" spans="1:31" ht="24.95" customHeight="1" x14ac:dyDescent="0.3">
      <c r="A94" s="749">
        <v>8</v>
      </c>
      <c r="B94" s="750"/>
      <c r="C94" s="739" t="s">
        <v>523</v>
      </c>
      <c r="D94" s="754"/>
      <c r="E94" s="755"/>
      <c r="F94" s="753"/>
      <c r="G94" s="755"/>
      <c r="H94" s="753"/>
      <c r="I94" s="755"/>
      <c r="J94" s="753"/>
      <c r="K94" s="755"/>
      <c r="L94" s="753"/>
      <c r="M94" s="755"/>
      <c r="N94" s="744">
        <f t="shared" si="29"/>
        <v>0</v>
      </c>
      <c r="O94" s="745">
        <f t="shared" si="28"/>
        <v>0</v>
      </c>
      <c r="P94" s="756" t="e">
        <f>(O94/O112)*100</f>
        <v>#DIV/0!</v>
      </c>
      <c r="Q94" s="747"/>
      <c r="R94" s="677" t="e">
        <f t="shared" si="40"/>
        <v>#DIV/0!</v>
      </c>
      <c r="S94" s="753">
        <v>10800</v>
      </c>
      <c r="U94" s="679">
        <f t="shared" si="30"/>
        <v>0</v>
      </c>
      <c r="V94" s="679">
        <f t="shared" si="31"/>
        <v>0</v>
      </c>
      <c r="W94" s="679">
        <f t="shared" si="32"/>
        <v>0</v>
      </c>
      <c r="X94" s="679">
        <f t="shared" si="33"/>
        <v>0</v>
      </c>
      <c r="Y94" s="679">
        <f t="shared" si="34"/>
        <v>0</v>
      </c>
      <c r="Z94" s="679">
        <f t="shared" si="35"/>
        <v>0</v>
      </c>
      <c r="AA94" s="679">
        <f t="shared" si="36"/>
        <v>0</v>
      </c>
      <c r="AB94" s="679">
        <f t="shared" si="37"/>
        <v>0</v>
      </c>
      <c r="AC94" s="679">
        <f t="shared" si="38"/>
        <v>0</v>
      </c>
      <c r="AD94" s="679">
        <f t="shared" si="39"/>
        <v>0</v>
      </c>
      <c r="AE94" s="610"/>
    </row>
    <row r="95" spans="1:31" ht="24.95" customHeight="1" x14ac:dyDescent="0.3">
      <c r="A95" s="749">
        <v>9</v>
      </c>
      <c r="B95" s="750" t="s">
        <v>524</v>
      </c>
      <c r="C95" s="740" t="s">
        <v>525</v>
      </c>
      <c r="D95" s="754"/>
      <c r="E95" s="755"/>
      <c r="F95" s="753"/>
      <c r="G95" s="755"/>
      <c r="H95" s="753"/>
      <c r="I95" s="755"/>
      <c r="J95" s="753"/>
      <c r="K95" s="755"/>
      <c r="L95" s="753"/>
      <c r="M95" s="755"/>
      <c r="N95" s="744">
        <f t="shared" si="29"/>
        <v>0</v>
      </c>
      <c r="O95" s="745">
        <f t="shared" si="28"/>
        <v>0</v>
      </c>
      <c r="P95" s="756" t="e">
        <f>(O95/O112)*100</f>
        <v>#DIV/0!</v>
      </c>
      <c r="Q95" s="747"/>
      <c r="R95" s="677" t="e">
        <f t="shared" si="40"/>
        <v>#DIV/0!</v>
      </c>
      <c r="S95" s="753">
        <v>9450</v>
      </c>
      <c r="U95" s="679">
        <f t="shared" si="30"/>
        <v>0</v>
      </c>
      <c r="V95" s="679">
        <f t="shared" si="31"/>
        <v>0</v>
      </c>
      <c r="W95" s="679">
        <f t="shared" si="32"/>
        <v>0</v>
      </c>
      <c r="X95" s="679">
        <f t="shared" si="33"/>
        <v>0</v>
      </c>
      <c r="Y95" s="679">
        <f t="shared" si="34"/>
        <v>0</v>
      </c>
      <c r="Z95" s="679">
        <f t="shared" si="35"/>
        <v>0</v>
      </c>
      <c r="AA95" s="679">
        <f t="shared" si="36"/>
        <v>0</v>
      </c>
      <c r="AB95" s="679">
        <f t="shared" si="37"/>
        <v>0</v>
      </c>
      <c r="AC95" s="679">
        <f t="shared" si="38"/>
        <v>0</v>
      </c>
      <c r="AD95" s="679">
        <f t="shared" si="39"/>
        <v>0</v>
      </c>
      <c r="AE95" s="610"/>
    </row>
    <row r="96" spans="1:31" ht="24.95" customHeight="1" x14ac:dyDescent="0.3">
      <c r="A96" s="749">
        <v>10</v>
      </c>
      <c r="B96" s="750" t="s">
        <v>526</v>
      </c>
      <c r="C96" s="740" t="s">
        <v>527</v>
      </c>
      <c r="D96" s="754"/>
      <c r="E96" s="755"/>
      <c r="F96" s="753"/>
      <c r="G96" s="755"/>
      <c r="H96" s="753"/>
      <c r="I96" s="755"/>
      <c r="J96" s="753"/>
      <c r="K96" s="755"/>
      <c r="L96" s="753"/>
      <c r="M96" s="755"/>
      <c r="N96" s="744">
        <f t="shared" si="29"/>
        <v>0</v>
      </c>
      <c r="O96" s="745">
        <f t="shared" si="28"/>
        <v>0</v>
      </c>
      <c r="P96" s="756" t="e">
        <f>(O96/O112)*100</f>
        <v>#DIV/0!</v>
      </c>
      <c r="Q96" s="747"/>
      <c r="R96" s="677" t="e">
        <f t="shared" si="40"/>
        <v>#DIV/0!</v>
      </c>
      <c r="S96" s="753">
        <v>12150</v>
      </c>
      <c r="U96" s="679">
        <f t="shared" si="30"/>
        <v>0</v>
      </c>
      <c r="V96" s="679">
        <f t="shared" si="31"/>
        <v>0</v>
      </c>
      <c r="W96" s="679">
        <f t="shared" si="32"/>
        <v>0</v>
      </c>
      <c r="X96" s="679">
        <f t="shared" si="33"/>
        <v>0</v>
      </c>
      <c r="Y96" s="679">
        <f t="shared" si="34"/>
        <v>0</v>
      </c>
      <c r="Z96" s="679">
        <f t="shared" si="35"/>
        <v>0</v>
      </c>
      <c r="AA96" s="679">
        <f t="shared" si="36"/>
        <v>0</v>
      </c>
      <c r="AB96" s="679">
        <f t="shared" si="37"/>
        <v>0</v>
      </c>
      <c r="AC96" s="679">
        <f t="shared" si="38"/>
        <v>0</v>
      </c>
      <c r="AD96" s="679">
        <f t="shared" si="39"/>
        <v>0</v>
      </c>
      <c r="AE96" s="610"/>
    </row>
    <row r="97" spans="1:31" ht="24.95" customHeight="1" x14ac:dyDescent="0.3">
      <c r="A97" s="749">
        <v>11</v>
      </c>
      <c r="B97" s="750" t="s">
        <v>528</v>
      </c>
      <c r="C97" s="740" t="s">
        <v>529</v>
      </c>
      <c r="D97" s="754"/>
      <c r="E97" s="755"/>
      <c r="F97" s="753"/>
      <c r="G97" s="755"/>
      <c r="H97" s="753"/>
      <c r="I97" s="755"/>
      <c r="J97" s="753"/>
      <c r="K97" s="755"/>
      <c r="L97" s="753"/>
      <c r="M97" s="755"/>
      <c r="N97" s="744">
        <f t="shared" si="29"/>
        <v>0</v>
      </c>
      <c r="O97" s="745">
        <f t="shared" si="28"/>
        <v>0</v>
      </c>
      <c r="P97" s="756" t="e">
        <f>(O97/O112)*100</f>
        <v>#DIV/0!</v>
      </c>
      <c r="Q97" s="747"/>
      <c r="R97" s="677" t="e">
        <f t="shared" si="40"/>
        <v>#DIV/0!</v>
      </c>
      <c r="S97" s="753">
        <v>20250</v>
      </c>
      <c r="U97" s="679">
        <f t="shared" si="30"/>
        <v>0</v>
      </c>
      <c r="V97" s="679">
        <f t="shared" si="31"/>
        <v>0</v>
      </c>
      <c r="W97" s="679">
        <f t="shared" si="32"/>
        <v>0</v>
      </c>
      <c r="X97" s="679">
        <f t="shared" si="33"/>
        <v>0</v>
      </c>
      <c r="Y97" s="679">
        <f t="shared" si="34"/>
        <v>0</v>
      </c>
      <c r="Z97" s="679">
        <f t="shared" si="35"/>
        <v>0</v>
      </c>
      <c r="AA97" s="679">
        <f t="shared" si="36"/>
        <v>0</v>
      </c>
      <c r="AB97" s="679">
        <f t="shared" si="37"/>
        <v>0</v>
      </c>
      <c r="AC97" s="679">
        <f t="shared" si="38"/>
        <v>0</v>
      </c>
      <c r="AD97" s="679">
        <f t="shared" si="39"/>
        <v>0</v>
      </c>
      <c r="AE97" s="610"/>
    </row>
    <row r="98" spans="1:31" ht="24.95" customHeight="1" x14ac:dyDescent="0.3">
      <c r="A98" s="749">
        <v>12</v>
      </c>
      <c r="B98" s="750" t="s">
        <v>530</v>
      </c>
      <c r="C98" s="740"/>
      <c r="D98" s="754"/>
      <c r="E98" s="755"/>
      <c r="F98" s="753"/>
      <c r="G98" s="755"/>
      <c r="H98" s="753"/>
      <c r="I98" s="755"/>
      <c r="J98" s="753"/>
      <c r="K98" s="755"/>
      <c r="L98" s="753"/>
      <c r="M98" s="755"/>
      <c r="N98" s="744">
        <f t="shared" si="29"/>
        <v>0</v>
      </c>
      <c r="O98" s="745">
        <f t="shared" si="28"/>
        <v>0</v>
      </c>
      <c r="P98" s="756" t="e">
        <f>(O98/O112)*100</f>
        <v>#DIV/0!</v>
      </c>
      <c r="Q98" s="747"/>
      <c r="R98" s="677" t="e">
        <f t="shared" si="40"/>
        <v>#DIV/0!</v>
      </c>
      <c r="S98" s="753"/>
      <c r="U98" s="679">
        <f t="shared" si="30"/>
        <v>0</v>
      </c>
      <c r="V98" s="679">
        <f t="shared" si="31"/>
        <v>0</v>
      </c>
      <c r="W98" s="679">
        <f t="shared" si="32"/>
        <v>0</v>
      </c>
      <c r="X98" s="679">
        <f t="shared" si="33"/>
        <v>0</v>
      </c>
      <c r="Y98" s="679">
        <f t="shared" si="34"/>
        <v>0</v>
      </c>
      <c r="Z98" s="679">
        <f t="shared" si="35"/>
        <v>0</v>
      </c>
      <c r="AA98" s="679">
        <f t="shared" si="36"/>
        <v>0</v>
      </c>
      <c r="AB98" s="679">
        <f t="shared" si="37"/>
        <v>0</v>
      </c>
      <c r="AC98" s="679">
        <f t="shared" si="38"/>
        <v>0</v>
      </c>
      <c r="AD98" s="679">
        <f t="shared" si="39"/>
        <v>0</v>
      </c>
      <c r="AE98" s="610"/>
    </row>
    <row r="99" spans="1:31" ht="24.95" customHeight="1" x14ac:dyDescent="0.3">
      <c r="A99" s="749">
        <v>13</v>
      </c>
      <c r="B99" s="750" t="s">
        <v>532</v>
      </c>
      <c r="C99" s="740" t="s">
        <v>870</v>
      </c>
      <c r="D99" s="754"/>
      <c r="E99" s="755"/>
      <c r="F99" s="753"/>
      <c r="G99" s="755"/>
      <c r="H99" s="753"/>
      <c r="I99" s="755"/>
      <c r="J99" s="753"/>
      <c r="K99" s="755"/>
      <c r="L99" s="753"/>
      <c r="M99" s="755"/>
      <c r="N99" s="744">
        <f t="shared" si="29"/>
        <v>0</v>
      </c>
      <c r="O99" s="745">
        <f t="shared" si="28"/>
        <v>0</v>
      </c>
      <c r="P99" s="756" t="e">
        <f>(O99/O112)*100</f>
        <v>#DIV/0!</v>
      </c>
      <c r="Q99" s="747"/>
      <c r="R99" s="677" t="e">
        <f t="shared" si="40"/>
        <v>#DIV/0!</v>
      </c>
      <c r="S99" s="753">
        <v>6740</v>
      </c>
      <c r="U99" s="679">
        <f t="shared" si="30"/>
        <v>0</v>
      </c>
      <c r="V99" s="679">
        <f t="shared" si="31"/>
        <v>0</v>
      </c>
      <c r="W99" s="679">
        <f t="shared" si="32"/>
        <v>0</v>
      </c>
      <c r="X99" s="679">
        <f t="shared" si="33"/>
        <v>0</v>
      </c>
      <c r="Y99" s="679">
        <f t="shared" si="34"/>
        <v>0</v>
      </c>
      <c r="Z99" s="679">
        <f t="shared" si="35"/>
        <v>0</v>
      </c>
      <c r="AA99" s="679">
        <f t="shared" si="36"/>
        <v>0</v>
      </c>
      <c r="AB99" s="679">
        <f t="shared" si="37"/>
        <v>0</v>
      </c>
      <c r="AC99" s="679">
        <f t="shared" si="38"/>
        <v>0</v>
      </c>
      <c r="AD99" s="679">
        <f t="shared" si="39"/>
        <v>0</v>
      </c>
      <c r="AE99" s="610"/>
    </row>
    <row r="100" spans="1:31" ht="24.95" customHeight="1" x14ac:dyDescent="0.3">
      <c r="A100" s="749">
        <v>14</v>
      </c>
      <c r="B100" s="750" t="s">
        <v>534</v>
      </c>
      <c r="C100" s="740"/>
      <c r="D100" s="754"/>
      <c r="E100" s="755"/>
      <c r="F100" s="753"/>
      <c r="G100" s="755"/>
      <c r="H100" s="753"/>
      <c r="I100" s="755"/>
      <c r="J100" s="753"/>
      <c r="K100" s="755"/>
      <c r="L100" s="753"/>
      <c r="M100" s="755"/>
      <c r="N100" s="744">
        <f t="shared" si="29"/>
        <v>0</v>
      </c>
      <c r="O100" s="745">
        <f t="shared" si="28"/>
        <v>0</v>
      </c>
      <c r="P100" s="756" t="e">
        <f>(O100/O112)*100</f>
        <v>#DIV/0!</v>
      </c>
      <c r="Q100" s="747"/>
      <c r="R100" s="677" t="e">
        <f t="shared" si="40"/>
        <v>#DIV/0!</v>
      </c>
      <c r="S100" s="753"/>
      <c r="U100" s="679">
        <f t="shared" si="30"/>
        <v>0</v>
      </c>
      <c r="V100" s="679">
        <f t="shared" si="31"/>
        <v>0</v>
      </c>
      <c r="W100" s="679">
        <f t="shared" si="32"/>
        <v>0</v>
      </c>
      <c r="X100" s="679">
        <f t="shared" si="33"/>
        <v>0</v>
      </c>
      <c r="Y100" s="679">
        <f t="shared" si="34"/>
        <v>0</v>
      </c>
      <c r="Z100" s="679">
        <f t="shared" si="35"/>
        <v>0</v>
      </c>
      <c r="AA100" s="679">
        <f t="shared" si="36"/>
        <v>0</v>
      </c>
      <c r="AB100" s="679">
        <f t="shared" si="37"/>
        <v>0</v>
      </c>
      <c r="AC100" s="679">
        <f t="shared" si="38"/>
        <v>0</v>
      </c>
      <c r="AD100" s="679">
        <f t="shared" si="39"/>
        <v>0</v>
      </c>
      <c r="AE100" s="610"/>
    </row>
    <row r="101" spans="1:31" ht="24.95" customHeight="1" x14ac:dyDescent="0.3">
      <c r="A101" s="749">
        <v>15</v>
      </c>
      <c r="B101" s="750" t="s">
        <v>536</v>
      </c>
      <c r="C101" s="740"/>
      <c r="D101" s="758"/>
      <c r="E101" s="759"/>
      <c r="F101" s="752"/>
      <c r="G101" s="759"/>
      <c r="H101" s="752"/>
      <c r="I101" s="759"/>
      <c r="J101" s="752"/>
      <c r="K101" s="759"/>
      <c r="L101" s="752"/>
      <c r="M101" s="759"/>
      <c r="N101" s="744">
        <f t="shared" si="29"/>
        <v>0</v>
      </c>
      <c r="O101" s="745">
        <f t="shared" si="28"/>
        <v>0</v>
      </c>
      <c r="P101" s="760" t="e">
        <f>(O101/O112)*100</f>
        <v>#DIV/0!</v>
      </c>
      <c r="Q101" s="761"/>
      <c r="R101" s="677" t="e">
        <f t="shared" si="40"/>
        <v>#DIV/0!</v>
      </c>
      <c r="S101" s="753"/>
      <c r="U101" s="679">
        <f t="shared" si="30"/>
        <v>0</v>
      </c>
      <c r="V101" s="679">
        <f t="shared" si="31"/>
        <v>0</v>
      </c>
      <c r="W101" s="679">
        <f t="shared" si="32"/>
        <v>0</v>
      </c>
      <c r="X101" s="679">
        <f t="shared" si="33"/>
        <v>0</v>
      </c>
      <c r="Y101" s="679">
        <f t="shared" si="34"/>
        <v>0</v>
      </c>
      <c r="Z101" s="679">
        <f t="shared" si="35"/>
        <v>0</v>
      </c>
      <c r="AA101" s="679">
        <f t="shared" si="36"/>
        <v>0</v>
      </c>
      <c r="AB101" s="679">
        <f t="shared" si="37"/>
        <v>0</v>
      </c>
      <c r="AC101" s="679">
        <f t="shared" si="38"/>
        <v>0</v>
      </c>
      <c r="AD101" s="679">
        <f t="shared" si="39"/>
        <v>0</v>
      </c>
      <c r="AE101" s="610"/>
    </row>
    <row r="102" spans="1:31" ht="24.95" customHeight="1" x14ac:dyDescent="0.3">
      <c r="A102" s="749">
        <v>16</v>
      </c>
      <c r="B102" s="750" t="s">
        <v>537</v>
      </c>
      <c r="C102" s="740"/>
      <c r="D102" s="758"/>
      <c r="E102" s="759"/>
      <c r="F102" s="752"/>
      <c r="G102" s="759"/>
      <c r="H102" s="752"/>
      <c r="I102" s="759"/>
      <c r="J102" s="752"/>
      <c r="K102" s="759"/>
      <c r="L102" s="752"/>
      <c r="M102" s="759"/>
      <c r="N102" s="744">
        <f t="shared" si="29"/>
        <v>0</v>
      </c>
      <c r="O102" s="745">
        <f t="shared" si="28"/>
        <v>0</v>
      </c>
      <c r="P102" s="760" t="e">
        <f>(O102/O112)*100</f>
        <v>#DIV/0!</v>
      </c>
      <c r="Q102" s="761"/>
      <c r="R102" s="677" t="e">
        <f t="shared" si="40"/>
        <v>#DIV/0!</v>
      </c>
      <c r="S102" s="753"/>
      <c r="U102" s="679">
        <f t="shared" si="30"/>
        <v>0</v>
      </c>
      <c r="V102" s="679">
        <f t="shared" si="31"/>
        <v>0</v>
      </c>
      <c r="W102" s="679">
        <f t="shared" si="32"/>
        <v>0</v>
      </c>
      <c r="X102" s="679">
        <f t="shared" si="33"/>
        <v>0</v>
      </c>
      <c r="Y102" s="679">
        <f t="shared" si="34"/>
        <v>0</v>
      </c>
      <c r="Z102" s="679">
        <f t="shared" si="35"/>
        <v>0</v>
      </c>
      <c r="AA102" s="679">
        <f t="shared" si="36"/>
        <v>0</v>
      </c>
      <c r="AB102" s="679">
        <f t="shared" si="37"/>
        <v>0</v>
      </c>
      <c r="AC102" s="679">
        <f t="shared" si="38"/>
        <v>0</v>
      </c>
      <c r="AD102" s="679">
        <f t="shared" si="39"/>
        <v>0</v>
      </c>
      <c r="AE102" s="610"/>
    </row>
    <row r="103" spans="1:31" ht="24.95" customHeight="1" x14ac:dyDescent="0.3">
      <c r="A103" s="749"/>
      <c r="B103" s="750" t="s">
        <v>538</v>
      </c>
      <c r="C103" s="740"/>
      <c r="D103" s="758"/>
      <c r="E103" s="759"/>
      <c r="F103" s="752"/>
      <c r="G103" s="759"/>
      <c r="H103" s="752"/>
      <c r="I103" s="759"/>
      <c r="J103" s="752"/>
      <c r="K103" s="759"/>
      <c r="L103" s="752"/>
      <c r="M103" s="759"/>
      <c r="N103" s="744">
        <f t="shared" si="29"/>
        <v>0</v>
      </c>
      <c r="O103" s="745">
        <f t="shared" si="28"/>
        <v>0</v>
      </c>
      <c r="P103" s="760" t="e">
        <f>(O103/O112)*100</f>
        <v>#DIV/0!</v>
      </c>
      <c r="Q103" s="761"/>
      <c r="R103" s="677" t="e">
        <f t="shared" si="40"/>
        <v>#DIV/0!</v>
      </c>
      <c r="S103" s="753"/>
      <c r="U103" s="679">
        <f t="shared" si="30"/>
        <v>0</v>
      </c>
      <c r="V103" s="679">
        <f t="shared" si="31"/>
        <v>0</v>
      </c>
      <c r="W103" s="679">
        <f t="shared" si="32"/>
        <v>0</v>
      </c>
      <c r="X103" s="679">
        <f t="shared" si="33"/>
        <v>0</v>
      </c>
      <c r="Y103" s="679">
        <f t="shared" si="34"/>
        <v>0</v>
      </c>
      <c r="Z103" s="679">
        <f t="shared" si="35"/>
        <v>0</v>
      </c>
      <c r="AA103" s="679">
        <f t="shared" si="36"/>
        <v>0</v>
      </c>
      <c r="AB103" s="679">
        <f t="shared" si="37"/>
        <v>0</v>
      </c>
      <c r="AC103" s="679">
        <f t="shared" si="38"/>
        <v>0</v>
      </c>
      <c r="AD103" s="679">
        <f t="shared" si="39"/>
        <v>0</v>
      </c>
      <c r="AE103" s="610"/>
    </row>
    <row r="104" spans="1:31" ht="24.95" customHeight="1" x14ac:dyDescent="0.3">
      <c r="A104" s="749"/>
      <c r="B104" s="750" t="s">
        <v>539</v>
      </c>
      <c r="C104" s="740"/>
      <c r="D104" s="754"/>
      <c r="E104" s="755"/>
      <c r="F104" s="753"/>
      <c r="G104" s="755"/>
      <c r="H104" s="753"/>
      <c r="I104" s="755"/>
      <c r="J104" s="753"/>
      <c r="K104" s="755"/>
      <c r="L104" s="753"/>
      <c r="M104" s="755"/>
      <c r="N104" s="744">
        <f t="shared" si="29"/>
        <v>0</v>
      </c>
      <c r="O104" s="745">
        <f t="shared" si="28"/>
        <v>0</v>
      </c>
      <c r="P104" s="756" t="e">
        <f>(O104/O112)*100</f>
        <v>#DIV/0!</v>
      </c>
      <c r="Q104" s="751"/>
      <c r="R104" s="677" t="e">
        <f t="shared" si="40"/>
        <v>#DIV/0!</v>
      </c>
      <c r="S104" s="753"/>
      <c r="U104" s="679">
        <f t="shared" si="30"/>
        <v>0</v>
      </c>
      <c r="V104" s="679">
        <f t="shared" si="31"/>
        <v>0</v>
      </c>
      <c r="W104" s="679">
        <f t="shared" si="32"/>
        <v>0</v>
      </c>
      <c r="X104" s="679">
        <f t="shared" si="33"/>
        <v>0</v>
      </c>
      <c r="Y104" s="679">
        <f t="shared" si="34"/>
        <v>0</v>
      </c>
      <c r="Z104" s="679">
        <f t="shared" si="35"/>
        <v>0</v>
      </c>
      <c r="AA104" s="679">
        <f t="shared" si="36"/>
        <v>0</v>
      </c>
      <c r="AB104" s="679">
        <f t="shared" si="37"/>
        <v>0</v>
      </c>
      <c r="AC104" s="679">
        <f t="shared" si="38"/>
        <v>0</v>
      </c>
      <c r="AD104" s="679">
        <f t="shared" si="39"/>
        <v>0</v>
      </c>
      <c r="AE104" s="610"/>
    </row>
    <row r="105" spans="1:31" ht="24.95" customHeight="1" x14ac:dyDescent="0.3">
      <c r="A105" s="749"/>
      <c r="B105" s="750" t="s">
        <v>540</v>
      </c>
      <c r="C105" s="740"/>
      <c r="D105" s="754"/>
      <c r="E105" s="755"/>
      <c r="F105" s="753"/>
      <c r="G105" s="755"/>
      <c r="H105" s="753"/>
      <c r="I105" s="755"/>
      <c r="J105" s="753"/>
      <c r="K105" s="755"/>
      <c r="L105" s="753"/>
      <c r="M105" s="755"/>
      <c r="N105" s="744">
        <f t="shared" si="29"/>
        <v>0</v>
      </c>
      <c r="O105" s="745">
        <f t="shared" si="28"/>
        <v>0</v>
      </c>
      <c r="P105" s="756" t="e">
        <f>(O105/O112)*100</f>
        <v>#DIV/0!</v>
      </c>
      <c r="Q105" s="751"/>
      <c r="R105" s="677" t="e">
        <f t="shared" si="40"/>
        <v>#DIV/0!</v>
      </c>
      <c r="S105" s="753"/>
      <c r="U105" s="679">
        <f t="shared" si="30"/>
        <v>0</v>
      </c>
      <c r="V105" s="679">
        <f t="shared" si="31"/>
        <v>0</v>
      </c>
      <c r="W105" s="679">
        <f t="shared" si="32"/>
        <v>0</v>
      </c>
      <c r="X105" s="679">
        <f t="shared" si="33"/>
        <v>0</v>
      </c>
      <c r="Y105" s="679">
        <f t="shared" si="34"/>
        <v>0</v>
      </c>
      <c r="Z105" s="679">
        <f t="shared" si="35"/>
        <v>0</v>
      </c>
      <c r="AA105" s="679">
        <f t="shared" si="36"/>
        <v>0</v>
      </c>
      <c r="AB105" s="679">
        <f t="shared" si="37"/>
        <v>0</v>
      </c>
      <c r="AC105" s="679">
        <f t="shared" si="38"/>
        <v>0</v>
      </c>
      <c r="AD105" s="679">
        <f t="shared" si="39"/>
        <v>0</v>
      </c>
      <c r="AE105" s="610"/>
    </row>
    <row r="106" spans="1:31" ht="24.95" customHeight="1" x14ac:dyDescent="0.3">
      <c r="A106" s="749"/>
      <c r="B106" s="750" t="s">
        <v>541</v>
      </c>
      <c r="C106" s="740"/>
      <c r="D106" s="754"/>
      <c r="E106" s="755"/>
      <c r="F106" s="753"/>
      <c r="G106" s="755"/>
      <c r="H106" s="753"/>
      <c r="I106" s="755"/>
      <c r="J106" s="753"/>
      <c r="K106" s="755"/>
      <c r="L106" s="753"/>
      <c r="M106" s="755"/>
      <c r="N106" s="744">
        <f t="shared" si="29"/>
        <v>0</v>
      </c>
      <c r="O106" s="745">
        <f t="shared" si="28"/>
        <v>0</v>
      </c>
      <c r="P106" s="756" t="e">
        <f>(O106/O112)*100</f>
        <v>#DIV/0!</v>
      </c>
      <c r="Q106" s="751"/>
      <c r="R106" s="677" t="e">
        <f t="shared" si="40"/>
        <v>#DIV/0!</v>
      </c>
      <c r="S106" s="753"/>
      <c r="U106" s="679">
        <f t="shared" si="30"/>
        <v>0</v>
      </c>
      <c r="V106" s="679">
        <f t="shared" si="31"/>
        <v>0</v>
      </c>
      <c r="W106" s="679">
        <f t="shared" si="32"/>
        <v>0</v>
      </c>
      <c r="X106" s="679">
        <f t="shared" si="33"/>
        <v>0</v>
      </c>
      <c r="Y106" s="679">
        <f t="shared" si="34"/>
        <v>0</v>
      </c>
      <c r="Z106" s="679">
        <f t="shared" si="35"/>
        <v>0</v>
      </c>
      <c r="AA106" s="679">
        <f t="shared" si="36"/>
        <v>0</v>
      </c>
      <c r="AB106" s="679">
        <f t="shared" si="37"/>
        <v>0</v>
      </c>
      <c r="AC106" s="679">
        <f t="shared" si="38"/>
        <v>0</v>
      </c>
      <c r="AD106" s="679">
        <f t="shared" si="39"/>
        <v>0</v>
      </c>
      <c r="AE106" s="610"/>
    </row>
    <row r="107" spans="1:31" ht="24.95" customHeight="1" x14ac:dyDescent="0.3">
      <c r="A107" s="749"/>
      <c r="B107" s="750"/>
      <c r="C107" s="739"/>
      <c r="D107" s="754"/>
      <c r="E107" s="755"/>
      <c r="F107" s="753"/>
      <c r="G107" s="755"/>
      <c r="H107" s="753"/>
      <c r="I107" s="755"/>
      <c r="J107" s="753"/>
      <c r="K107" s="755"/>
      <c r="L107" s="753"/>
      <c r="M107" s="755"/>
      <c r="N107" s="744">
        <f t="shared" si="29"/>
        <v>0</v>
      </c>
      <c r="O107" s="745">
        <f t="shared" si="28"/>
        <v>0</v>
      </c>
      <c r="P107" s="756" t="e">
        <f>(O107/O112)*100</f>
        <v>#DIV/0!</v>
      </c>
      <c r="Q107" s="751"/>
      <c r="R107" s="677" t="e">
        <f t="shared" si="40"/>
        <v>#DIV/0!</v>
      </c>
      <c r="S107" s="753"/>
      <c r="U107" s="679">
        <f t="shared" si="30"/>
        <v>0</v>
      </c>
      <c r="V107" s="679">
        <f t="shared" si="31"/>
        <v>0</v>
      </c>
      <c r="W107" s="679">
        <f t="shared" si="32"/>
        <v>0</v>
      </c>
      <c r="X107" s="679">
        <f t="shared" si="33"/>
        <v>0</v>
      </c>
      <c r="Y107" s="679">
        <f t="shared" si="34"/>
        <v>0</v>
      </c>
      <c r="Z107" s="679">
        <f t="shared" si="35"/>
        <v>0</v>
      </c>
      <c r="AA107" s="679">
        <f t="shared" si="36"/>
        <v>0</v>
      </c>
      <c r="AB107" s="679">
        <f t="shared" si="37"/>
        <v>0</v>
      </c>
      <c r="AC107" s="679">
        <f t="shared" si="38"/>
        <v>0</v>
      </c>
      <c r="AD107" s="679">
        <f t="shared" si="39"/>
        <v>0</v>
      </c>
      <c r="AE107" s="610"/>
    </row>
    <row r="108" spans="1:31" ht="24.95" customHeight="1" x14ac:dyDescent="0.3">
      <c r="A108" s="749"/>
      <c r="B108" s="750" t="s">
        <v>542</v>
      </c>
      <c r="C108" s="740"/>
      <c r="D108" s="754"/>
      <c r="E108" s="755"/>
      <c r="F108" s="753"/>
      <c r="G108" s="755"/>
      <c r="H108" s="753"/>
      <c r="I108" s="755"/>
      <c r="J108" s="753"/>
      <c r="K108" s="755"/>
      <c r="L108" s="753"/>
      <c r="M108" s="755"/>
      <c r="N108" s="744">
        <f t="shared" si="29"/>
        <v>0</v>
      </c>
      <c r="O108" s="745">
        <f t="shared" si="28"/>
        <v>0</v>
      </c>
      <c r="P108" s="756" t="e">
        <f>(O108/O112)*100</f>
        <v>#DIV/0!</v>
      </c>
      <c r="Q108" s="751"/>
      <c r="R108" s="677" t="e">
        <f t="shared" si="40"/>
        <v>#DIV/0!</v>
      </c>
      <c r="S108" s="753"/>
      <c r="U108" s="679">
        <f t="shared" si="30"/>
        <v>0</v>
      </c>
      <c r="V108" s="679">
        <f t="shared" si="31"/>
        <v>0</v>
      </c>
      <c r="W108" s="679">
        <f t="shared" si="32"/>
        <v>0</v>
      </c>
      <c r="X108" s="679">
        <f t="shared" si="33"/>
        <v>0</v>
      </c>
      <c r="Y108" s="679">
        <f t="shared" si="34"/>
        <v>0</v>
      </c>
      <c r="Z108" s="679">
        <f t="shared" si="35"/>
        <v>0</v>
      </c>
      <c r="AA108" s="679">
        <f t="shared" si="36"/>
        <v>0</v>
      </c>
      <c r="AB108" s="679">
        <f t="shared" si="37"/>
        <v>0</v>
      </c>
      <c r="AC108" s="679">
        <f t="shared" si="38"/>
        <v>0</v>
      </c>
      <c r="AD108" s="679">
        <f t="shared" si="39"/>
        <v>0</v>
      </c>
      <c r="AE108" s="610"/>
    </row>
    <row r="109" spans="1:31" ht="24.95" customHeight="1" x14ac:dyDescent="0.3">
      <c r="A109" s="749"/>
      <c r="B109" s="750" t="s">
        <v>543</v>
      </c>
      <c r="C109" s="740"/>
      <c r="D109" s="754"/>
      <c r="E109" s="755"/>
      <c r="F109" s="753"/>
      <c r="G109" s="755"/>
      <c r="H109" s="753"/>
      <c r="I109" s="755"/>
      <c r="J109" s="753"/>
      <c r="K109" s="755"/>
      <c r="L109" s="753"/>
      <c r="M109" s="755"/>
      <c r="N109" s="744">
        <f t="shared" si="29"/>
        <v>0</v>
      </c>
      <c r="O109" s="745">
        <f t="shared" si="28"/>
        <v>0</v>
      </c>
      <c r="P109" s="756" t="e">
        <f>(O109/O112)*100</f>
        <v>#DIV/0!</v>
      </c>
      <c r="Q109" s="751"/>
      <c r="R109" s="677" t="e">
        <f t="shared" si="40"/>
        <v>#DIV/0!</v>
      </c>
      <c r="S109" s="753"/>
      <c r="U109" s="679">
        <f t="shared" si="30"/>
        <v>0</v>
      </c>
      <c r="V109" s="679">
        <f t="shared" si="31"/>
        <v>0</v>
      </c>
      <c r="W109" s="679">
        <f t="shared" si="32"/>
        <v>0</v>
      </c>
      <c r="X109" s="679">
        <f t="shared" si="33"/>
        <v>0</v>
      </c>
      <c r="Y109" s="679">
        <f t="shared" si="34"/>
        <v>0</v>
      </c>
      <c r="Z109" s="679">
        <f t="shared" si="35"/>
        <v>0</v>
      </c>
      <c r="AA109" s="679">
        <f t="shared" si="36"/>
        <v>0</v>
      </c>
      <c r="AB109" s="679">
        <f t="shared" si="37"/>
        <v>0</v>
      </c>
      <c r="AC109" s="679">
        <f t="shared" si="38"/>
        <v>0</v>
      </c>
      <c r="AD109" s="679">
        <f t="shared" si="39"/>
        <v>0</v>
      </c>
      <c r="AE109" s="610"/>
    </row>
    <row r="110" spans="1:31" ht="24.95" customHeight="1" thickBot="1" x14ac:dyDescent="0.35">
      <c r="A110" s="762"/>
      <c r="B110" s="763"/>
      <c r="C110" s="763"/>
      <c r="D110" s="764"/>
      <c r="E110" s="765"/>
      <c r="F110" s="766"/>
      <c r="G110" s="765"/>
      <c r="H110" s="767"/>
      <c r="I110" s="765"/>
      <c r="J110" s="766"/>
      <c r="K110" s="765"/>
      <c r="L110" s="766"/>
      <c r="M110" s="768"/>
      <c r="N110" s="744">
        <f t="shared" si="29"/>
        <v>0</v>
      </c>
      <c r="O110" s="745">
        <f t="shared" si="28"/>
        <v>0</v>
      </c>
      <c r="P110" s="769" t="e">
        <f>(O110/O112)*100</f>
        <v>#DIV/0!</v>
      </c>
      <c r="Q110" s="770"/>
      <c r="R110" s="677" t="e">
        <f t="shared" si="40"/>
        <v>#DIV/0!</v>
      </c>
      <c r="S110" s="767"/>
      <c r="U110" s="679">
        <f t="shared" si="30"/>
        <v>0</v>
      </c>
      <c r="V110" s="679">
        <f t="shared" si="31"/>
        <v>0</v>
      </c>
      <c r="W110" s="679">
        <f t="shared" si="32"/>
        <v>0</v>
      </c>
      <c r="X110" s="679">
        <f t="shared" si="33"/>
        <v>0</v>
      </c>
      <c r="Y110" s="679">
        <f t="shared" si="34"/>
        <v>0</v>
      </c>
      <c r="Z110" s="679">
        <f t="shared" si="35"/>
        <v>0</v>
      </c>
      <c r="AA110" s="679">
        <f t="shared" si="36"/>
        <v>0</v>
      </c>
      <c r="AB110" s="679">
        <f t="shared" si="37"/>
        <v>0</v>
      </c>
      <c r="AC110" s="679">
        <f t="shared" si="38"/>
        <v>0</v>
      </c>
      <c r="AD110" s="679">
        <f t="shared" si="39"/>
        <v>0</v>
      </c>
      <c r="AE110" s="610"/>
    </row>
    <row r="111" spans="1:31" ht="99.95" customHeight="1" thickBot="1" x14ac:dyDescent="0.25">
      <c r="A111" s="1459" t="s">
        <v>544</v>
      </c>
      <c r="B111" s="1460"/>
      <c r="C111" s="771" t="str">
        <f>A111</f>
        <v>TOTAL BEVERAGES</v>
      </c>
      <c r="D111" s="772">
        <f>U111</f>
        <v>0</v>
      </c>
      <c r="E111" s="773">
        <f>V111</f>
        <v>0</v>
      </c>
      <c r="F111" s="774">
        <f>W111</f>
        <v>0</v>
      </c>
      <c r="G111" s="775">
        <f t="shared" ref="G111:M111" si="41">X111</f>
        <v>0</v>
      </c>
      <c r="H111" s="774">
        <f t="shared" si="41"/>
        <v>0</v>
      </c>
      <c r="I111" s="775">
        <f t="shared" si="41"/>
        <v>0</v>
      </c>
      <c r="J111" s="774">
        <f t="shared" si="41"/>
        <v>0</v>
      </c>
      <c r="K111" s="774">
        <f t="shared" si="41"/>
        <v>0</v>
      </c>
      <c r="L111" s="774">
        <f t="shared" si="41"/>
        <v>0</v>
      </c>
      <c r="M111" s="775">
        <f t="shared" si="41"/>
        <v>0</v>
      </c>
      <c r="N111" s="776"/>
      <c r="O111" s="777">
        <f>SUM(D111:M111)</f>
        <v>0</v>
      </c>
      <c r="P111" s="778" t="e">
        <f>SUM(P86:P110)/100</f>
        <v>#DIV/0!</v>
      </c>
      <c r="Q111" s="779"/>
      <c r="R111" s="780" t="e">
        <f>SUM(R86:R110)/100</f>
        <v>#DIV/0!</v>
      </c>
      <c r="S111" s="781"/>
      <c r="U111" s="679">
        <f t="shared" ref="U111:AD111" si="42">SUM(U86:U110)</f>
        <v>0</v>
      </c>
      <c r="V111" s="679">
        <f t="shared" si="42"/>
        <v>0</v>
      </c>
      <c r="W111" s="679">
        <f t="shared" si="42"/>
        <v>0</v>
      </c>
      <c r="X111" s="679">
        <f t="shared" si="42"/>
        <v>0</v>
      </c>
      <c r="Y111" s="679">
        <f t="shared" si="42"/>
        <v>0</v>
      </c>
      <c r="Z111" s="679">
        <f t="shared" si="42"/>
        <v>0</v>
      </c>
      <c r="AA111" s="679">
        <f t="shared" si="42"/>
        <v>0</v>
      </c>
      <c r="AB111" s="679">
        <f t="shared" si="42"/>
        <v>0</v>
      </c>
      <c r="AC111" s="679">
        <f t="shared" si="42"/>
        <v>0</v>
      </c>
      <c r="AD111" s="679">
        <f t="shared" si="42"/>
        <v>0</v>
      </c>
      <c r="AE111" s="610"/>
    </row>
    <row r="112" spans="1:31" ht="99.95" customHeight="1" thickBot="1" x14ac:dyDescent="0.25">
      <c r="A112" s="1459" t="s">
        <v>545</v>
      </c>
      <c r="B112" s="1460"/>
      <c r="C112" s="771" t="str">
        <f>A112</f>
        <v>TOTAL SALES</v>
      </c>
      <c r="D112" s="782">
        <f t="shared" ref="D112:P112" si="43">D83+D111</f>
        <v>0</v>
      </c>
      <c r="E112" s="782">
        <f t="shared" si="43"/>
        <v>0</v>
      </c>
      <c r="F112" s="782">
        <f>F83+F111</f>
        <v>0</v>
      </c>
      <c r="G112" s="782">
        <f t="shared" si="43"/>
        <v>0</v>
      </c>
      <c r="H112" s="782">
        <f t="shared" si="43"/>
        <v>0</v>
      </c>
      <c r="I112" s="782">
        <f t="shared" si="43"/>
        <v>0</v>
      </c>
      <c r="J112" s="782">
        <f t="shared" si="43"/>
        <v>0</v>
      </c>
      <c r="K112" s="782">
        <f t="shared" si="43"/>
        <v>0</v>
      </c>
      <c r="L112" s="782">
        <f t="shared" si="43"/>
        <v>0</v>
      </c>
      <c r="M112" s="772">
        <f t="shared" si="43"/>
        <v>0</v>
      </c>
      <c r="N112" s="772">
        <f t="shared" si="43"/>
        <v>0</v>
      </c>
      <c r="O112" s="783">
        <f t="shared" si="43"/>
        <v>0</v>
      </c>
      <c r="P112" s="778" t="e">
        <f t="shared" si="43"/>
        <v>#DIV/0!</v>
      </c>
      <c r="Q112" s="779"/>
      <c r="R112" s="784" t="e">
        <f>R83+R111</f>
        <v>#DIV/0!</v>
      </c>
      <c r="S112" s="781"/>
      <c r="U112" s="610"/>
      <c r="V112" s="610"/>
      <c r="W112" s="610"/>
      <c r="X112" s="610"/>
      <c r="Y112" s="610"/>
      <c r="Z112" s="610"/>
      <c r="AA112" s="610"/>
      <c r="AB112" s="610"/>
      <c r="AC112" s="610"/>
      <c r="AD112" s="610"/>
      <c r="AE112" s="610"/>
    </row>
    <row r="113" spans="1:31" ht="30" customHeight="1" thickBot="1" x14ac:dyDescent="0.25">
      <c r="A113" s="1461" t="s">
        <v>546</v>
      </c>
      <c r="B113" s="1462"/>
      <c r="C113" s="785" t="str">
        <f>A113</f>
        <v>TOTAL CUSTOMER</v>
      </c>
      <c r="D113" s="786"/>
      <c r="E113" s="787"/>
      <c r="F113" s="787"/>
      <c r="G113" s="787"/>
      <c r="H113" s="788"/>
      <c r="I113" s="789"/>
      <c r="J113" s="790"/>
      <c r="K113" s="787"/>
      <c r="L113" s="787"/>
      <c r="M113" s="789"/>
      <c r="N113" s="791">
        <f>SUM(D113:M113)</f>
        <v>0</v>
      </c>
      <c r="O113" s="792"/>
      <c r="P113" s="793"/>
      <c r="Q113" s="794"/>
      <c r="R113" s="795"/>
      <c r="S113" s="792"/>
      <c r="U113" s="729"/>
      <c r="V113" s="729"/>
      <c r="W113" s="729"/>
      <c r="X113" s="729"/>
      <c r="Y113" s="729"/>
      <c r="Z113" s="610"/>
      <c r="AA113" s="610"/>
      <c r="AB113" s="610"/>
      <c r="AC113" s="610"/>
      <c r="AD113" s="610"/>
      <c r="AE113" s="610"/>
    </row>
    <row r="114" spans="1:31" ht="18" customHeight="1" x14ac:dyDescent="0.25">
      <c r="A114" s="77"/>
      <c r="N114" s="1463" t="s">
        <v>20</v>
      </c>
      <c r="O114" s="1463"/>
      <c r="U114" s="148"/>
    </row>
    <row r="115" spans="1:31" ht="32.25" customHeight="1" x14ac:dyDescent="0.2">
      <c r="A115" s="1464"/>
      <c r="B115" s="1465"/>
      <c r="C115" s="1465"/>
      <c r="D115" s="1465"/>
      <c r="E115" s="1465"/>
      <c r="F115" s="1465"/>
      <c r="G115" s="1465"/>
      <c r="H115" s="1465"/>
      <c r="I115" s="1465"/>
      <c r="J115" s="567"/>
      <c r="K115" s="567"/>
      <c r="L115" s="567"/>
      <c r="M115" s="567"/>
      <c r="U115" s="148"/>
      <c r="V115" s="796"/>
      <c r="W115" s="796"/>
      <c r="X115" s="796"/>
    </row>
    <row r="116" spans="1:31" ht="18" customHeight="1" x14ac:dyDescent="0.2">
      <c r="A116" s="1464"/>
      <c r="B116" s="1465"/>
      <c r="C116" s="1465"/>
      <c r="D116" s="1465"/>
      <c r="E116" s="1465"/>
      <c r="F116" s="1465"/>
      <c r="G116" s="1465"/>
      <c r="H116" s="1465"/>
      <c r="I116" s="1465"/>
      <c r="J116" s="567"/>
      <c r="K116" s="567"/>
      <c r="L116" s="567"/>
      <c r="M116" s="567"/>
      <c r="U116" s="148"/>
    </row>
    <row r="117" spans="1:31" ht="18" customHeight="1" x14ac:dyDescent="0.2">
      <c r="A117" s="1466"/>
      <c r="B117" s="1466"/>
      <c r="C117" s="1466"/>
      <c r="D117" s="1466"/>
      <c r="E117" s="1466"/>
      <c r="F117" s="1466"/>
      <c r="G117" s="1466"/>
      <c r="H117" s="1466"/>
      <c r="I117" s="1466"/>
      <c r="J117" s="567"/>
      <c r="K117" s="567"/>
      <c r="L117" s="567"/>
      <c r="M117" s="567"/>
      <c r="V117" s="656"/>
      <c r="W117" s="796"/>
      <c r="X117" s="796"/>
    </row>
    <row r="118" spans="1:31" ht="18" customHeight="1" x14ac:dyDescent="0.2">
      <c r="A118" s="1467"/>
      <c r="B118" s="1467"/>
      <c r="C118" s="1467"/>
      <c r="D118" s="1467"/>
      <c r="E118" s="1467"/>
      <c r="F118" s="1467"/>
      <c r="G118" s="1467"/>
      <c r="H118" s="1467"/>
      <c r="I118" s="1467"/>
      <c r="J118" s="567"/>
      <c r="K118" s="567"/>
      <c r="L118" s="567"/>
      <c r="M118" s="567"/>
      <c r="P118" s="797"/>
    </row>
    <row r="119" spans="1:31" ht="18" customHeight="1" x14ac:dyDescent="0.2">
      <c r="A119" s="1468"/>
      <c r="B119" s="1468"/>
      <c r="C119" s="1468"/>
      <c r="D119" s="1468"/>
      <c r="E119" s="1468"/>
      <c r="F119" s="1468"/>
      <c r="G119" s="1468"/>
      <c r="H119" s="1468"/>
      <c r="I119" s="1468"/>
      <c r="J119" s="567"/>
      <c r="K119" s="567"/>
      <c r="L119" s="567"/>
      <c r="M119" s="567"/>
      <c r="N119" s="1413"/>
      <c r="O119" s="1413"/>
      <c r="P119" s="798"/>
    </row>
    <row r="120" spans="1:31" ht="18" customHeight="1" x14ac:dyDescent="0.2">
      <c r="B120" s="567"/>
      <c r="C120" s="567"/>
      <c r="D120" s="567"/>
      <c r="E120" s="567"/>
      <c r="F120" s="567"/>
      <c r="G120" s="567"/>
      <c r="H120" s="567"/>
      <c r="I120" s="567"/>
      <c r="J120" s="567"/>
      <c r="K120" s="567"/>
      <c r="L120" s="567"/>
      <c r="M120" s="567"/>
      <c r="N120" s="64"/>
      <c r="O120" s="64"/>
      <c r="P120" s="798"/>
    </row>
    <row r="121" spans="1:31" ht="18" customHeight="1" x14ac:dyDescent="0.2">
      <c r="A121" s="513"/>
      <c r="B121" s="513"/>
      <c r="C121" s="513"/>
    </row>
    <row r="122" spans="1:31" ht="18" customHeight="1" x14ac:dyDescent="0.2">
      <c r="A122" s="148"/>
      <c r="B122" s="148"/>
      <c r="C122" s="148"/>
    </row>
    <row r="123" spans="1:31" ht="18" customHeight="1" x14ac:dyDescent="0.2">
      <c r="A123" s="148"/>
      <c r="B123" s="148"/>
      <c r="C123" s="148"/>
    </row>
    <row r="124" spans="1:31" ht="18" customHeight="1" x14ac:dyDescent="0.2">
      <c r="A124" s="148"/>
      <c r="B124" s="148"/>
      <c r="C124" s="148"/>
    </row>
    <row r="125" spans="1:31" ht="18" customHeight="1" x14ac:dyDescent="0.2">
      <c r="A125" s="148"/>
      <c r="B125" s="148"/>
      <c r="C125" s="148"/>
    </row>
    <row r="126" spans="1:31" ht="18" customHeight="1" x14ac:dyDescent="0.2">
      <c r="A126" s="148"/>
      <c r="B126" s="148"/>
      <c r="C126" s="148"/>
    </row>
    <row r="127" spans="1:31" ht="18" customHeight="1" x14ac:dyDescent="0.2">
      <c r="A127" s="148"/>
      <c r="B127" s="148"/>
      <c r="C127" s="148"/>
    </row>
    <row r="128" spans="1:31" ht="18" customHeight="1" x14ac:dyDescent="0.2">
      <c r="A128" s="148"/>
      <c r="B128" s="148"/>
      <c r="C128" s="148"/>
    </row>
    <row r="129" spans="1:3" ht="18" customHeight="1" x14ac:dyDescent="0.2">
      <c r="A129" s="799"/>
      <c r="B129" s="799"/>
      <c r="C129" s="799"/>
    </row>
    <row r="130" spans="1:3" ht="18" customHeight="1" x14ac:dyDescent="0.2">
      <c r="A130" s="799"/>
      <c r="B130" s="799"/>
      <c r="C130" s="799"/>
    </row>
    <row r="131" spans="1:3" ht="18" customHeight="1" x14ac:dyDescent="0.2">
      <c r="A131" s="799"/>
      <c r="B131" s="799"/>
      <c r="C131" s="799"/>
    </row>
    <row r="132" spans="1:3" ht="18" customHeight="1" x14ac:dyDescent="0.2">
      <c r="A132" s="799"/>
      <c r="B132" s="799"/>
      <c r="C132" s="799"/>
    </row>
    <row r="133" spans="1:3" ht="18" customHeight="1" x14ac:dyDescent="0.2">
      <c r="A133" s="148"/>
      <c r="B133" s="148"/>
      <c r="C133" s="148"/>
    </row>
    <row r="134" spans="1:3" ht="18" customHeight="1" x14ac:dyDescent="0.2">
      <c r="A134" s="148"/>
      <c r="B134" s="148"/>
      <c r="C134" s="148"/>
    </row>
    <row r="135" spans="1:3" ht="18" customHeight="1" x14ac:dyDescent="0.2">
      <c r="A135" s="148"/>
      <c r="B135" s="148"/>
      <c r="C135" s="148"/>
    </row>
    <row r="136" spans="1:3" ht="18" customHeight="1" x14ac:dyDescent="0.2">
      <c r="A136" s="148"/>
      <c r="B136" s="148"/>
      <c r="C136" s="148"/>
    </row>
    <row r="137" spans="1:3" ht="18" customHeight="1" x14ac:dyDescent="0.2">
      <c r="A137" s="148"/>
      <c r="B137" s="148"/>
      <c r="C137" s="148"/>
    </row>
    <row r="138" spans="1:3" ht="18" customHeight="1" x14ac:dyDescent="0.2">
      <c r="A138" s="148"/>
      <c r="B138" s="148"/>
      <c r="C138" s="148"/>
    </row>
    <row r="139" spans="1:3" ht="18" customHeight="1" x14ac:dyDescent="0.2">
      <c r="A139" s="148"/>
      <c r="B139" s="148"/>
      <c r="C139" s="148"/>
    </row>
    <row r="140" spans="1:3" ht="18" customHeight="1" x14ac:dyDescent="0.2">
      <c r="A140" s="148"/>
      <c r="B140" s="148"/>
      <c r="C140" s="148"/>
    </row>
    <row r="141" spans="1:3" ht="18" customHeight="1" x14ac:dyDescent="0.2">
      <c r="A141" s="148"/>
      <c r="B141" s="148"/>
      <c r="C141" s="148"/>
    </row>
    <row r="142" spans="1:3" ht="18" customHeight="1" x14ac:dyDescent="0.2">
      <c r="A142" s="148"/>
      <c r="B142" s="148"/>
      <c r="C142" s="148"/>
    </row>
    <row r="143" spans="1:3" ht="18" customHeight="1" x14ac:dyDescent="0.2">
      <c r="A143" s="148"/>
      <c r="B143" s="148"/>
      <c r="C143" s="148"/>
    </row>
    <row r="144" spans="1:3" ht="18" customHeight="1" x14ac:dyDescent="0.2">
      <c r="A144" s="148"/>
      <c r="B144" s="148"/>
      <c r="C144" s="148"/>
    </row>
    <row r="145" spans="1:3" ht="18" customHeight="1" x14ac:dyDescent="0.2">
      <c r="A145" s="148"/>
      <c r="B145" s="148"/>
      <c r="C145" s="148"/>
    </row>
    <row r="146" spans="1:3" ht="18" customHeight="1" x14ac:dyDescent="0.2">
      <c r="A146" s="148"/>
      <c r="B146" s="148"/>
      <c r="C146" s="148"/>
    </row>
    <row r="147" spans="1:3" ht="18" customHeight="1" x14ac:dyDescent="0.2">
      <c r="A147" s="148"/>
      <c r="B147" s="148"/>
      <c r="C147" s="148"/>
    </row>
    <row r="148" spans="1:3" ht="18" customHeight="1" x14ac:dyDescent="0.2">
      <c r="A148" s="148"/>
      <c r="B148" s="148"/>
      <c r="C148" s="148"/>
    </row>
    <row r="149" spans="1:3" ht="18" customHeight="1" x14ac:dyDescent="0.2">
      <c r="A149" s="148"/>
      <c r="B149" s="148"/>
      <c r="C149" s="148"/>
    </row>
    <row r="150" spans="1:3" ht="18" customHeight="1" x14ac:dyDescent="0.2">
      <c r="A150" s="148"/>
      <c r="B150" s="148"/>
      <c r="C150" s="148"/>
    </row>
    <row r="151" spans="1:3" ht="18" customHeight="1" x14ac:dyDescent="0.2">
      <c r="A151" s="148"/>
      <c r="B151" s="148"/>
      <c r="C151" s="148"/>
    </row>
    <row r="152" spans="1:3" ht="18" customHeight="1" x14ac:dyDescent="0.2">
      <c r="A152" s="148"/>
      <c r="B152" s="148"/>
      <c r="C152" s="148"/>
    </row>
    <row r="153" spans="1:3" ht="18" customHeight="1" x14ac:dyDescent="0.2">
      <c r="A153" s="148"/>
      <c r="B153" s="148"/>
      <c r="C153" s="148"/>
    </row>
    <row r="154" spans="1:3" ht="32.25" customHeight="1" x14ac:dyDescent="0.2">
      <c r="A154" s="800"/>
      <c r="B154" s="148"/>
      <c r="C154" s="148"/>
    </row>
    <row r="155" spans="1:3" ht="18" customHeight="1" x14ac:dyDescent="0.2">
      <c r="A155" s="148"/>
      <c r="B155" s="148"/>
      <c r="C155" s="148"/>
    </row>
    <row r="156" spans="1:3" ht="18" customHeight="1" x14ac:dyDescent="0.2">
      <c r="A156" s="148"/>
      <c r="B156" s="148"/>
      <c r="C156" s="148"/>
    </row>
    <row r="157" spans="1:3" ht="18" customHeight="1" x14ac:dyDescent="0.2">
      <c r="A157" s="148"/>
      <c r="B157" s="148"/>
      <c r="C157" s="148"/>
    </row>
    <row r="158" spans="1:3" ht="18" customHeight="1" x14ac:dyDescent="0.2">
      <c r="A158" s="148"/>
      <c r="B158" s="148"/>
      <c r="C158" s="148"/>
    </row>
    <row r="159" spans="1:3" ht="18" customHeight="1" x14ac:dyDescent="0.2">
      <c r="A159" s="148"/>
      <c r="B159" s="148"/>
      <c r="C159" s="148"/>
    </row>
    <row r="160" spans="1:3" ht="18" customHeight="1" x14ac:dyDescent="0.2">
      <c r="A160" s="148"/>
      <c r="B160" s="148"/>
      <c r="C160" s="148"/>
    </row>
    <row r="161" ht="18" customHeight="1" x14ac:dyDescent="0.2"/>
    <row r="162" ht="18" customHeight="1" x14ac:dyDescent="0.2"/>
    <row r="163" ht="18" customHeight="1" x14ac:dyDescent="0.2"/>
    <row r="164" ht="18" customHeight="1" x14ac:dyDescent="0.2"/>
    <row r="165" ht="18" customHeight="1" x14ac:dyDescent="0.2"/>
    <row r="166" ht="18" customHeight="1" x14ac:dyDescent="0.2"/>
    <row r="167" ht="18" customHeight="1" x14ac:dyDescent="0.2"/>
    <row r="168" ht="18" customHeight="1" x14ac:dyDescent="0.2"/>
    <row r="169" ht="18" customHeight="1" x14ac:dyDescent="0.2"/>
    <row r="170" ht="18" customHeight="1" x14ac:dyDescent="0.2"/>
    <row r="171" ht="18" customHeight="1" x14ac:dyDescent="0.2"/>
    <row r="172" ht="18" customHeight="1" x14ac:dyDescent="0.2"/>
    <row r="173" ht="18" customHeight="1" x14ac:dyDescent="0.2"/>
    <row r="174" ht="18" customHeight="1" x14ac:dyDescent="0.2"/>
    <row r="175" ht="18" customHeight="1" x14ac:dyDescent="0.2"/>
    <row r="176" ht="18" customHeight="1" x14ac:dyDescent="0.2"/>
    <row r="177" ht="18" customHeight="1" x14ac:dyDescent="0.2"/>
    <row r="178" ht="18" customHeight="1" x14ac:dyDescent="0.2"/>
    <row r="179" ht="18" customHeight="1" x14ac:dyDescent="0.2"/>
    <row r="180" ht="18" customHeight="1" x14ac:dyDescent="0.2"/>
    <row r="181" ht="18" customHeight="1" x14ac:dyDescent="0.2"/>
    <row r="182" ht="18" customHeight="1" x14ac:dyDescent="0.2"/>
    <row r="183" ht="18" customHeight="1" x14ac:dyDescent="0.2"/>
    <row r="184" ht="18" customHeight="1" x14ac:dyDescent="0.2"/>
    <row r="185" ht="18" customHeight="1" x14ac:dyDescent="0.2"/>
    <row r="186" ht="18" customHeight="1" x14ac:dyDescent="0.2"/>
    <row r="187" ht="18" customHeight="1" x14ac:dyDescent="0.2"/>
    <row r="188" ht="18" customHeight="1" x14ac:dyDescent="0.2"/>
    <row r="189" ht="18" customHeight="1" x14ac:dyDescent="0.2"/>
    <row r="190" ht="18" customHeight="1" x14ac:dyDescent="0.2"/>
    <row r="191" ht="18" customHeight="1" x14ac:dyDescent="0.2"/>
    <row r="192" ht="18" customHeight="1" x14ac:dyDescent="0.2"/>
    <row r="193" ht="18" customHeight="1" x14ac:dyDescent="0.2"/>
    <row r="194" ht="18" customHeight="1" x14ac:dyDescent="0.2"/>
    <row r="195" ht="18" customHeight="1" x14ac:dyDescent="0.2"/>
    <row r="196" ht="18" customHeight="1" x14ac:dyDescent="0.2"/>
    <row r="197" ht="18" customHeight="1" x14ac:dyDescent="0.2"/>
    <row r="198" ht="18" customHeight="1" x14ac:dyDescent="0.2"/>
    <row r="199" ht="18" customHeight="1" x14ac:dyDescent="0.2"/>
    <row r="200" ht="18" customHeight="1" x14ac:dyDescent="0.2"/>
    <row r="201" ht="18" customHeight="1" x14ac:dyDescent="0.2"/>
    <row r="202" ht="18" customHeight="1" x14ac:dyDescent="0.2"/>
    <row r="203" ht="18" customHeight="1" x14ac:dyDescent="0.2"/>
    <row r="204" ht="18" customHeight="1" x14ac:dyDescent="0.2"/>
    <row r="205" ht="18" customHeight="1" x14ac:dyDescent="0.2"/>
    <row r="206" ht="18" customHeight="1" x14ac:dyDescent="0.2"/>
    <row r="207" ht="18" customHeight="1" x14ac:dyDescent="0.2"/>
    <row r="208" ht="18" customHeight="1" x14ac:dyDescent="0.2"/>
    <row r="209" ht="18" customHeight="1" x14ac:dyDescent="0.2"/>
    <row r="210" ht="18" customHeight="1" x14ac:dyDescent="0.2"/>
    <row r="211" ht="18" customHeight="1" x14ac:dyDescent="0.2"/>
    <row r="212" ht="18" customHeight="1" x14ac:dyDescent="0.2"/>
    <row r="213" ht="18" customHeight="1" x14ac:dyDescent="0.2"/>
    <row r="214" ht="18" customHeight="1" x14ac:dyDescent="0.2"/>
    <row r="215" ht="18" customHeight="1" x14ac:dyDescent="0.2"/>
    <row r="216" ht="18" customHeight="1" x14ac:dyDescent="0.2"/>
    <row r="217" ht="18" customHeight="1" x14ac:dyDescent="0.2"/>
    <row r="218" ht="18" customHeight="1" x14ac:dyDescent="0.2"/>
    <row r="219" ht="18" customHeight="1" x14ac:dyDescent="0.2"/>
    <row r="220" ht="18" customHeight="1" x14ac:dyDescent="0.2"/>
    <row r="221" ht="18" customHeight="1" x14ac:dyDescent="0.2"/>
    <row r="222" ht="18" customHeight="1" x14ac:dyDescent="0.2"/>
    <row r="223" ht="18" customHeight="1" x14ac:dyDescent="0.2"/>
    <row r="224" ht="18" customHeight="1" x14ac:dyDescent="0.2"/>
    <row r="225" ht="18" customHeight="1" x14ac:dyDescent="0.2"/>
    <row r="226" ht="18" customHeight="1" x14ac:dyDescent="0.2"/>
    <row r="227" ht="18" customHeight="1" x14ac:dyDescent="0.2"/>
    <row r="228" ht="18" customHeight="1" x14ac:dyDescent="0.2"/>
    <row r="229" ht="18" customHeight="1" x14ac:dyDescent="0.2"/>
    <row r="230" ht="18" customHeight="1" x14ac:dyDescent="0.2"/>
    <row r="231" ht="18" customHeight="1" x14ac:dyDescent="0.2"/>
    <row r="232" ht="18" customHeight="1" x14ac:dyDescent="0.2"/>
    <row r="233" ht="18" customHeight="1" x14ac:dyDescent="0.2"/>
    <row r="234" ht="18" customHeight="1" x14ac:dyDescent="0.2"/>
    <row r="235" ht="18" customHeight="1" x14ac:dyDescent="0.2"/>
    <row r="236" ht="18" customHeight="1" x14ac:dyDescent="0.2"/>
    <row r="237" ht="18" customHeight="1" x14ac:dyDescent="0.2"/>
    <row r="238" ht="18" customHeight="1" x14ac:dyDescent="0.2"/>
    <row r="239" ht="18" customHeight="1" x14ac:dyDescent="0.2"/>
    <row r="240" ht="18" customHeight="1" x14ac:dyDescent="0.2"/>
    <row r="241" ht="18" customHeight="1" x14ac:dyDescent="0.2"/>
    <row r="242" ht="18" customHeight="1" x14ac:dyDescent="0.2"/>
    <row r="243" ht="18" customHeight="1" x14ac:dyDescent="0.2"/>
    <row r="244" ht="18" customHeight="1" x14ac:dyDescent="0.2"/>
    <row r="245" ht="18" customHeight="1" x14ac:dyDescent="0.2"/>
    <row r="246" ht="18" customHeight="1" x14ac:dyDescent="0.2"/>
    <row r="247" ht="18" customHeight="1" x14ac:dyDescent="0.2"/>
    <row r="248" ht="18" customHeight="1" x14ac:dyDescent="0.2"/>
    <row r="249" ht="18" customHeight="1" x14ac:dyDescent="0.2"/>
    <row r="250" ht="18" customHeight="1" x14ac:dyDescent="0.2"/>
    <row r="251" ht="18" customHeight="1" x14ac:dyDescent="0.2"/>
    <row r="252" ht="18" customHeight="1" x14ac:dyDescent="0.2"/>
    <row r="253" ht="18" customHeight="1" x14ac:dyDescent="0.2"/>
    <row r="254" ht="18" customHeight="1" x14ac:dyDescent="0.2"/>
    <row r="255" ht="18" customHeight="1" x14ac:dyDescent="0.2"/>
    <row r="256" ht="18" customHeight="1" x14ac:dyDescent="0.2"/>
    <row r="257" ht="18" customHeight="1" x14ac:dyDescent="0.2"/>
    <row r="258" ht="18" customHeight="1" x14ac:dyDescent="0.2"/>
    <row r="259" ht="18" customHeight="1" x14ac:dyDescent="0.2"/>
    <row r="260" ht="18" customHeight="1" x14ac:dyDescent="0.2"/>
    <row r="261" ht="18" customHeight="1" x14ac:dyDescent="0.2"/>
    <row r="262" ht="18" customHeight="1" x14ac:dyDescent="0.2"/>
    <row r="263" ht="18" customHeight="1" x14ac:dyDescent="0.2"/>
    <row r="264" ht="18" customHeight="1" x14ac:dyDescent="0.2"/>
    <row r="265" ht="18" customHeight="1" x14ac:dyDescent="0.2"/>
    <row r="266" ht="18" customHeight="1" x14ac:dyDescent="0.2"/>
    <row r="267" ht="18" customHeight="1" x14ac:dyDescent="0.2"/>
    <row r="268" ht="18" customHeight="1" x14ac:dyDescent="0.2"/>
    <row r="269" ht="18" customHeight="1" x14ac:dyDescent="0.2"/>
    <row r="270" ht="18" customHeight="1" x14ac:dyDescent="0.2"/>
    <row r="271" ht="18" customHeight="1" x14ac:dyDescent="0.2"/>
    <row r="272" ht="18" customHeight="1" x14ac:dyDescent="0.2"/>
    <row r="273" ht="18" customHeight="1" x14ac:dyDescent="0.2"/>
    <row r="274" ht="18" customHeight="1" x14ac:dyDescent="0.2"/>
    <row r="275" ht="18" customHeight="1" x14ac:dyDescent="0.2"/>
    <row r="276" ht="18" customHeight="1" x14ac:dyDescent="0.2"/>
    <row r="277" ht="18" customHeight="1" x14ac:dyDescent="0.2"/>
    <row r="278" ht="18" customHeight="1" x14ac:dyDescent="0.2"/>
    <row r="279" ht="18" customHeight="1" x14ac:dyDescent="0.2"/>
    <row r="280" ht="18" customHeight="1" x14ac:dyDescent="0.2"/>
    <row r="281" ht="18" customHeight="1" x14ac:dyDescent="0.2"/>
    <row r="282" ht="18" customHeight="1" x14ac:dyDescent="0.2"/>
    <row r="283" ht="18" customHeight="1" x14ac:dyDescent="0.2"/>
    <row r="284" ht="18" customHeight="1" x14ac:dyDescent="0.2"/>
    <row r="285" ht="18" customHeight="1" x14ac:dyDescent="0.2"/>
    <row r="286" ht="18" customHeight="1" x14ac:dyDescent="0.2"/>
    <row r="287" ht="18" customHeight="1" x14ac:dyDescent="0.2"/>
    <row r="288" ht="18" customHeight="1" x14ac:dyDescent="0.2"/>
    <row r="289" ht="18" customHeight="1" x14ac:dyDescent="0.2"/>
    <row r="290" ht="18" customHeight="1" x14ac:dyDescent="0.2"/>
    <row r="291" ht="18" customHeight="1" x14ac:dyDescent="0.2"/>
    <row r="292" ht="18" customHeight="1" x14ac:dyDescent="0.2"/>
    <row r="293" ht="18" customHeight="1" x14ac:dyDescent="0.2"/>
    <row r="294" ht="18" customHeight="1" x14ac:dyDescent="0.2"/>
    <row r="295" ht="18" customHeight="1" x14ac:dyDescent="0.2"/>
    <row r="296" ht="18" customHeight="1" x14ac:dyDescent="0.2"/>
    <row r="297" ht="18" customHeight="1" x14ac:dyDescent="0.2"/>
    <row r="298" ht="18" customHeight="1" x14ac:dyDescent="0.2"/>
    <row r="299" ht="18" customHeight="1" x14ac:dyDescent="0.2"/>
    <row r="300" ht="18" customHeight="1" x14ac:dyDescent="0.2"/>
    <row r="301" ht="18" customHeight="1" x14ac:dyDescent="0.2"/>
    <row r="302" ht="18" customHeight="1" x14ac:dyDescent="0.2"/>
    <row r="303" ht="18" customHeight="1" x14ac:dyDescent="0.2"/>
    <row r="304" ht="18" customHeight="1" x14ac:dyDescent="0.2"/>
    <row r="305" ht="18" customHeight="1" x14ac:dyDescent="0.2"/>
    <row r="306" ht="18" customHeight="1" x14ac:dyDescent="0.2"/>
    <row r="307" ht="18" customHeight="1" x14ac:dyDescent="0.2"/>
    <row r="308" ht="18" customHeight="1" x14ac:dyDescent="0.2"/>
    <row r="309" ht="18" customHeight="1" x14ac:dyDescent="0.2"/>
    <row r="310" ht="18" customHeight="1" x14ac:dyDescent="0.2"/>
    <row r="311" ht="18" customHeight="1" x14ac:dyDescent="0.2"/>
    <row r="312" ht="18" customHeight="1" x14ac:dyDescent="0.2"/>
    <row r="313" ht="18" customHeight="1" x14ac:dyDescent="0.2"/>
    <row r="314" ht="18" customHeight="1" x14ac:dyDescent="0.2"/>
    <row r="315" ht="18" customHeight="1" x14ac:dyDescent="0.2"/>
    <row r="316" ht="18" customHeight="1" x14ac:dyDescent="0.2"/>
    <row r="317" ht="18" customHeight="1" x14ac:dyDescent="0.2"/>
    <row r="318" ht="18" customHeight="1" x14ac:dyDescent="0.2"/>
    <row r="319" ht="18" customHeight="1" x14ac:dyDescent="0.2"/>
    <row r="320" ht="18" customHeight="1" x14ac:dyDescent="0.2"/>
    <row r="321" ht="18" customHeight="1" x14ac:dyDescent="0.2"/>
    <row r="322" ht="18" customHeight="1" x14ac:dyDescent="0.2"/>
    <row r="323" ht="18" customHeight="1" x14ac:dyDescent="0.2"/>
    <row r="324" ht="18" customHeight="1" x14ac:dyDescent="0.2"/>
    <row r="325" ht="18" customHeight="1" x14ac:dyDescent="0.2"/>
    <row r="326" ht="18" customHeight="1" x14ac:dyDescent="0.2"/>
    <row r="327" ht="18" customHeight="1" x14ac:dyDescent="0.2"/>
    <row r="328" ht="18" customHeight="1" x14ac:dyDescent="0.2"/>
    <row r="329" ht="18" customHeight="1" x14ac:dyDescent="0.2"/>
    <row r="330" ht="18" customHeight="1" x14ac:dyDescent="0.2"/>
    <row r="331" ht="18" customHeight="1" x14ac:dyDescent="0.2"/>
    <row r="332" ht="18" customHeight="1" x14ac:dyDescent="0.2"/>
    <row r="333" ht="18" customHeight="1" x14ac:dyDescent="0.2"/>
    <row r="334" ht="18" customHeight="1" x14ac:dyDescent="0.2"/>
    <row r="335" ht="18" customHeight="1" x14ac:dyDescent="0.2"/>
    <row r="336" ht="18" customHeight="1" x14ac:dyDescent="0.2"/>
    <row r="337" ht="18" customHeight="1" x14ac:dyDescent="0.2"/>
    <row r="338" ht="18" customHeight="1" x14ac:dyDescent="0.2"/>
    <row r="339" ht="18" customHeight="1" x14ac:dyDescent="0.2"/>
    <row r="340" ht="18" customHeight="1" x14ac:dyDescent="0.2"/>
    <row r="341" ht="18" customHeight="1" x14ac:dyDescent="0.2"/>
    <row r="342" ht="18" customHeight="1" x14ac:dyDescent="0.2"/>
    <row r="343" ht="18" customHeight="1" x14ac:dyDescent="0.2"/>
    <row r="344" ht="18" customHeight="1" x14ac:dyDescent="0.2"/>
    <row r="345" ht="18" customHeight="1" x14ac:dyDescent="0.2"/>
    <row r="346" ht="18" customHeight="1" x14ac:dyDescent="0.2"/>
    <row r="347" ht="18" customHeight="1" x14ac:dyDescent="0.2"/>
    <row r="348" ht="18" customHeight="1" x14ac:dyDescent="0.2"/>
    <row r="349" ht="18" customHeight="1" x14ac:dyDescent="0.2"/>
    <row r="350" ht="18" customHeight="1" x14ac:dyDescent="0.2"/>
    <row r="351" ht="18" customHeight="1" x14ac:dyDescent="0.2"/>
    <row r="352" ht="18" customHeight="1" x14ac:dyDescent="0.2"/>
    <row r="353" ht="18" customHeight="1" x14ac:dyDescent="0.2"/>
    <row r="354" ht="18" customHeight="1" x14ac:dyDescent="0.2"/>
    <row r="355" ht="18" customHeight="1" x14ac:dyDescent="0.2"/>
    <row r="356" ht="18" customHeight="1" x14ac:dyDescent="0.2"/>
    <row r="357" ht="18" customHeight="1" x14ac:dyDescent="0.2"/>
    <row r="358" ht="18" customHeight="1" x14ac:dyDescent="0.2"/>
    <row r="359" ht="18" customHeight="1" x14ac:dyDescent="0.2"/>
    <row r="360" ht="18" customHeight="1" x14ac:dyDescent="0.2"/>
    <row r="361" ht="18" customHeight="1" x14ac:dyDescent="0.2"/>
    <row r="362" ht="18" customHeight="1" x14ac:dyDescent="0.2"/>
    <row r="363" ht="18" customHeight="1" x14ac:dyDescent="0.2"/>
    <row r="364" ht="18" customHeight="1" x14ac:dyDescent="0.2"/>
    <row r="365" ht="18" customHeight="1" x14ac:dyDescent="0.2"/>
    <row r="366" ht="18" customHeight="1" x14ac:dyDescent="0.2"/>
    <row r="367" ht="18" customHeight="1" x14ac:dyDescent="0.2"/>
    <row r="368" ht="18" customHeight="1" x14ac:dyDescent="0.2"/>
    <row r="369" ht="18" customHeight="1" x14ac:dyDescent="0.2"/>
    <row r="370" ht="18" customHeight="1" x14ac:dyDescent="0.2"/>
    <row r="371" ht="18" customHeight="1" x14ac:dyDescent="0.2"/>
    <row r="372" ht="18" customHeight="1" x14ac:dyDescent="0.2"/>
    <row r="373" ht="18" customHeight="1" x14ac:dyDescent="0.2"/>
    <row r="374" ht="18" customHeight="1" x14ac:dyDescent="0.2"/>
    <row r="375" ht="18" customHeight="1" x14ac:dyDescent="0.2"/>
    <row r="376" ht="18" customHeight="1" x14ac:dyDescent="0.2"/>
    <row r="377" ht="18" customHeight="1" x14ac:dyDescent="0.2"/>
    <row r="378" ht="18" customHeight="1" x14ac:dyDescent="0.2"/>
    <row r="379" ht="18" customHeight="1" x14ac:dyDescent="0.2"/>
    <row r="380" ht="18" customHeight="1" x14ac:dyDescent="0.2"/>
    <row r="381" ht="18" customHeight="1" x14ac:dyDescent="0.2"/>
    <row r="382" ht="18" customHeight="1" x14ac:dyDescent="0.2"/>
    <row r="383" ht="18" customHeight="1" x14ac:dyDescent="0.2"/>
    <row r="384" ht="18" customHeight="1" x14ac:dyDescent="0.2"/>
    <row r="385" ht="18" customHeight="1" x14ac:dyDescent="0.2"/>
    <row r="386" ht="18" customHeight="1" x14ac:dyDescent="0.2"/>
    <row r="387" ht="18" customHeight="1" x14ac:dyDescent="0.2"/>
    <row r="388" ht="18" customHeight="1" x14ac:dyDescent="0.2"/>
    <row r="389" ht="18" customHeight="1" x14ac:dyDescent="0.2"/>
    <row r="390" ht="18" customHeight="1" x14ac:dyDescent="0.2"/>
    <row r="391" ht="18" customHeight="1" x14ac:dyDescent="0.2"/>
    <row r="392" ht="18" customHeight="1" x14ac:dyDescent="0.2"/>
    <row r="393" ht="18" customHeight="1" x14ac:dyDescent="0.2"/>
    <row r="394" ht="18" customHeight="1" x14ac:dyDescent="0.2"/>
    <row r="395" ht="18" customHeight="1" x14ac:dyDescent="0.2"/>
    <row r="396" ht="18" customHeight="1" x14ac:dyDescent="0.2"/>
    <row r="397" ht="18" customHeight="1" x14ac:dyDescent="0.2"/>
    <row r="398" ht="18" customHeight="1" x14ac:dyDescent="0.2"/>
    <row r="399" ht="18" customHeight="1" x14ac:dyDescent="0.2"/>
    <row r="400" ht="18" customHeight="1" x14ac:dyDescent="0.2"/>
    <row r="401" ht="18" customHeight="1" x14ac:dyDescent="0.2"/>
    <row r="402" ht="18" customHeight="1" x14ac:dyDescent="0.2"/>
    <row r="403" ht="18" customHeight="1" x14ac:dyDescent="0.2"/>
    <row r="404" ht="18" customHeight="1" x14ac:dyDescent="0.2"/>
    <row r="405" ht="18" customHeight="1" x14ac:dyDescent="0.2"/>
    <row r="406" ht="18" customHeight="1" x14ac:dyDescent="0.2"/>
    <row r="407" ht="18" customHeight="1" x14ac:dyDescent="0.2"/>
    <row r="408" ht="18" customHeight="1" x14ac:dyDescent="0.2"/>
    <row r="409" ht="18" customHeight="1" x14ac:dyDescent="0.2"/>
    <row r="410" ht="18" customHeight="1" x14ac:dyDescent="0.2"/>
    <row r="411" ht="18" customHeight="1" x14ac:dyDescent="0.2"/>
    <row r="412" ht="18" customHeight="1" x14ac:dyDescent="0.2"/>
    <row r="413" ht="18" customHeight="1" x14ac:dyDescent="0.2"/>
    <row r="414" ht="18" customHeight="1" x14ac:dyDescent="0.2"/>
    <row r="415" ht="18" customHeight="1" x14ac:dyDescent="0.2"/>
    <row r="416" ht="18" customHeight="1" x14ac:dyDescent="0.2"/>
    <row r="417" ht="18" customHeight="1" x14ac:dyDescent="0.2"/>
    <row r="418" ht="18" customHeight="1" x14ac:dyDescent="0.2"/>
    <row r="419" ht="18" customHeight="1" x14ac:dyDescent="0.2"/>
    <row r="420" ht="18" customHeight="1" x14ac:dyDescent="0.2"/>
    <row r="421" ht="18" customHeight="1" x14ac:dyDescent="0.2"/>
    <row r="422" ht="18" customHeight="1" x14ac:dyDescent="0.2"/>
    <row r="423" ht="18" customHeight="1" x14ac:dyDescent="0.2"/>
    <row r="424" ht="18" customHeight="1" x14ac:dyDescent="0.2"/>
    <row r="425" ht="18" customHeight="1" x14ac:dyDescent="0.2"/>
    <row r="426" ht="18" customHeight="1" x14ac:dyDescent="0.2"/>
    <row r="427" ht="18" customHeight="1" x14ac:dyDescent="0.2"/>
    <row r="428" ht="18" customHeight="1" x14ac:dyDescent="0.2"/>
    <row r="429" ht="18" customHeight="1" x14ac:dyDescent="0.2"/>
    <row r="430" ht="18" customHeight="1" x14ac:dyDescent="0.2"/>
    <row r="431" ht="18" customHeight="1" x14ac:dyDescent="0.2"/>
    <row r="432" ht="18" customHeight="1" x14ac:dyDescent="0.2"/>
    <row r="433" ht="18" customHeight="1" x14ac:dyDescent="0.2"/>
    <row r="434" ht="18" customHeight="1" x14ac:dyDescent="0.2"/>
    <row r="435" ht="18" customHeight="1" x14ac:dyDescent="0.2"/>
    <row r="436" ht="18" customHeight="1" x14ac:dyDescent="0.2"/>
    <row r="437" ht="18" customHeight="1" x14ac:dyDescent="0.2"/>
    <row r="438" ht="18" customHeight="1" x14ac:dyDescent="0.2"/>
    <row r="439" ht="18" customHeight="1" x14ac:dyDescent="0.2"/>
    <row r="440" ht="18" customHeight="1" x14ac:dyDescent="0.2"/>
    <row r="441" ht="18" customHeight="1" x14ac:dyDescent="0.2"/>
    <row r="442" ht="18" customHeight="1" x14ac:dyDescent="0.2"/>
    <row r="443" ht="18" customHeight="1" x14ac:dyDescent="0.2"/>
    <row r="444" ht="18" customHeight="1" x14ac:dyDescent="0.2"/>
    <row r="445" ht="18" customHeight="1" x14ac:dyDescent="0.2"/>
    <row r="446" ht="18" customHeight="1" x14ac:dyDescent="0.2"/>
    <row r="447" ht="18" customHeight="1" x14ac:dyDescent="0.2"/>
    <row r="448" ht="18" customHeight="1" x14ac:dyDescent="0.2"/>
    <row r="449" ht="18" customHeight="1" x14ac:dyDescent="0.2"/>
    <row r="450" ht="18" customHeight="1" x14ac:dyDescent="0.2"/>
    <row r="451" ht="18" customHeight="1" x14ac:dyDescent="0.2"/>
    <row r="452" ht="18" customHeight="1" x14ac:dyDescent="0.2"/>
    <row r="453" ht="18" customHeight="1" x14ac:dyDescent="0.2"/>
    <row r="454" ht="18" customHeight="1" x14ac:dyDescent="0.2"/>
    <row r="455" ht="18" customHeight="1" x14ac:dyDescent="0.2"/>
    <row r="456" ht="18" customHeight="1" x14ac:dyDescent="0.2"/>
    <row r="457" ht="18" customHeight="1" x14ac:dyDescent="0.2"/>
    <row r="458" ht="18" customHeight="1" x14ac:dyDescent="0.2"/>
    <row r="459" ht="18" customHeight="1" x14ac:dyDescent="0.2"/>
    <row r="460" ht="18" customHeight="1" x14ac:dyDescent="0.2"/>
    <row r="461" ht="18" customHeight="1" x14ac:dyDescent="0.2"/>
    <row r="462" ht="18" customHeight="1" x14ac:dyDescent="0.2"/>
    <row r="463" ht="18" customHeight="1" x14ac:dyDescent="0.2"/>
    <row r="464" ht="18" customHeight="1" x14ac:dyDescent="0.2"/>
    <row r="465" ht="18" customHeight="1" x14ac:dyDescent="0.2"/>
    <row r="466" ht="18" customHeight="1" x14ac:dyDescent="0.2"/>
    <row r="467" ht="18" customHeight="1" x14ac:dyDescent="0.2"/>
    <row r="468" ht="18" customHeight="1" x14ac:dyDescent="0.2"/>
    <row r="469" ht="18" customHeight="1" x14ac:dyDescent="0.2"/>
    <row r="470" ht="18" customHeight="1" x14ac:dyDescent="0.2"/>
    <row r="471" ht="18" customHeight="1" x14ac:dyDescent="0.2"/>
    <row r="472" ht="18" customHeight="1" x14ac:dyDescent="0.2"/>
    <row r="473" ht="18" customHeight="1" x14ac:dyDescent="0.2"/>
    <row r="474" ht="18" customHeight="1" x14ac:dyDescent="0.2"/>
    <row r="475" ht="18" customHeight="1" x14ac:dyDescent="0.2"/>
    <row r="476" ht="18" customHeight="1" x14ac:dyDescent="0.2"/>
    <row r="477" ht="18" customHeight="1" x14ac:dyDescent="0.2"/>
    <row r="478" ht="18" customHeight="1" x14ac:dyDescent="0.2"/>
    <row r="479" ht="18" customHeight="1" x14ac:dyDescent="0.2"/>
    <row r="480" ht="18" customHeight="1" x14ac:dyDescent="0.2"/>
    <row r="481" ht="18" customHeight="1" x14ac:dyDescent="0.2"/>
    <row r="482" ht="18" customHeight="1" x14ac:dyDescent="0.2"/>
    <row r="483" ht="18" customHeight="1" x14ac:dyDescent="0.2"/>
    <row r="484" ht="18" customHeight="1" x14ac:dyDescent="0.2"/>
    <row r="485" ht="18" customHeight="1" x14ac:dyDescent="0.2"/>
    <row r="486" ht="18" customHeight="1" x14ac:dyDescent="0.2"/>
    <row r="487" ht="18" customHeight="1" x14ac:dyDescent="0.2"/>
    <row r="488" ht="18" customHeight="1" x14ac:dyDescent="0.2"/>
    <row r="489" ht="18" customHeight="1" x14ac:dyDescent="0.2"/>
    <row r="490" ht="18" customHeight="1" x14ac:dyDescent="0.2"/>
    <row r="491" ht="18" customHeight="1" x14ac:dyDescent="0.2"/>
    <row r="492" ht="18" customHeight="1" x14ac:dyDescent="0.2"/>
    <row r="493" ht="18" customHeight="1" x14ac:dyDescent="0.2"/>
    <row r="494" ht="18" customHeight="1" x14ac:dyDescent="0.2"/>
    <row r="495" ht="18" customHeight="1" x14ac:dyDescent="0.2"/>
    <row r="496" ht="18" customHeight="1" x14ac:dyDescent="0.2"/>
    <row r="497" ht="18" customHeight="1" x14ac:dyDescent="0.2"/>
    <row r="498" ht="18" customHeight="1" x14ac:dyDescent="0.2"/>
    <row r="499" ht="18" customHeight="1" x14ac:dyDescent="0.2"/>
    <row r="500" ht="18" customHeight="1" x14ac:dyDescent="0.2"/>
    <row r="501" ht="18" customHeight="1" x14ac:dyDescent="0.2"/>
    <row r="502" ht="18" customHeight="1" x14ac:dyDescent="0.2"/>
    <row r="503" ht="18" customHeight="1" x14ac:dyDescent="0.2"/>
    <row r="504" ht="18" customHeight="1" x14ac:dyDescent="0.2"/>
    <row r="505" ht="18" customHeight="1" x14ac:dyDescent="0.2"/>
    <row r="506" ht="18" customHeight="1" x14ac:dyDescent="0.2"/>
    <row r="507" ht="18" customHeight="1" x14ac:dyDescent="0.2"/>
    <row r="508" ht="18" customHeight="1" x14ac:dyDescent="0.2"/>
    <row r="509" ht="18" customHeight="1" x14ac:dyDescent="0.2"/>
    <row r="510" ht="18" customHeight="1" x14ac:dyDescent="0.2"/>
    <row r="511" ht="18" customHeight="1" x14ac:dyDescent="0.2"/>
    <row r="512" ht="18" customHeight="1" x14ac:dyDescent="0.2"/>
    <row r="513" ht="18" customHeight="1" x14ac:dyDescent="0.2"/>
    <row r="514" ht="18" customHeight="1" x14ac:dyDescent="0.2"/>
    <row r="515" ht="18" customHeight="1" x14ac:dyDescent="0.2"/>
    <row r="516" ht="18" customHeight="1" x14ac:dyDescent="0.2"/>
    <row r="517" ht="18" customHeight="1" x14ac:dyDescent="0.2"/>
    <row r="518" ht="18" customHeight="1" x14ac:dyDescent="0.2"/>
    <row r="519" ht="18" customHeight="1" x14ac:dyDescent="0.2"/>
    <row r="520" ht="18" customHeight="1" x14ac:dyDescent="0.2"/>
    <row r="521" ht="18" customHeight="1" x14ac:dyDescent="0.2"/>
    <row r="522" ht="18" customHeight="1" x14ac:dyDescent="0.2"/>
    <row r="523" ht="18" customHeight="1" x14ac:dyDescent="0.2"/>
    <row r="524" ht="18" customHeight="1" x14ac:dyDescent="0.2"/>
    <row r="525" ht="18" customHeight="1" x14ac:dyDescent="0.2"/>
    <row r="526" ht="18" customHeight="1" x14ac:dyDescent="0.2"/>
    <row r="527" ht="18" customHeight="1" x14ac:dyDescent="0.2"/>
    <row r="528" ht="18" customHeight="1" x14ac:dyDescent="0.2"/>
    <row r="529" ht="18" customHeight="1" x14ac:dyDescent="0.2"/>
    <row r="530" ht="18" customHeight="1" x14ac:dyDescent="0.2"/>
    <row r="531" ht="18" customHeight="1" x14ac:dyDescent="0.2"/>
    <row r="532" ht="18" customHeight="1" x14ac:dyDescent="0.2"/>
    <row r="533" ht="18" customHeight="1" x14ac:dyDescent="0.2"/>
    <row r="534" ht="18" customHeight="1" x14ac:dyDescent="0.2"/>
    <row r="535" ht="18" customHeight="1" x14ac:dyDescent="0.2"/>
    <row r="536" ht="18" customHeight="1" x14ac:dyDescent="0.2"/>
    <row r="537" ht="18" customHeight="1" x14ac:dyDescent="0.2"/>
    <row r="538" ht="18" customHeight="1" x14ac:dyDescent="0.2"/>
    <row r="539" ht="18" customHeight="1" x14ac:dyDescent="0.2"/>
    <row r="540" ht="18" customHeight="1" x14ac:dyDescent="0.2"/>
    <row r="541" ht="18" customHeight="1" x14ac:dyDescent="0.2"/>
    <row r="542" ht="18" customHeight="1" x14ac:dyDescent="0.2"/>
    <row r="543" ht="18" customHeight="1" x14ac:dyDescent="0.2"/>
    <row r="544" ht="18" customHeight="1" x14ac:dyDescent="0.2"/>
    <row r="545" ht="18" customHeight="1" x14ac:dyDescent="0.2"/>
    <row r="546" ht="18" customHeight="1" x14ac:dyDescent="0.2"/>
    <row r="547" ht="18" customHeight="1" x14ac:dyDescent="0.2"/>
    <row r="548" ht="18" customHeight="1" x14ac:dyDescent="0.2"/>
    <row r="549" ht="18" customHeight="1" x14ac:dyDescent="0.2"/>
    <row r="550" ht="18" customHeight="1" x14ac:dyDescent="0.2"/>
    <row r="551" ht="18" customHeight="1" x14ac:dyDescent="0.2"/>
    <row r="552" ht="18" customHeight="1" x14ac:dyDescent="0.2"/>
    <row r="553" ht="18" customHeight="1" x14ac:dyDescent="0.2"/>
    <row r="554" ht="18" customHeight="1" x14ac:dyDescent="0.2"/>
    <row r="555" ht="18" customHeight="1" x14ac:dyDescent="0.2"/>
    <row r="556" ht="18" customHeight="1" x14ac:dyDescent="0.2"/>
    <row r="557" ht="18" customHeight="1" x14ac:dyDescent="0.2"/>
    <row r="558" ht="18" customHeight="1" x14ac:dyDescent="0.2"/>
    <row r="559" ht="18" customHeight="1" x14ac:dyDescent="0.2"/>
    <row r="560" ht="18" customHeight="1" x14ac:dyDescent="0.2"/>
    <row r="561" ht="18" customHeight="1" x14ac:dyDescent="0.2"/>
    <row r="562" ht="18" customHeight="1" x14ac:dyDescent="0.2"/>
    <row r="563" ht="18" customHeight="1" x14ac:dyDescent="0.2"/>
    <row r="564" ht="18" customHeight="1" x14ac:dyDescent="0.2"/>
    <row r="565" ht="18" customHeight="1" x14ac:dyDescent="0.2"/>
    <row r="566" ht="18" customHeight="1" x14ac:dyDescent="0.2"/>
    <row r="567" ht="18" customHeight="1" x14ac:dyDescent="0.2"/>
    <row r="568" ht="18" customHeight="1" x14ac:dyDescent="0.2"/>
    <row r="569" ht="18" customHeight="1" x14ac:dyDescent="0.2"/>
    <row r="570" ht="18" customHeight="1" x14ac:dyDescent="0.2"/>
    <row r="571" ht="18" customHeight="1" x14ac:dyDescent="0.2"/>
    <row r="572" ht="18" customHeight="1" x14ac:dyDescent="0.2"/>
    <row r="573" ht="18" customHeight="1" x14ac:dyDescent="0.2"/>
    <row r="574" ht="18" customHeight="1" x14ac:dyDescent="0.2"/>
    <row r="575" ht="18" customHeight="1" x14ac:dyDescent="0.2"/>
    <row r="576" ht="18" customHeight="1" x14ac:dyDescent="0.2"/>
    <row r="577" ht="18" customHeight="1" x14ac:dyDescent="0.2"/>
    <row r="578" ht="18" customHeight="1" x14ac:dyDescent="0.2"/>
    <row r="579" ht="18" customHeight="1" x14ac:dyDescent="0.2"/>
    <row r="580" ht="18" customHeight="1" x14ac:dyDescent="0.2"/>
    <row r="581" ht="18" customHeight="1" x14ac:dyDescent="0.2"/>
    <row r="582" ht="18" customHeight="1" x14ac:dyDescent="0.2"/>
    <row r="583" ht="18" customHeight="1" x14ac:dyDescent="0.2"/>
    <row r="584" ht="18" customHeight="1" x14ac:dyDescent="0.2"/>
    <row r="585" ht="18" customHeight="1" x14ac:dyDescent="0.2"/>
    <row r="586" ht="18" customHeight="1" x14ac:dyDescent="0.2"/>
    <row r="587" ht="18" customHeight="1" x14ac:dyDescent="0.2"/>
    <row r="588" ht="18" customHeight="1" x14ac:dyDescent="0.2"/>
    <row r="589" ht="18" customHeight="1" x14ac:dyDescent="0.2"/>
    <row r="590" ht="18" customHeight="1" x14ac:dyDescent="0.2"/>
    <row r="591" ht="18" customHeight="1" x14ac:dyDescent="0.2"/>
    <row r="592" ht="18" customHeight="1" x14ac:dyDescent="0.2"/>
    <row r="593" ht="18" customHeight="1" x14ac:dyDescent="0.2"/>
    <row r="594" ht="18" customHeight="1" x14ac:dyDescent="0.2"/>
    <row r="595" ht="18" customHeight="1" x14ac:dyDescent="0.2"/>
    <row r="596" ht="18" customHeight="1" x14ac:dyDescent="0.2"/>
    <row r="597" ht="18" customHeight="1" x14ac:dyDescent="0.2"/>
    <row r="598" ht="18" customHeight="1" x14ac:dyDescent="0.2"/>
    <row r="599" ht="18" customHeight="1" x14ac:dyDescent="0.2"/>
    <row r="600" ht="18" customHeight="1" x14ac:dyDescent="0.2"/>
    <row r="601" ht="18" customHeight="1" x14ac:dyDescent="0.2"/>
    <row r="602" ht="18" customHeight="1" x14ac:dyDescent="0.2"/>
    <row r="603" ht="18" customHeight="1" x14ac:dyDescent="0.2"/>
    <row r="604" ht="18" customHeight="1" x14ac:dyDescent="0.2"/>
    <row r="605" ht="18" customHeight="1" x14ac:dyDescent="0.2"/>
    <row r="606" ht="18" customHeight="1" x14ac:dyDescent="0.2"/>
    <row r="607" ht="18" customHeight="1" x14ac:dyDescent="0.2"/>
    <row r="608" ht="18" customHeight="1" x14ac:dyDescent="0.2"/>
    <row r="609" ht="18" customHeight="1" x14ac:dyDescent="0.2"/>
    <row r="610" ht="18" customHeight="1" x14ac:dyDescent="0.2"/>
    <row r="611" ht="18" customHeight="1" x14ac:dyDescent="0.2"/>
    <row r="612" ht="18" customHeight="1" x14ac:dyDescent="0.2"/>
    <row r="613" ht="18" customHeight="1" x14ac:dyDescent="0.2"/>
    <row r="614" ht="18" customHeight="1" x14ac:dyDescent="0.2"/>
    <row r="615" ht="18" customHeight="1" x14ac:dyDescent="0.2"/>
    <row r="616" ht="18" customHeight="1" x14ac:dyDescent="0.2"/>
    <row r="617" ht="18" customHeight="1" x14ac:dyDescent="0.2"/>
    <row r="618" ht="18" customHeight="1" x14ac:dyDescent="0.2"/>
    <row r="619" ht="18" customHeight="1" x14ac:dyDescent="0.2"/>
    <row r="620" ht="18" customHeight="1" x14ac:dyDescent="0.2"/>
    <row r="621" ht="18" customHeight="1" x14ac:dyDescent="0.2"/>
    <row r="622" ht="18" customHeight="1" x14ac:dyDescent="0.2"/>
    <row r="623" ht="18" customHeight="1" x14ac:dyDescent="0.2"/>
    <row r="624" ht="18" customHeight="1" x14ac:dyDescent="0.2"/>
    <row r="625" ht="18" customHeight="1" x14ac:dyDescent="0.2"/>
    <row r="626" ht="18" customHeight="1" x14ac:dyDescent="0.2"/>
    <row r="627" ht="18" customHeight="1" x14ac:dyDescent="0.2"/>
    <row r="628" ht="18" customHeight="1" x14ac:dyDescent="0.2"/>
    <row r="629" ht="18" customHeight="1" x14ac:dyDescent="0.2"/>
    <row r="630" ht="18" customHeight="1" x14ac:dyDescent="0.2"/>
    <row r="631" ht="18" customHeight="1" x14ac:dyDescent="0.2"/>
    <row r="632" ht="18" customHeight="1" x14ac:dyDescent="0.2"/>
    <row r="633" ht="18" customHeight="1" x14ac:dyDescent="0.2"/>
    <row r="634" ht="18" customHeight="1" x14ac:dyDescent="0.2"/>
    <row r="635" ht="18" customHeight="1" x14ac:dyDescent="0.2"/>
    <row r="636" ht="18" customHeight="1" x14ac:dyDescent="0.2"/>
    <row r="637" ht="18" customHeight="1" x14ac:dyDescent="0.2"/>
    <row r="638" ht="18" customHeight="1" x14ac:dyDescent="0.2"/>
    <row r="639" ht="18" customHeight="1" x14ac:dyDescent="0.2"/>
    <row r="640" ht="18" customHeight="1" x14ac:dyDescent="0.2"/>
    <row r="641" ht="18" customHeight="1" x14ac:dyDescent="0.2"/>
    <row r="642" ht="18" customHeight="1" x14ac:dyDescent="0.2"/>
    <row r="643" ht="18" customHeight="1" x14ac:dyDescent="0.2"/>
    <row r="644" ht="18" customHeight="1" x14ac:dyDescent="0.2"/>
    <row r="645" ht="18" customHeight="1" x14ac:dyDescent="0.2"/>
    <row r="646" ht="18" customHeight="1" x14ac:dyDescent="0.2"/>
    <row r="647" ht="18" customHeight="1" x14ac:dyDescent="0.2"/>
    <row r="648" ht="18" customHeight="1" x14ac:dyDescent="0.2"/>
    <row r="649" ht="18" customHeight="1" x14ac:dyDescent="0.2"/>
    <row r="650" ht="18" customHeight="1" x14ac:dyDescent="0.2"/>
    <row r="651" ht="18" customHeight="1" x14ac:dyDescent="0.2"/>
    <row r="652" ht="18" customHeight="1" x14ac:dyDescent="0.2"/>
    <row r="653" ht="18" customHeight="1" x14ac:dyDescent="0.2"/>
    <row r="654" ht="18" customHeight="1" x14ac:dyDescent="0.2"/>
    <row r="655" ht="18" customHeight="1" x14ac:dyDescent="0.2"/>
    <row r="656" ht="18" customHeight="1" x14ac:dyDescent="0.2"/>
    <row r="657" ht="18" customHeight="1" x14ac:dyDescent="0.2"/>
    <row r="658" ht="18" customHeight="1" x14ac:dyDescent="0.2"/>
    <row r="659" ht="18" customHeight="1" x14ac:dyDescent="0.2"/>
    <row r="660" ht="18" customHeight="1" x14ac:dyDescent="0.2"/>
    <row r="661" ht="18" customHeight="1" x14ac:dyDescent="0.2"/>
    <row r="662" ht="18" customHeight="1" x14ac:dyDescent="0.2"/>
    <row r="663" ht="18" customHeight="1" x14ac:dyDescent="0.2"/>
    <row r="664" ht="18" customHeight="1" x14ac:dyDescent="0.2"/>
    <row r="665" ht="18" customHeight="1" x14ac:dyDescent="0.2"/>
    <row r="666" ht="18" customHeight="1" x14ac:dyDescent="0.2"/>
    <row r="667" ht="18" customHeight="1" x14ac:dyDescent="0.2"/>
    <row r="668" ht="18" customHeight="1" x14ac:dyDescent="0.2"/>
    <row r="669" ht="18" customHeight="1" x14ac:dyDescent="0.2"/>
    <row r="670" ht="18" customHeight="1" x14ac:dyDescent="0.2"/>
    <row r="671" ht="18" customHeight="1" x14ac:dyDescent="0.2"/>
    <row r="672" ht="18" customHeight="1" x14ac:dyDescent="0.2"/>
    <row r="673" ht="18" customHeight="1" x14ac:dyDescent="0.2"/>
    <row r="674" ht="18" customHeight="1" x14ac:dyDescent="0.2"/>
    <row r="675" ht="18" customHeight="1" x14ac:dyDescent="0.2"/>
    <row r="676" ht="18" customHeight="1" x14ac:dyDescent="0.2"/>
    <row r="677" ht="18" customHeight="1" x14ac:dyDescent="0.2"/>
    <row r="678" ht="18" customHeight="1" x14ac:dyDescent="0.2"/>
    <row r="679" ht="18" customHeight="1" x14ac:dyDescent="0.2"/>
    <row r="680" ht="18" customHeight="1" x14ac:dyDescent="0.2"/>
    <row r="681" ht="18" customHeight="1" x14ac:dyDescent="0.2"/>
    <row r="682" ht="18" customHeight="1" x14ac:dyDescent="0.2"/>
    <row r="683" ht="18" customHeight="1" x14ac:dyDescent="0.2"/>
    <row r="684" ht="18" customHeight="1" x14ac:dyDescent="0.2"/>
    <row r="685" ht="18" customHeight="1" x14ac:dyDescent="0.2"/>
    <row r="686" ht="18" customHeight="1" x14ac:dyDescent="0.2"/>
    <row r="687" ht="18" customHeight="1" x14ac:dyDescent="0.2"/>
    <row r="688" ht="18" customHeight="1" x14ac:dyDescent="0.2"/>
    <row r="689" ht="18" customHeight="1" x14ac:dyDescent="0.2"/>
    <row r="690" ht="18" customHeight="1" x14ac:dyDescent="0.2"/>
    <row r="691" ht="18" customHeight="1" x14ac:dyDescent="0.2"/>
    <row r="692" ht="18" customHeight="1" x14ac:dyDescent="0.2"/>
    <row r="693" ht="18" customHeight="1" x14ac:dyDescent="0.2"/>
    <row r="694" ht="18" customHeight="1" x14ac:dyDescent="0.2"/>
    <row r="695" ht="18" customHeight="1" x14ac:dyDescent="0.2"/>
    <row r="696" ht="18" customHeight="1" x14ac:dyDescent="0.2"/>
    <row r="697" ht="18" customHeight="1" x14ac:dyDescent="0.2"/>
    <row r="698" ht="18" customHeight="1" x14ac:dyDescent="0.2"/>
    <row r="699" ht="18" customHeight="1" x14ac:dyDescent="0.2"/>
    <row r="700" ht="18" customHeight="1" x14ac:dyDescent="0.2"/>
    <row r="701" ht="18" customHeight="1" x14ac:dyDescent="0.2"/>
    <row r="702" ht="18" customHeight="1" x14ac:dyDescent="0.2"/>
    <row r="703" ht="18" customHeight="1" x14ac:dyDescent="0.2"/>
    <row r="704" ht="18" customHeight="1" x14ac:dyDescent="0.2"/>
    <row r="705" ht="18" customHeight="1" x14ac:dyDescent="0.2"/>
    <row r="706" ht="18" customHeight="1" x14ac:dyDescent="0.2"/>
    <row r="707" ht="18" customHeight="1" x14ac:dyDescent="0.2"/>
    <row r="708" ht="18" customHeight="1" x14ac:dyDescent="0.2"/>
    <row r="709" ht="18" customHeight="1" x14ac:dyDescent="0.2"/>
    <row r="710" ht="18" customHeight="1" x14ac:dyDescent="0.2"/>
    <row r="711" ht="18" customHeight="1" x14ac:dyDescent="0.2"/>
    <row r="712" ht="18" customHeight="1" x14ac:dyDescent="0.2"/>
    <row r="713" ht="18" customHeight="1" x14ac:dyDescent="0.2"/>
    <row r="714" ht="18" customHeight="1" x14ac:dyDescent="0.2"/>
    <row r="715" ht="18" customHeight="1" x14ac:dyDescent="0.2"/>
    <row r="716" ht="18" customHeight="1" x14ac:dyDescent="0.2"/>
    <row r="717" ht="18" customHeight="1" x14ac:dyDescent="0.2"/>
    <row r="718" ht="18" customHeight="1" x14ac:dyDescent="0.2"/>
    <row r="719" ht="18" customHeight="1" x14ac:dyDescent="0.2"/>
    <row r="720" ht="18" customHeight="1" x14ac:dyDescent="0.2"/>
    <row r="721" ht="18" customHeight="1" x14ac:dyDescent="0.2"/>
    <row r="722" ht="18" customHeight="1" x14ac:dyDescent="0.2"/>
    <row r="723" ht="18" customHeight="1" x14ac:dyDescent="0.2"/>
    <row r="724" ht="18" customHeight="1" x14ac:dyDescent="0.2"/>
    <row r="725" ht="18" customHeight="1" x14ac:dyDescent="0.2"/>
    <row r="726" ht="18" customHeight="1" x14ac:dyDescent="0.2"/>
    <row r="727" ht="18" customHeight="1" x14ac:dyDescent="0.2"/>
    <row r="728" ht="18" customHeight="1" x14ac:dyDescent="0.2"/>
    <row r="729" ht="18" customHeight="1" x14ac:dyDescent="0.2"/>
    <row r="730" ht="18" customHeight="1" x14ac:dyDescent="0.2"/>
    <row r="731" ht="18" customHeight="1" x14ac:dyDescent="0.2"/>
    <row r="732" ht="18" customHeight="1" x14ac:dyDescent="0.2"/>
    <row r="733" ht="18" customHeight="1" x14ac:dyDescent="0.2"/>
    <row r="734" ht="18" customHeight="1" x14ac:dyDescent="0.2"/>
    <row r="735" ht="18" customHeight="1" x14ac:dyDescent="0.2"/>
    <row r="736" ht="18" customHeight="1" x14ac:dyDescent="0.2"/>
    <row r="737" ht="18" customHeight="1" x14ac:dyDescent="0.2"/>
    <row r="738" ht="18" customHeight="1" x14ac:dyDescent="0.2"/>
    <row r="739" ht="18" customHeight="1" x14ac:dyDescent="0.2"/>
    <row r="740" ht="18" customHeight="1" x14ac:dyDescent="0.2"/>
    <row r="741" ht="18" customHeight="1" x14ac:dyDescent="0.2"/>
    <row r="742" ht="18" customHeight="1" x14ac:dyDescent="0.2"/>
    <row r="743" ht="18" customHeight="1" x14ac:dyDescent="0.2"/>
    <row r="744" ht="18" customHeight="1" x14ac:dyDescent="0.2"/>
    <row r="745" ht="18" customHeight="1" x14ac:dyDescent="0.2"/>
    <row r="746" ht="18" customHeight="1" x14ac:dyDescent="0.2"/>
    <row r="747" ht="18" customHeight="1" x14ac:dyDescent="0.2"/>
    <row r="748" ht="18" customHeight="1" x14ac:dyDescent="0.2"/>
    <row r="749" ht="18" customHeight="1" x14ac:dyDescent="0.2"/>
    <row r="750" ht="18" customHeight="1" x14ac:dyDescent="0.2"/>
    <row r="751" ht="18" customHeight="1" x14ac:dyDescent="0.2"/>
    <row r="752" ht="18" customHeight="1" x14ac:dyDescent="0.2"/>
    <row r="753" ht="18" customHeight="1" x14ac:dyDescent="0.2"/>
    <row r="754" ht="18" customHeight="1" x14ac:dyDescent="0.2"/>
    <row r="755" ht="18" customHeight="1" x14ac:dyDescent="0.2"/>
    <row r="756" ht="18" customHeight="1" x14ac:dyDescent="0.2"/>
    <row r="757" ht="18" customHeight="1" x14ac:dyDescent="0.2"/>
    <row r="758" ht="18" customHeight="1" x14ac:dyDescent="0.2"/>
    <row r="759" ht="18" customHeight="1" x14ac:dyDescent="0.2"/>
    <row r="760" ht="18" customHeight="1" x14ac:dyDescent="0.2"/>
    <row r="761" ht="18" customHeight="1" x14ac:dyDescent="0.2"/>
    <row r="762" ht="18" customHeight="1" x14ac:dyDescent="0.2"/>
    <row r="763" ht="18" customHeight="1" x14ac:dyDescent="0.2"/>
    <row r="764" ht="18" customHeight="1" x14ac:dyDescent="0.2"/>
    <row r="765" ht="18" customHeight="1" x14ac:dyDescent="0.2"/>
    <row r="766" ht="18" customHeight="1" x14ac:dyDescent="0.2"/>
    <row r="767" ht="18" customHeight="1" x14ac:dyDescent="0.2"/>
    <row r="768" ht="18" customHeight="1" x14ac:dyDescent="0.2"/>
    <row r="769" ht="18" customHeight="1" x14ac:dyDescent="0.2"/>
    <row r="770" ht="18" customHeight="1" x14ac:dyDescent="0.2"/>
    <row r="771" ht="18" customHeight="1" x14ac:dyDescent="0.2"/>
    <row r="772" ht="18" customHeight="1" x14ac:dyDescent="0.2"/>
    <row r="773" ht="18" customHeight="1" x14ac:dyDescent="0.2"/>
    <row r="774" ht="18" customHeight="1" x14ac:dyDescent="0.2"/>
    <row r="775" ht="18" customHeight="1" x14ac:dyDescent="0.2"/>
    <row r="776" ht="18" customHeight="1" x14ac:dyDescent="0.2"/>
    <row r="777" ht="18" customHeight="1" x14ac:dyDescent="0.2"/>
    <row r="778" ht="18" customHeight="1" x14ac:dyDescent="0.2"/>
    <row r="779" ht="18" customHeight="1" x14ac:dyDescent="0.2"/>
    <row r="780" ht="18" customHeight="1" x14ac:dyDescent="0.2"/>
    <row r="781" ht="18" customHeight="1" x14ac:dyDescent="0.2"/>
    <row r="782" ht="18" customHeight="1" x14ac:dyDescent="0.2"/>
    <row r="783" ht="18" customHeight="1" x14ac:dyDescent="0.2"/>
    <row r="784" ht="18" customHeight="1" x14ac:dyDescent="0.2"/>
    <row r="785" ht="18" customHeight="1" x14ac:dyDescent="0.2"/>
    <row r="786" ht="18" customHeight="1" x14ac:dyDescent="0.2"/>
    <row r="787" ht="18" customHeight="1" x14ac:dyDescent="0.2"/>
    <row r="788" ht="18" customHeight="1" x14ac:dyDescent="0.2"/>
    <row r="789" ht="18" customHeight="1" x14ac:dyDescent="0.2"/>
    <row r="790" ht="18" customHeight="1" x14ac:dyDescent="0.2"/>
    <row r="791" ht="18" customHeight="1" x14ac:dyDescent="0.2"/>
    <row r="792" ht="18" customHeight="1" x14ac:dyDescent="0.2"/>
    <row r="793" ht="18" customHeight="1" x14ac:dyDescent="0.2"/>
    <row r="794" ht="18" customHeight="1" x14ac:dyDescent="0.2"/>
    <row r="795" ht="18" customHeight="1" x14ac:dyDescent="0.2"/>
    <row r="796" ht="18" customHeight="1" x14ac:dyDescent="0.2"/>
    <row r="797" ht="18" customHeight="1" x14ac:dyDescent="0.2"/>
    <row r="798" ht="18" customHeight="1" x14ac:dyDescent="0.2"/>
    <row r="799" ht="18" customHeight="1" x14ac:dyDescent="0.2"/>
    <row r="800" ht="18" customHeight="1" x14ac:dyDescent="0.2"/>
    <row r="801" ht="18" customHeight="1" x14ac:dyDescent="0.2"/>
    <row r="802" ht="18" customHeight="1" x14ac:dyDescent="0.2"/>
    <row r="803" ht="18" customHeight="1" x14ac:dyDescent="0.2"/>
    <row r="804" ht="18" customHeight="1" x14ac:dyDescent="0.2"/>
    <row r="805" ht="18" customHeight="1" x14ac:dyDescent="0.2"/>
    <row r="806" ht="18" customHeight="1" x14ac:dyDescent="0.2"/>
    <row r="807" ht="18" customHeight="1" x14ac:dyDescent="0.2"/>
    <row r="808" ht="18" customHeight="1" x14ac:dyDescent="0.2"/>
    <row r="809" ht="18" customHeight="1" x14ac:dyDescent="0.2"/>
    <row r="810" ht="18" customHeight="1" x14ac:dyDescent="0.2"/>
    <row r="811" ht="18" customHeight="1" x14ac:dyDescent="0.2"/>
    <row r="812" ht="18" customHeight="1" x14ac:dyDescent="0.2"/>
    <row r="813" ht="18" customHeight="1" x14ac:dyDescent="0.2"/>
    <row r="814" ht="18" customHeight="1" x14ac:dyDescent="0.2"/>
    <row r="815" ht="18" customHeight="1" x14ac:dyDescent="0.2"/>
    <row r="816" ht="18" customHeight="1" x14ac:dyDescent="0.2"/>
    <row r="817" ht="18" customHeight="1" x14ac:dyDescent="0.2"/>
    <row r="818" ht="18" customHeight="1" x14ac:dyDescent="0.2"/>
    <row r="819" ht="18" customHeight="1" x14ac:dyDescent="0.2"/>
    <row r="820" ht="18" customHeight="1" x14ac:dyDescent="0.2"/>
    <row r="821" ht="18" customHeight="1" x14ac:dyDescent="0.2"/>
    <row r="822" ht="18" customHeight="1" x14ac:dyDescent="0.2"/>
    <row r="823" ht="18" customHeight="1" x14ac:dyDescent="0.2"/>
    <row r="824" ht="18" customHeight="1" x14ac:dyDescent="0.2"/>
    <row r="825" ht="18" customHeight="1" x14ac:dyDescent="0.2"/>
    <row r="826" ht="18" customHeight="1" x14ac:dyDescent="0.2"/>
    <row r="827" ht="18" customHeight="1" x14ac:dyDescent="0.2"/>
    <row r="828" ht="18" customHeight="1" x14ac:dyDescent="0.2"/>
    <row r="829" ht="18" customHeight="1" x14ac:dyDescent="0.2"/>
    <row r="830" ht="18" customHeight="1" x14ac:dyDescent="0.2"/>
    <row r="831" ht="18" customHeight="1" x14ac:dyDescent="0.2"/>
    <row r="832" ht="18" customHeight="1" x14ac:dyDescent="0.2"/>
    <row r="833" ht="18" customHeight="1" x14ac:dyDescent="0.2"/>
    <row r="834" ht="18" customHeight="1" x14ac:dyDescent="0.2"/>
    <row r="835" ht="18" customHeight="1" x14ac:dyDescent="0.2"/>
    <row r="836" ht="18" customHeight="1" x14ac:dyDescent="0.2"/>
    <row r="837" ht="18" customHeight="1" x14ac:dyDescent="0.2"/>
    <row r="838" ht="18" customHeight="1" x14ac:dyDescent="0.2"/>
    <row r="839" ht="18" customHeight="1" x14ac:dyDescent="0.2"/>
    <row r="840" ht="18" customHeight="1" x14ac:dyDescent="0.2"/>
    <row r="841" ht="18" customHeight="1" x14ac:dyDescent="0.2"/>
    <row r="842" ht="18" customHeight="1" x14ac:dyDescent="0.2"/>
    <row r="843" ht="18" customHeight="1" x14ac:dyDescent="0.2"/>
    <row r="844" ht="18" customHeight="1" x14ac:dyDescent="0.2"/>
    <row r="845" ht="18" customHeight="1" x14ac:dyDescent="0.2"/>
    <row r="846" ht="18" customHeight="1" x14ac:dyDescent="0.2"/>
    <row r="847" ht="18" customHeight="1" x14ac:dyDescent="0.2"/>
    <row r="848" ht="18" customHeight="1" x14ac:dyDescent="0.2"/>
    <row r="849" ht="18" customHeight="1" x14ac:dyDescent="0.2"/>
    <row r="850" ht="18" customHeight="1" x14ac:dyDescent="0.2"/>
    <row r="851" ht="18" customHeight="1" x14ac:dyDescent="0.2"/>
    <row r="852" ht="18" customHeight="1" x14ac:dyDescent="0.2"/>
    <row r="853" ht="18" customHeight="1" x14ac:dyDescent="0.2"/>
    <row r="854" ht="18" customHeight="1" x14ac:dyDescent="0.2"/>
    <row r="855" ht="18" customHeight="1" x14ac:dyDescent="0.2"/>
    <row r="856" ht="18" customHeight="1" x14ac:dyDescent="0.2"/>
    <row r="857" ht="18" customHeight="1" x14ac:dyDescent="0.2"/>
    <row r="858" ht="18" customHeight="1" x14ac:dyDescent="0.2"/>
    <row r="859" ht="18" customHeight="1" x14ac:dyDescent="0.2"/>
    <row r="860" ht="18" customHeight="1" x14ac:dyDescent="0.2"/>
    <row r="861" ht="18" customHeight="1" x14ac:dyDescent="0.2"/>
    <row r="862" ht="18" customHeight="1" x14ac:dyDescent="0.2"/>
    <row r="863" ht="18" customHeight="1" x14ac:dyDescent="0.2"/>
    <row r="864" ht="18" customHeight="1" x14ac:dyDescent="0.2"/>
    <row r="865" ht="18" customHeight="1" x14ac:dyDescent="0.2"/>
    <row r="866" ht="18" customHeight="1" x14ac:dyDescent="0.2"/>
    <row r="867" ht="18" customHeight="1" x14ac:dyDescent="0.2"/>
    <row r="868" ht="18" customHeight="1" x14ac:dyDescent="0.2"/>
    <row r="869" ht="18" customHeight="1" x14ac:dyDescent="0.2"/>
    <row r="870" ht="18" customHeight="1" x14ac:dyDescent="0.2"/>
    <row r="871" ht="18" customHeight="1" x14ac:dyDescent="0.2"/>
    <row r="872" ht="18" customHeight="1" x14ac:dyDescent="0.2"/>
    <row r="873" ht="18" customHeight="1" x14ac:dyDescent="0.2"/>
    <row r="874" ht="18" customHeight="1" x14ac:dyDescent="0.2"/>
    <row r="875" ht="18" customHeight="1" x14ac:dyDescent="0.2"/>
    <row r="876" ht="18" customHeight="1" x14ac:dyDescent="0.2"/>
    <row r="877" ht="18" customHeight="1" x14ac:dyDescent="0.2"/>
    <row r="878" ht="18" customHeight="1" x14ac:dyDescent="0.2"/>
    <row r="879" ht="18" customHeight="1" x14ac:dyDescent="0.2"/>
    <row r="880" ht="18" customHeight="1" x14ac:dyDescent="0.2"/>
    <row r="881" ht="18" customHeight="1" x14ac:dyDescent="0.2"/>
    <row r="882" ht="18" customHeight="1" x14ac:dyDescent="0.2"/>
    <row r="883" ht="18" customHeight="1" x14ac:dyDescent="0.2"/>
    <row r="884" ht="18" customHeight="1" x14ac:dyDescent="0.2"/>
    <row r="885" ht="18" customHeight="1" x14ac:dyDescent="0.2"/>
    <row r="886" ht="18" customHeight="1" x14ac:dyDescent="0.2"/>
    <row r="887" ht="18" customHeight="1" x14ac:dyDescent="0.2"/>
    <row r="888" ht="18" customHeight="1" x14ac:dyDescent="0.2"/>
    <row r="889" ht="18" customHeight="1" x14ac:dyDescent="0.2"/>
    <row r="890" ht="18" customHeight="1" x14ac:dyDescent="0.2"/>
    <row r="891" ht="18" customHeight="1" x14ac:dyDescent="0.2"/>
    <row r="892" ht="18" customHeight="1" x14ac:dyDescent="0.2"/>
    <row r="893" ht="18" customHeight="1" x14ac:dyDescent="0.2"/>
    <row r="894" ht="18" customHeight="1" x14ac:dyDescent="0.2"/>
    <row r="895" ht="18" customHeight="1" x14ac:dyDescent="0.2"/>
    <row r="896" ht="18" customHeight="1" x14ac:dyDescent="0.2"/>
    <row r="897" ht="18" customHeight="1" x14ac:dyDescent="0.2"/>
    <row r="898" ht="18" customHeight="1" x14ac:dyDescent="0.2"/>
    <row r="899" ht="18" customHeight="1" x14ac:dyDescent="0.2"/>
    <row r="900" ht="18" customHeight="1" x14ac:dyDescent="0.2"/>
    <row r="901" ht="18" customHeight="1" x14ac:dyDescent="0.2"/>
    <row r="902" ht="18" customHeight="1" x14ac:dyDescent="0.2"/>
    <row r="903" ht="18" customHeight="1" x14ac:dyDescent="0.2"/>
    <row r="904" ht="18" customHeight="1" x14ac:dyDescent="0.2"/>
    <row r="905" ht="18" customHeight="1" x14ac:dyDescent="0.2"/>
    <row r="906" ht="18" customHeight="1" x14ac:dyDescent="0.2"/>
    <row r="907" ht="18" customHeight="1" x14ac:dyDescent="0.2"/>
    <row r="908" ht="18" customHeight="1" x14ac:dyDescent="0.2"/>
    <row r="909" ht="18" customHeight="1" x14ac:dyDescent="0.2"/>
    <row r="910" ht="18" customHeight="1" x14ac:dyDescent="0.2"/>
    <row r="911" ht="18" customHeight="1" x14ac:dyDescent="0.2"/>
    <row r="912" ht="18" customHeight="1" x14ac:dyDescent="0.2"/>
    <row r="913" ht="18" customHeight="1" x14ac:dyDescent="0.2"/>
    <row r="914" ht="18" customHeight="1" x14ac:dyDescent="0.2"/>
    <row r="915" ht="18" customHeight="1" x14ac:dyDescent="0.2"/>
    <row r="916" ht="18" customHeight="1" x14ac:dyDescent="0.2"/>
    <row r="917" ht="18" customHeight="1" x14ac:dyDescent="0.2"/>
    <row r="918" ht="18" customHeight="1" x14ac:dyDescent="0.2"/>
    <row r="919" ht="18" customHeight="1" x14ac:dyDescent="0.2"/>
    <row r="920" ht="18" customHeight="1" x14ac:dyDescent="0.2"/>
    <row r="921" ht="18" customHeight="1" x14ac:dyDescent="0.2"/>
    <row r="922" ht="18" customHeight="1" x14ac:dyDescent="0.2"/>
    <row r="923" ht="18" customHeight="1" x14ac:dyDescent="0.2"/>
    <row r="924" ht="18" customHeight="1" x14ac:dyDescent="0.2"/>
    <row r="925" ht="18" customHeight="1" x14ac:dyDescent="0.2"/>
    <row r="926" ht="18" customHeight="1" x14ac:dyDescent="0.2"/>
    <row r="927" ht="18" customHeight="1" x14ac:dyDescent="0.2"/>
    <row r="928" ht="18" customHeight="1" x14ac:dyDescent="0.2"/>
    <row r="929" ht="18" customHeight="1" x14ac:dyDescent="0.2"/>
    <row r="930" ht="18" customHeight="1" x14ac:dyDescent="0.2"/>
    <row r="931" ht="18" customHeight="1" x14ac:dyDescent="0.2"/>
    <row r="932" ht="18" customHeight="1" x14ac:dyDescent="0.2"/>
    <row r="933" ht="18" customHeight="1" x14ac:dyDescent="0.2"/>
    <row r="934" ht="18" customHeight="1" x14ac:dyDescent="0.2"/>
    <row r="935" ht="18" customHeight="1" x14ac:dyDescent="0.2"/>
    <row r="936" ht="18" customHeight="1" x14ac:dyDescent="0.2"/>
    <row r="937" ht="18" customHeight="1" x14ac:dyDescent="0.2"/>
    <row r="938" ht="18" customHeight="1" x14ac:dyDescent="0.2"/>
    <row r="939" ht="18" customHeight="1" x14ac:dyDescent="0.2"/>
    <row r="940" ht="18" customHeight="1" x14ac:dyDescent="0.2"/>
    <row r="941" ht="18" customHeight="1" x14ac:dyDescent="0.2"/>
    <row r="942" ht="18" customHeight="1" x14ac:dyDescent="0.2"/>
    <row r="943" ht="18" customHeight="1" x14ac:dyDescent="0.2"/>
    <row r="944" ht="18" customHeight="1" x14ac:dyDescent="0.2"/>
    <row r="945" ht="18" customHeight="1" x14ac:dyDescent="0.2"/>
    <row r="946" ht="18" customHeight="1" x14ac:dyDescent="0.2"/>
    <row r="947" ht="18" customHeight="1" x14ac:dyDescent="0.2"/>
    <row r="948" ht="18" customHeight="1" x14ac:dyDescent="0.2"/>
    <row r="949" ht="18" customHeight="1" x14ac:dyDescent="0.2"/>
    <row r="950" ht="18" customHeight="1" x14ac:dyDescent="0.2"/>
    <row r="951" ht="18" customHeight="1" x14ac:dyDescent="0.2"/>
    <row r="952" ht="18" customHeight="1" x14ac:dyDescent="0.2"/>
    <row r="953" ht="18" customHeight="1" x14ac:dyDescent="0.2"/>
    <row r="954" ht="18" customHeight="1" x14ac:dyDescent="0.2"/>
    <row r="955" ht="18" customHeight="1" x14ac:dyDescent="0.2"/>
    <row r="956" ht="18" customHeight="1" x14ac:dyDescent="0.2"/>
    <row r="957" ht="18" customHeight="1" x14ac:dyDescent="0.2"/>
    <row r="958" ht="18" customHeight="1" x14ac:dyDescent="0.2"/>
    <row r="959" ht="18" customHeight="1" x14ac:dyDescent="0.2"/>
    <row r="960" ht="18" customHeight="1" x14ac:dyDescent="0.2"/>
    <row r="961" ht="18" customHeight="1" x14ac:dyDescent="0.2"/>
    <row r="962" ht="18" customHeight="1" x14ac:dyDescent="0.2"/>
    <row r="963" ht="18" customHeight="1" x14ac:dyDescent="0.2"/>
    <row r="964" ht="18" customHeight="1" x14ac:dyDescent="0.2"/>
    <row r="965" ht="18" customHeight="1" x14ac:dyDescent="0.2"/>
    <row r="966" ht="18" customHeight="1" x14ac:dyDescent="0.2"/>
    <row r="967" ht="18" customHeight="1" x14ac:dyDescent="0.2"/>
    <row r="968" ht="18" customHeight="1" x14ac:dyDescent="0.2"/>
    <row r="969" ht="18" customHeight="1" x14ac:dyDescent="0.2"/>
    <row r="970" ht="18" customHeight="1" x14ac:dyDescent="0.2"/>
    <row r="971" ht="18" customHeight="1" x14ac:dyDescent="0.2"/>
    <row r="972" ht="18" customHeight="1" x14ac:dyDescent="0.2"/>
    <row r="973" ht="18" customHeight="1" x14ac:dyDescent="0.2"/>
    <row r="974" ht="18" customHeight="1" x14ac:dyDescent="0.2"/>
    <row r="975" ht="18" customHeight="1" x14ac:dyDescent="0.2"/>
    <row r="976" ht="18" customHeight="1" x14ac:dyDescent="0.2"/>
    <row r="977" ht="18" customHeight="1" x14ac:dyDescent="0.2"/>
    <row r="978" ht="18" customHeight="1" x14ac:dyDescent="0.2"/>
    <row r="979" ht="18" customHeight="1" x14ac:dyDescent="0.2"/>
    <row r="980" ht="18" customHeight="1" x14ac:dyDescent="0.2"/>
    <row r="981" ht="18" customHeight="1" x14ac:dyDescent="0.2"/>
    <row r="982" ht="18" customHeight="1" x14ac:dyDescent="0.2"/>
    <row r="983" ht="18" customHeight="1" x14ac:dyDescent="0.2"/>
    <row r="984" ht="18" customHeight="1" x14ac:dyDescent="0.2"/>
    <row r="985" ht="18" customHeight="1" x14ac:dyDescent="0.2"/>
    <row r="986" ht="18" customHeight="1" x14ac:dyDescent="0.2"/>
    <row r="987" ht="18" customHeight="1" x14ac:dyDescent="0.2"/>
    <row r="988" ht="18" customHeight="1" x14ac:dyDescent="0.2"/>
    <row r="989" ht="18" customHeight="1" x14ac:dyDescent="0.2"/>
    <row r="990" ht="18" customHeight="1" x14ac:dyDescent="0.2"/>
    <row r="991" ht="18" customHeight="1" x14ac:dyDescent="0.2"/>
    <row r="992" ht="18" customHeight="1" x14ac:dyDescent="0.2"/>
    <row r="993" ht="18" customHeight="1" x14ac:dyDescent="0.2"/>
    <row r="994" ht="18" customHeight="1" x14ac:dyDescent="0.2"/>
    <row r="995" ht="18" customHeight="1" x14ac:dyDescent="0.2"/>
    <row r="996" ht="18" customHeight="1" x14ac:dyDescent="0.2"/>
    <row r="997" ht="18" customHeight="1" x14ac:dyDescent="0.2"/>
    <row r="998" ht="18" customHeight="1" x14ac:dyDescent="0.2"/>
    <row r="999" ht="18" customHeight="1" x14ac:dyDescent="0.2"/>
    <row r="1000" ht="18" customHeight="1" x14ac:dyDescent="0.2"/>
    <row r="1001" ht="18" customHeight="1" x14ac:dyDescent="0.2"/>
    <row r="1002" ht="18" customHeight="1" x14ac:dyDescent="0.2"/>
    <row r="1003" ht="18" customHeight="1" x14ac:dyDescent="0.2"/>
    <row r="1004" ht="18" customHeight="1" x14ac:dyDescent="0.2"/>
    <row r="1005" ht="18" customHeight="1" x14ac:dyDescent="0.2"/>
    <row r="1006" ht="18" customHeight="1" x14ac:dyDescent="0.2"/>
    <row r="1007" ht="18" customHeight="1" x14ac:dyDescent="0.2"/>
    <row r="1008" ht="18" customHeight="1" x14ac:dyDescent="0.2"/>
    <row r="1009" ht="18" customHeight="1" x14ac:dyDescent="0.2"/>
    <row r="1010" ht="18" customHeight="1" x14ac:dyDescent="0.2"/>
    <row r="1011" ht="18" customHeight="1" x14ac:dyDescent="0.2"/>
    <row r="1012" ht="18" customHeight="1" x14ac:dyDescent="0.2"/>
    <row r="1013" ht="18" customHeight="1" x14ac:dyDescent="0.2"/>
    <row r="1014" ht="18" customHeight="1" x14ac:dyDescent="0.2"/>
    <row r="1015" ht="18" customHeight="1" x14ac:dyDescent="0.2"/>
    <row r="1016" ht="18" customHeight="1" x14ac:dyDescent="0.2"/>
    <row r="1017" ht="18" customHeight="1" x14ac:dyDescent="0.2"/>
    <row r="1018" ht="18" customHeight="1" x14ac:dyDescent="0.2"/>
    <row r="1019" ht="18" customHeight="1" x14ac:dyDescent="0.2"/>
    <row r="1020" ht="18" customHeight="1" x14ac:dyDescent="0.2"/>
    <row r="1021" ht="18" customHeight="1" x14ac:dyDescent="0.2"/>
    <row r="1022" ht="18" customHeight="1" x14ac:dyDescent="0.2"/>
    <row r="1023" ht="18" customHeight="1" x14ac:dyDescent="0.2"/>
    <row r="1024" ht="18" customHeight="1" x14ac:dyDescent="0.2"/>
    <row r="1025" ht="18" customHeight="1" x14ac:dyDescent="0.2"/>
    <row r="1026" ht="18" customHeight="1" x14ac:dyDescent="0.2"/>
    <row r="1027" ht="18" customHeight="1" x14ac:dyDescent="0.2"/>
    <row r="1028" ht="18" customHeight="1" x14ac:dyDescent="0.2"/>
    <row r="1029" ht="18" customHeight="1" x14ac:dyDescent="0.2"/>
    <row r="1030" ht="18" customHeight="1" x14ac:dyDescent="0.2"/>
    <row r="1031" ht="18" customHeight="1" x14ac:dyDescent="0.2"/>
    <row r="1032" ht="18" customHeight="1" x14ac:dyDescent="0.2"/>
    <row r="1033" ht="18" customHeight="1" x14ac:dyDescent="0.2"/>
    <row r="1034" ht="18" customHeight="1" x14ac:dyDescent="0.2"/>
    <row r="1035" ht="18" customHeight="1" x14ac:dyDescent="0.2"/>
    <row r="1036" ht="18" customHeight="1" x14ac:dyDescent="0.2"/>
    <row r="1037" ht="18" customHeight="1" x14ac:dyDescent="0.2"/>
    <row r="1038" ht="18" customHeight="1" x14ac:dyDescent="0.2"/>
    <row r="1039" ht="18" customHeight="1" x14ac:dyDescent="0.2"/>
    <row r="1040" ht="18" customHeight="1" x14ac:dyDescent="0.2"/>
    <row r="1041" spans="1:19" ht="18" customHeight="1" x14ac:dyDescent="0.2"/>
    <row r="1042" spans="1:19" ht="18" customHeight="1" x14ac:dyDescent="0.2"/>
    <row r="1043" spans="1:19" ht="18" customHeight="1" x14ac:dyDescent="0.2"/>
    <row r="1044" spans="1:19" ht="18" customHeight="1" x14ac:dyDescent="0.2"/>
    <row r="1045" spans="1:19" ht="18" customHeight="1" x14ac:dyDescent="0.2"/>
    <row r="1046" spans="1:19" ht="18" customHeight="1" x14ac:dyDescent="0.2"/>
    <row r="1047" spans="1:19" ht="18" customHeight="1" x14ac:dyDescent="0.4">
      <c r="A1047" s="1457" t="s">
        <v>422</v>
      </c>
      <c r="B1047" s="1457"/>
      <c r="C1047" s="1457"/>
      <c r="D1047" s="1457"/>
      <c r="E1047" s="1457"/>
      <c r="F1047" s="1457"/>
      <c r="G1047" s="1457"/>
      <c r="H1047" s="1457"/>
      <c r="I1047" s="1457"/>
      <c r="J1047" s="1457"/>
      <c r="K1047" s="1457"/>
      <c r="L1047" s="1457"/>
      <c r="M1047" s="1457"/>
      <c r="N1047" s="1457"/>
      <c r="O1047" s="1457"/>
      <c r="P1047" s="1457"/>
      <c r="Q1047" s="1457"/>
      <c r="R1047" s="1457"/>
      <c r="S1047" s="1457"/>
    </row>
    <row r="1048" spans="1:19" ht="18" customHeight="1" x14ac:dyDescent="0.2"/>
    <row r="1049" spans="1:19" ht="18" customHeight="1" x14ac:dyDescent="0.2"/>
    <row r="1050" spans="1:19" ht="18" customHeight="1" x14ac:dyDescent="0.2"/>
    <row r="1051" spans="1:19" ht="18" customHeight="1" x14ac:dyDescent="0.2"/>
  </sheetData>
  <mergeCells count="22">
    <mergeCell ref="A2:S2"/>
    <mergeCell ref="O3:P3"/>
    <mergeCell ref="O4:P4"/>
    <mergeCell ref="A6:A7"/>
    <mergeCell ref="B6:B7"/>
    <mergeCell ref="C6:C7"/>
    <mergeCell ref="N6:O6"/>
    <mergeCell ref="P6:P7"/>
    <mergeCell ref="Q6:Q7"/>
    <mergeCell ref="R6:R7"/>
    <mergeCell ref="A1047:S1047"/>
    <mergeCell ref="AF69:AG69"/>
    <mergeCell ref="A111:B111"/>
    <mergeCell ref="A112:B112"/>
    <mergeCell ref="A113:B113"/>
    <mergeCell ref="N114:O114"/>
    <mergeCell ref="A115:I115"/>
    <mergeCell ref="A116:I116"/>
    <mergeCell ref="A117:I117"/>
    <mergeCell ref="A118:I118"/>
    <mergeCell ref="A119:I119"/>
    <mergeCell ref="N119:O11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66828-0BEB-49ED-A184-4B3276CBDD50}">
  <sheetPr>
    <tabColor rgb="FF00B0F0"/>
  </sheetPr>
  <dimension ref="A2:AG1051"/>
  <sheetViews>
    <sheetView topLeftCell="A105" zoomScale="60" zoomScaleNormal="60" workbookViewId="0">
      <selection activeCell="L120" sqref="L120"/>
    </sheetView>
  </sheetViews>
  <sheetFormatPr defaultRowHeight="12.75" x14ac:dyDescent="0.2"/>
  <cols>
    <col min="1" max="1" width="8.7109375" style="63" customWidth="1"/>
    <col min="2" max="2" width="40.7109375" style="63" hidden="1" customWidth="1"/>
    <col min="3" max="3" width="40.7109375" style="63" customWidth="1"/>
    <col min="4" max="4" width="9.5703125" style="63" customWidth="1"/>
    <col min="5" max="13" width="8.7109375" style="63" customWidth="1"/>
    <col min="14" max="14" width="12.7109375" style="63" customWidth="1"/>
    <col min="15" max="15" width="25.7109375" style="63" customWidth="1"/>
    <col min="16" max="16" width="10.7109375" style="657" customWidth="1"/>
    <col min="17" max="17" width="10.7109375" style="656" customWidth="1"/>
    <col min="18" max="18" width="18" style="657" customWidth="1"/>
    <col min="19" max="19" width="12.7109375" style="63" customWidth="1"/>
    <col min="20" max="20" width="4.140625" style="63" customWidth="1"/>
    <col min="21" max="30" width="15.7109375" style="63" customWidth="1"/>
    <col min="31" max="256" width="9.140625" style="63"/>
    <col min="257" max="257" width="8.7109375" style="63" customWidth="1"/>
    <col min="258" max="258" width="0" style="63" hidden="1" customWidth="1"/>
    <col min="259" max="259" width="40.7109375" style="63" customWidth="1"/>
    <col min="260" max="260" width="9.5703125" style="63" customWidth="1"/>
    <col min="261" max="269" width="8.7109375" style="63" customWidth="1"/>
    <col min="270" max="270" width="12.7109375" style="63" customWidth="1"/>
    <col min="271" max="271" width="25.7109375" style="63" customWidth="1"/>
    <col min="272" max="274" width="10.7109375" style="63" customWidth="1"/>
    <col min="275" max="275" width="12.7109375" style="63" customWidth="1"/>
    <col min="276" max="276" width="4.140625" style="63" customWidth="1"/>
    <col min="277" max="286" width="15.7109375" style="63" customWidth="1"/>
    <col min="287" max="512" width="9.140625" style="63"/>
    <col min="513" max="513" width="8.7109375" style="63" customWidth="1"/>
    <col min="514" max="514" width="0" style="63" hidden="1" customWidth="1"/>
    <col min="515" max="515" width="40.7109375" style="63" customWidth="1"/>
    <col min="516" max="516" width="9.5703125" style="63" customWidth="1"/>
    <col min="517" max="525" width="8.7109375" style="63" customWidth="1"/>
    <col min="526" max="526" width="12.7109375" style="63" customWidth="1"/>
    <col min="527" max="527" width="25.7109375" style="63" customWidth="1"/>
    <col min="528" max="530" width="10.7109375" style="63" customWidth="1"/>
    <col min="531" max="531" width="12.7109375" style="63" customWidth="1"/>
    <col min="532" max="532" width="4.140625" style="63" customWidth="1"/>
    <col min="533" max="542" width="15.7109375" style="63" customWidth="1"/>
    <col min="543" max="768" width="9.140625" style="63"/>
    <col min="769" max="769" width="8.7109375" style="63" customWidth="1"/>
    <col min="770" max="770" width="0" style="63" hidden="1" customWidth="1"/>
    <col min="771" max="771" width="40.7109375" style="63" customWidth="1"/>
    <col min="772" max="772" width="9.5703125" style="63" customWidth="1"/>
    <col min="773" max="781" width="8.7109375" style="63" customWidth="1"/>
    <col min="782" max="782" width="12.7109375" style="63" customWidth="1"/>
    <col min="783" max="783" width="25.7109375" style="63" customWidth="1"/>
    <col min="784" max="786" width="10.7109375" style="63" customWidth="1"/>
    <col min="787" max="787" width="12.7109375" style="63" customWidth="1"/>
    <col min="788" max="788" width="4.140625" style="63" customWidth="1"/>
    <col min="789" max="798" width="15.7109375" style="63" customWidth="1"/>
    <col min="799" max="1024" width="9.140625" style="63"/>
    <col min="1025" max="1025" width="8.7109375" style="63" customWidth="1"/>
    <col min="1026" max="1026" width="0" style="63" hidden="1" customWidth="1"/>
    <col min="1027" max="1027" width="40.7109375" style="63" customWidth="1"/>
    <col min="1028" max="1028" width="9.5703125" style="63" customWidth="1"/>
    <col min="1029" max="1037" width="8.7109375" style="63" customWidth="1"/>
    <col min="1038" max="1038" width="12.7109375" style="63" customWidth="1"/>
    <col min="1039" max="1039" width="25.7109375" style="63" customWidth="1"/>
    <col min="1040" max="1042" width="10.7109375" style="63" customWidth="1"/>
    <col min="1043" max="1043" width="12.7109375" style="63" customWidth="1"/>
    <col min="1044" max="1044" width="4.140625" style="63" customWidth="1"/>
    <col min="1045" max="1054" width="15.7109375" style="63" customWidth="1"/>
    <col min="1055" max="1280" width="9.140625" style="63"/>
    <col min="1281" max="1281" width="8.7109375" style="63" customWidth="1"/>
    <col min="1282" max="1282" width="0" style="63" hidden="1" customWidth="1"/>
    <col min="1283" max="1283" width="40.7109375" style="63" customWidth="1"/>
    <col min="1284" max="1284" width="9.5703125" style="63" customWidth="1"/>
    <col min="1285" max="1293" width="8.7109375" style="63" customWidth="1"/>
    <col min="1294" max="1294" width="12.7109375" style="63" customWidth="1"/>
    <col min="1295" max="1295" width="25.7109375" style="63" customWidth="1"/>
    <col min="1296" max="1298" width="10.7109375" style="63" customWidth="1"/>
    <col min="1299" max="1299" width="12.7109375" style="63" customWidth="1"/>
    <col min="1300" max="1300" width="4.140625" style="63" customWidth="1"/>
    <col min="1301" max="1310" width="15.7109375" style="63" customWidth="1"/>
    <col min="1311" max="1536" width="9.140625" style="63"/>
    <col min="1537" max="1537" width="8.7109375" style="63" customWidth="1"/>
    <col min="1538" max="1538" width="0" style="63" hidden="1" customWidth="1"/>
    <col min="1539" max="1539" width="40.7109375" style="63" customWidth="1"/>
    <col min="1540" max="1540" width="9.5703125" style="63" customWidth="1"/>
    <col min="1541" max="1549" width="8.7109375" style="63" customWidth="1"/>
    <col min="1550" max="1550" width="12.7109375" style="63" customWidth="1"/>
    <col min="1551" max="1551" width="25.7109375" style="63" customWidth="1"/>
    <col min="1552" max="1554" width="10.7109375" style="63" customWidth="1"/>
    <col min="1555" max="1555" width="12.7109375" style="63" customWidth="1"/>
    <col min="1556" max="1556" width="4.140625" style="63" customWidth="1"/>
    <col min="1557" max="1566" width="15.7109375" style="63" customWidth="1"/>
    <col min="1567" max="1792" width="9.140625" style="63"/>
    <col min="1793" max="1793" width="8.7109375" style="63" customWidth="1"/>
    <col min="1794" max="1794" width="0" style="63" hidden="1" customWidth="1"/>
    <col min="1795" max="1795" width="40.7109375" style="63" customWidth="1"/>
    <col min="1796" max="1796" width="9.5703125" style="63" customWidth="1"/>
    <col min="1797" max="1805" width="8.7109375" style="63" customWidth="1"/>
    <col min="1806" max="1806" width="12.7109375" style="63" customWidth="1"/>
    <col min="1807" max="1807" width="25.7109375" style="63" customWidth="1"/>
    <col min="1808" max="1810" width="10.7109375" style="63" customWidth="1"/>
    <col min="1811" max="1811" width="12.7109375" style="63" customWidth="1"/>
    <col min="1812" max="1812" width="4.140625" style="63" customWidth="1"/>
    <col min="1813" max="1822" width="15.7109375" style="63" customWidth="1"/>
    <col min="1823" max="2048" width="9.140625" style="63"/>
    <col min="2049" max="2049" width="8.7109375" style="63" customWidth="1"/>
    <col min="2050" max="2050" width="0" style="63" hidden="1" customWidth="1"/>
    <col min="2051" max="2051" width="40.7109375" style="63" customWidth="1"/>
    <col min="2052" max="2052" width="9.5703125" style="63" customWidth="1"/>
    <col min="2053" max="2061" width="8.7109375" style="63" customWidth="1"/>
    <col min="2062" max="2062" width="12.7109375" style="63" customWidth="1"/>
    <col min="2063" max="2063" width="25.7109375" style="63" customWidth="1"/>
    <col min="2064" max="2066" width="10.7109375" style="63" customWidth="1"/>
    <col min="2067" max="2067" width="12.7109375" style="63" customWidth="1"/>
    <col min="2068" max="2068" width="4.140625" style="63" customWidth="1"/>
    <col min="2069" max="2078" width="15.7109375" style="63" customWidth="1"/>
    <col min="2079" max="2304" width="9.140625" style="63"/>
    <col min="2305" max="2305" width="8.7109375" style="63" customWidth="1"/>
    <col min="2306" max="2306" width="0" style="63" hidden="1" customWidth="1"/>
    <col min="2307" max="2307" width="40.7109375" style="63" customWidth="1"/>
    <col min="2308" max="2308" width="9.5703125" style="63" customWidth="1"/>
    <col min="2309" max="2317" width="8.7109375" style="63" customWidth="1"/>
    <col min="2318" max="2318" width="12.7109375" style="63" customWidth="1"/>
    <col min="2319" max="2319" width="25.7109375" style="63" customWidth="1"/>
    <col min="2320" max="2322" width="10.7109375" style="63" customWidth="1"/>
    <col min="2323" max="2323" width="12.7109375" style="63" customWidth="1"/>
    <col min="2324" max="2324" width="4.140625" style="63" customWidth="1"/>
    <col min="2325" max="2334" width="15.7109375" style="63" customWidth="1"/>
    <col min="2335" max="2560" width="9.140625" style="63"/>
    <col min="2561" max="2561" width="8.7109375" style="63" customWidth="1"/>
    <col min="2562" max="2562" width="0" style="63" hidden="1" customWidth="1"/>
    <col min="2563" max="2563" width="40.7109375" style="63" customWidth="1"/>
    <col min="2564" max="2564" width="9.5703125" style="63" customWidth="1"/>
    <col min="2565" max="2573" width="8.7109375" style="63" customWidth="1"/>
    <col min="2574" max="2574" width="12.7109375" style="63" customWidth="1"/>
    <col min="2575" max="2575" width="25.7109375" style="63" customWidth="1"/>
    <col min="2576" max="2578" width="10.7109375" style="63" customWidth="1"/>
    <col min="2579" max="2579" width="12.7109375" style="63" customWidth="1"/>
    <col min="2580" max="2580" width="4.140625" style="63" customWidth="1"/>
    <col min="2581" max="2590" width="15.7109375" style="63" customWidth="1"/>
    <col min="2591" max="2816" width="9.140625" style="63"/>
    <col min="2817" max="2817" width="8.7109375" style="63" customWidth="1"/>
    <col min="2818" max="2818" width="0" style="63" hidden="1" customWidth="1"/>
    <col min="2819" max="2819" width="40.7109375" style="63" customWidth="1"/>
    <col min="2820" max="2820" width="9.5703125" style="63" customWidth="1"/>
    <col min="2821" max="2829" width="8.7109375" style="63" customWidth="1"/>
    <col min="2830" max="2830" width="12.7109375" style="63" customWidth="1"/>
    <col min="2831" max="2831" width="25.7109375" style="63" customWidth="1"/>
    <col min="2832" max="2834" width="10.7109375" style="63" customWidth="1"/>
    <col min="2835" max="2835" width="12.7109375" style="63" customWidth="1"/>
    <col min="2836" max="2836" width="4.140625" style="63" customWidth="1"/>
    <col min="2837" max="2846" width="15.7109375" style="63" customWidth="1"/>
    <col min="2847" max="3072" width="9.140625" style="63"/>
    <col min="3073" max="3073" width="8.7109375" style="63" customWidth="1"/>
    <col min="3074" max="3074" width="0" style="63" hidden="1" customWidth="1"/>
    <col min="3075" max="3075" width="40.7109375" style="63" customWidth="1"/>
    <col min="3076" max="3076" width="9.5703125" style="63" customWidth="1"/>
    <col min="3077" max="3085" width="8.7109375" style="63" customWidth="1"/>
    <col min="3086" max="3086" width="12.7109375" style="63" customWidth="1"/>
    <col min="3087" max="3087" width="25.7109375" style="63" customWidth="1"/>
    <col min="3088" max="3090" width="10.7109375" style="63" customWidth="1"/>
    <col min="3091" max="3091" width="12.7109375" style="63" customWidth="1"/>
    <col min="3092" max="3092" width="4.140625" style="63" customWidth="1"/>
    <col min="3093" max="3102" width="15.7109375" style="63" customWidth="1"/>
    <col min="3103" max="3328" width="9.140625" style="63"/>
    <col min="3329" max="3329" width="8.7109375" style="63" customWidth="1"/>
    <col min="3330" max="3330" width="0" style="63" hidden="1" customWidth="1"/>
    <col min="3331" max="3331" width="40.7109375" style="63" customWidth="1"/>
    <col min="3332" max="3332" width="9.5703125" style="63" customWidth="1"/>
    <col min="3333" max="3341" width="8.7109375" style="63" customWidth="1"/>
    <col min="3342" max="3342" width="12.7109375" style="63" customWidth="1"/>
    <col min="3343" max="3343" width="25.7109375" style="63" customWidth="1"/>
    <col min="3344" max="3346" width="10.7109375" style="63" customWidth="1"/>
    <col min="3347" max="3347" width="12.7109375" style="63" customWidth="1"/>
    <col min="3348" max="3348" width="4.140625" style="63" customWidth="1"/>
    <col min="3349" max="3358" width="15.7109375" style="63" customWidth="1"/>
    <col min="3359" max="3584" width="9.140625" style="63"/>
    <col min="3585" max="3585" width="8.7109375" style="63" customWidth="1"/>
    <col min="3586" max="3586" width="0" style="63" hidden="1" customWidth="1"/>
    <col min="3587" max="3587" width="40.7109375" style="63" customWidth="1"/>
    <col min="3588" max="3588" width="9.5703125" style="63" customWidth="1"/>
    <col min="3589" max="3597" width="8.7109375" style="63" customWidth="1"/>
    <col min="3598" max="3598" width="12.7109375" style="63" customWidth="1"/>
    <col min="3599" max="3599" width="25.7109375" style="63" customWidth="1"/>
    <col min="3600" max="3602" width="10.7109375" style="63" customWidth="1"/>
    <col min="3603" max="3603" width="12.7109375" style="63" customWidth="1"/>
    <col min="3604" max="3604" width="4.140625" style="63" customWidth="1"/>
    <col min="3605" max="3614" width="15.7109375" style="63" customWidth="1"/>
    <col min="3615" max="3840" width="9.140625" style="63"/>
    <col min="3841" max="3841" width="8.7109375" style="63" customWidth="1"/>
    <col min="3842" max="3842" width="0" style="63" hidden="1" customWidth="1"/>
    <col min="3843" max="3843" width="40.7109375" style="63" customWidth="1"/>
    <col min="3844" max="3844" width="9.5703125" style="63" customWidth="1"/>
    <col min="3845" max="3853" width="8.7109375" style="63" customWidth="1"/>
    <col min="3854" max="3854" width="12.7109375" style="63" customWidth="1"/>
    <col min="3855" max="3855" width="25.7109375" style="63" customWidth="1"/>
    <col min="3856" max="3858" width="10.7109375" style="63" customWidth="1"/>
    <col min="3859" max="3859" width="12.7109375" style="63" customWidth="1"/>
    <col min="3860" max="3860" width="4.140625" style="63" customWidth="1"/>
    <col min="3861" max="3870" width="15.7109375" style="63" customWidth="1"/>
    <col min="3871" max="4096" width="9.140625" style="63"/>
    <col min="4097" max="4097" width="8.7109375" style="63" customWidth="1"/>
    <col min="4098" max="4098" width="0" style="63" hidden="1" customWidth="1"/>
    <col min="4099" max="4099" width="40.7109375" style="63" customWidth="1"/>
    <col min="4100" max="4100" width="9.5703125" style="63" customWidth="1"/>
    <col min="4101" max="4109" width="8.7109375" style="63" customWidth="1"/>
    <col min="4110" max="4110" width="12.7109375" style="63" customWidth="1"/>
    <col min="4111" max="4111" width="25.7109375" style="63" customWidth="1"/>
    <col min="4112" max="4114" width="10.7109375" style="63" customWidth="1"/>
    <col min="4115" max="4115" width="12.7109375" style="63" customWidth="1"/>
    <col min="4116" max="4116" width="4.140625" style="63" customWidth="1"/>
    <col min="4117" max="4126" width="15.7109375" style="63" customWidth="1"/>
    <col min="4127" max="4352" width="9.140625" style="63"/>
    <col min="4353" max="4353" width="8.7109375" style="63" customWidth="1"/>
    <col min="4354" max="4354" width="0" style="63" hidden="1" customWidth="1"/>
    <col min="4355" max="4355" width="40.7109375" style="63" customWidth="1"/>
    <col min="4356" max="4356" width="9.5703125" style="63" customWidth="1"/>
    <col min="4357" max="4365" width="8.7109375" style="63" customWidth="1"/>
    <col min="4366" max="4366" width="12.7109375" style="63" customWidth="1"/>
    <col min="4367" max="4367" width="25.7109375" style="63" customWidth="1"/>
    <col min="4368" max="4370" width="10.7109375" style="63" customWidth="1"/>
    <col min="4371" max="4371" width="12.7109375" style="63" customWidth="1"/>
    <col min="4372" max="4372" width="4.140625" style="63" customWidth="1"/>
    <col min="4373" max="4382" width="15.7109375" style="63" customWidth="1"/>
    <col min="4383" max="4608" width="9.140625" style="63"/>
    <col min="4609" max="4609" width="8.7109375" style="63" customWidth="1"/>
    <col min="4610" max="4610" width="0" style="63" hidden="1" customWidth="1"/>
    <col min="4611" max="4611" width="40.7109375" style="63" customWidth="1"/>
    <col min="4612" max="4612" width="9.5703125" style="63" customWidth="1"/>
    <col min="4613" max="4621" width="8.7109375" style="63" customWidth="1"/>
    <col min="4622" max="4622" width="12.7109375" style="63" customWidth="1"/>
    <col min="4623" max="4623" width="25.7109375" style="63" customWidth="1"/>
    <col min="4624" max="4626" width="10.7109375" style="63" customWidth="1"/>
    <col min="4627" max="4627" width="12.7109375" style="63" customWidth="1"/>
    <col min="4628" max="4628" width="4.140625" style="63" customWidth="1"/>
    <col min="4629" max="4638" width="15.7109375" style="63" customWidth="1"/>
    <col min="4639" max="4864" width="9.140625" style="63"/>
    <col min="4865" max="4865" width="8.7109375" style="63" customWidth="1"/>
    <col min="4866" max="4866" width="0" style="63" hidden="1" customWidth="1"/>
    <col min="4867" max="4867" width="40.7109375" style="63" customWidth="1"/>
    <col min="4868" max="4868" width="9.5703125" style="63" customWidth="1"/>
    <col min="4869" max="4877" width="8.7109375" style="63" customWidth="1"/>
    <col min="4878" max="4878" width="12.7109375" style="63" customWidth="1"/>
    <col min="4879" max="4879" width="25.7109375" style="63" customWidth="1"/>
    <col min="4880" max="4882" width="10.7109375" style="63" customWidth="1"/>
    <col min="4883" max="4883" width="12.7109375" style="63" customWidth="1"/>
    <col min="4884" max="4884" width="4.140625" style="63" customWidth="1"/>
    <col min="4885" max="4894" width="15.7109375" style="63" customWidth="1"/>
    <col min="4895" max="5120" width="9.140625" style="63"/>
    <col min="5121" max="5121" width="8.7109375" style="63" customWidth="1"/>
    <col min="5122" max="5122" width="0" style="63" hidden="1" customWidth="1"/>
    <col min="5123" max="5123" width="40.7109375" style="63" customWidth="1"/>
    <col min="5124" max="5124" width="9.5703125" style="63" customWidth="1"/>
    <col min="5125" max="5133" width="8.7109375" style="63" customWidth="1"/>
    <col min="5134" max="5134" width="12.7109375" style="63" customWidth="1"/>
    <col min="5135" max="5135" width="25.7109375" style="63" customWidth="1"/>
    <col min="5136" max="5138" width="10.7109375" style="63" customWidth="1"/>
    <col min="5139" max="5139" width="12.7109375" style="63" customWidth="1"/>
    <col min="5140" max="5140" width="4.140625" style="63" customWidth="1"/>
    <col min="5141" max="5150" width="15.7109375" style="63" customWidth="1"/>
    <col min="5151" max="5376" width="9.140625" style="63"/>
    <col min="5377" max="5377" width="8.7109375" style="63" customWidth="1"/>
    <col min="5378" max="5378" width="0" style="63" hidden="1" customWidth="1"/>
    <col min="5379" max="5379" width="40.7109375" style="63" customWidth="1"/>
    <col min="5380" max="5380" width="9.5703125" style="63" customWidth="1"/>
    <col min="5381" max="5389" width="8.7109375" style="63" customWidth="1"/>
    <col min="5390" max="5390" width="12.7109375" style="63" customWidth="1"/>
    <col min="5391" max="5391" width="25.7109375" style="63" customWidth="1"/>
    <col min="5392" max="5394" width="10.7109375" style="63" customWidth="1"/>
    <col min="5395" max="5395" width="12.7109375" style="63" customWidth="1"/>
    <col min="5396" max="5396" width="4.140625" style="63" customWidth="1"/>
    <col min="5397" max="5406" width="15.7109375" style="63" customWidth="1"/>
    <col min="5407" max="5632" width="9.140625" style="63"/>
    <col min="5633" max="5633" width="8.7109375" style="63" customWidth="1"/>
    <col min="5634" max="5634" width="0" style="63" hidden="1" customWidth="1"/>
    <col min="5635" max="5635" width="40.7109375" style="63" customWidth="1"/>
    <col min="5636" max="5636" width="9.5703125" style="63" customWidth="1"/>
    <col min="5637" max="5645" width="8.7109375" style="63" customWidth="1"/>
    <col min="5646" max="5646" width="12.7109375" style="63" customWidth="1"/>
    <col min="5647" max="5647" width="25.7109375" style="63" customWidth="1"/>
    <col min="5648" max="5650" width="10.7109375" style="63" customWidth="1"/>
    <col min="5651" max="5651" width="12.7109375" style="63" customWidth="1"/>
    <col min="5652" max="5652" width="4.140625" style="63" customWidth="1"/>
    <col min="5653" max="5662" width="15.7109375" style="63" customWidth="1"/>
    <col min="5663" max="5888" width="9.140625" style="63"/>
    <col min="5889" max="5889" width="8.7109375" style="63" customWidth="1"/>
    <col min="5890" max="5890" width="0" style="63" hidden="1" customWidth="1"/>
    <col min="5891" max="5891" width="40.7109375" style="63" customWidth="1"/>
    <col min="5892" max="5892" width="9.5703125" style="63" customWidth="1"/>
    <col min="5893" max="5901" width="8.7109375" style="63" customWidth="1"/>
    <col min="5902" max="5902" width="12.7109375" style="63" customWidth="1"/>
    <col min="5903" max="5903" width="25.7109375" style="63" customWidth="1"/>
    <col min="5904" max="5906" width="10.7109375" style="63" customWidth="1"/>
    <col min="5907" max="5907" width="12.7109375" style="63" customWidth="1"/>
    <col min="5908" max="5908" width="4.140625" style="63" customWidth="1"/>
    <col min="5909" max="5918" width="15.7109375" style="63" customWidth="1"/>
    <col min="5919" max="6144" width="9.140625" style="63"/>
    <col min="6145" max="6145" width="8.7109375" style="63" customWidth="1"/>
    <col min="6146" max="6146" width="0" style="63" hidden="1" customWidth="1"/>
    <col min="6147" max="6147" width="40.7109375" style="63" customWidth="1"/>
    <col min="6148" max="6148" width="9.5703125" style="63" customWidth="1"/>
    <col min="6149" max="6157" width="8.7109375" style="63" customWidth="1"/>
    <col min="6158" max="6158" width="12.7109375" style="63" customWidth="1"/>
    <col min="6159" max="6159" width="25.7109375" style="63" customWidth="1"/>
    <col min="6160" max="6162" width="10.7109375" style="63" customWidth="1"/>
    <col min="6163" max="6163" width="12.7109375" style="63" customWidth="1"/>
    <col min="6164" max="6164" width="4.140625" style="63" customWidth="1"/>
    <col min="6165" max="6174" width="15.7109375" style="63" customWidth="1"/>
    <col min="6175" max="6400" width="9.140625" style="63"/>
    <col min="6401" max="6401" width="8.7109375" style="63" customWidth="1"/>
    <col min="6402" max="6402" width="0" style="63" hidden="1" customWidth="1"/>
    <col min="6403" max="6403" width="40.7109375" style="63" customWidth="1"/>
    <col min="6404" max="6404" width="9.5703125" style="63" customWidth="1"/>
    <col min="6405" max="6413" width="8.7109375" style="63" customWidth="1"/>
    <col min="6414" max="6414" width="12.7109375" style="63" customWidth="1"/>
    <col min="6415" max="6415" width="25.7109375" style="63" customWidth="1"/>
    <col min="6416" max="6418" width="10.7109375" style="63" customWidth="1"/>
    <col min="6419" max="6419" width="12.7109375" style="63" customWidth="1"/>
    <col min="6420" max="6420" width="4.140625" style="63" customWidth="1"/>
    <col min="6421" max="6430" width="15.7109375" style="63" customWidth="1"/>
    <col min="6431" max="6656" width="9.140625" style="63"/>
    <col min="6657" max="6657" width="8.7109375" style="63" customWidth="1"/>
    <col min="6658" max="6658" width="0" style="63" hidden="1" customWidth="1"/>
    <col min="6659" max="6659" width="40.7109375" style="63" customWidth="1"/>
    <col min="6660" max="6660" width="9.5703125" style="63" customWidth="1"/>
    <col min="6661" max="6669" width="8.7109375" style="63" customWidth="1"/>
    <col min="6670" max="6670" width="12.7109375" style="63" customWidth="1"/>
    <col min="6671" max="6671" width="25.7109375" style="63" customWidth="1"/>
    <col min="6672" max="6674" width="10.7109375" style="63" customWidth="1"/>
    <col min="6675" max="6675" width="12.7109375" style="63" customWidth="1"/>
    <col min="6676" max="6676" width="4.140625" style="63" customWidth="1"/>
    <col min="6677" max="6686" width="15.7109375" style="63" customWidth="1"/>
    <col min="6687" max="6912" width="9.140625" style="63"/>
    <col min="6913" max="6913" width="8.7109375" style="63" customWidth="1"/>
    <col min="6914" max="6914" width="0" style="63" hidden="1" customWidth="1"/>
    <col min="6915" max="6915" width="40.7109375" style="63" customWidth="1"/>
    <col min="6916" max="6916" width="9.5703125" style="63" customWidth="1"/>
    <col min="6917" max="6925" width="8.7109375" style="63" customWidth="1"/>
    <col min="6926" max="6926" width="12.7109375" style="63" customWidth="1"/>
    <col min="6927" max="6927" width="25.7109375" style="63" customWidth="1"/>
    <col min="6928" max="6930" width="10.7109375" style="63" customWidth="1"/>
    <col min="6931" max="6931" width="12.7109375" style="63" customWidth="1"/>
    <col min="6932" max="6932" width="4.140625" style="63" customWidth="1"/>
    <col min="6933" max="6942" width="15.7109375" style="63" customWidth="1"/>
    <col min="6943" max="7168" width="9.140625" style="63"/>
    <col min="7169" max="7169" width="8.7109375" style="63" customWidth="1"/>
    <col min="7170" max="7170" width="0" style="63" hidden="1" customWidth="1"/>
    <col min="7171" max="7171" width="40.7109375" style="63" customWidth="1"/>
    <col min="7172" max="7172" width="9.5703125" style="63" customWidth="1"/>
    <col min="7173" max="7181" width="8.7109375" style="63" customWidth="1"/>
    <col min="7182" max="7182" width="12.7109375" style="63" customWidth="1"/>
    <col min="7183" max="7183" width="25.7109375" style="63" customWidth="1"/>
    <col min="7184" max="7186" width="10.7109375" style="63" customWidth="1"/>
    <col min="7187" max="7187" width="12.7109375" style="63" customWidth="1"/>
    <col min="7188" max="7188" width="4.140625" style="63" customWidth="1"/>
    <col min="7189" max="7198" width="15.7109375" style="63" customWidth="1"/>
    <col min="7199" max="7424" width="9.140625" style="63"/>
    <col min="7425" max="7425" width="8.7109375" style="63" customWidth="1"/>
    <col min="7426" max="7426" width="0" style="63" hidden="1" customWidth="1"/>
    <col min="7427" max="7427" width="40.7109375" style="63" customWidth="1"/>
    <col min="7428" max="7428" width="9.5703125" style="63" customWidth="1"/>
    <col min="7429" max="7437" width="8.7109375" style="63" customWidth="1"/>
    <col min="7438" max="7438" width="12.7109375" style="63" customWidth="1"/>
    <col min="7439" max="7439" width="25.7109375" style="63" customWidth="1"/>
    <col min="7440" max="7442" width="10.7109375" style="63" customWidth="1"/>
    <col min="7443" max="7443" width="12.7109375" style="63" customWidth="1"/>
    <col min="7444" max="7444" width="4.140625" style="63" customWidth="1"/>
    <col min="7445" max="7454" width="15.7109375" style="63" customWidth="1"/>
    <col min="7455" max="7680" width="9.140625" style="63"/>
    <col min="7681" max="7681" width="8.7109375" style="63" customWidth="1"/>
    <col min="7682" max="7682" width="0" style="63" hidden="1" customWidth="1"/>
    <col min="7683" max="7683" width="40.7109375" style="63" customWidth="1"/>
    <col min="7684" max="7684" width="9.5703125" style="63" customWidth="1"/>
    <col min="7685" max="7693" width="8.7109375" style="63" customWidth="1"/>
    <col min="7694" max="7694" width="12.7109375" style="63" customWidth="1"/>
    <col min="7695" max="7695" width="25.7109375" style="63" customWidth="1"/>
    <col min="7696" max="7698" width="10.7109375" style="63" customWidth="1"/>
    <col min="7699" max="7699" width="12.7109375" style="63" customWidth="1"/>
    <col min="7700" max="7700" width="4.140625" style="63" customWidth="1"/>
    <col min="7701" max="7710" width="15.7109375" style="63" customWidth="1"/>
    <col min="7711" max="7936" width="9.140625" style="63"/>
    <col min="7937" max="7937" width="8.7109375" style="63" customWidth="1"/>
    <col min="7938" max="7938" width="0" style="63" hidden="1" customWidth="1"/>
    <col min="7939" max="7939" width="40.7109375" style="63" customWidth="1"/>
    <col min="7940" max="7940" width="9.5703125" style="63" customWidth="1"/>
    <col min="7941" max="7949" width="8.7109375" style="63" customWidth="1"/>
    <col min="7950" max="7950" width="12.7109375" style="63" customWidth="1"/>
    <col min="7951" max="7951" width="25.7109375" style="63" customWidth="1"/>
    <col min="7952" max="7954" width="10.7109375" style="63" customWidth="1"/>
    <col min="7955" max="7955" width="12.7109375" style="63" customWidth="1"/>
    <col min="7956" max="7956" width="4.140625" style="63" customWidth="1"/>
    <col min="7957" max="7966" width="15.7109375" style="63" customWidth="1"/>
    <col min="7967" max="8192" width="9.140625" style="63"/>
    <col min="8193" max="8193" width="8.7109375" style="63" customWidth="1"/>
    <col min="8194" max="8194" width="0" style="63" hidden="1" customWidth="1"/>
    <col min="8195" max="8195" width="40.7109375" style="63" customWidth="1"/>
    <col min="8196" max="8196" width="9.5703125" style="63" customWidth="1"/>
    <col min="8197" max="8205" width="8.7109375" style="63" customWidth="1"/>
    <col min="8206" max="8206" width="12.7109375" style="63" customWidth="1"/>
    <col min="8207" max="8207" width="25.7109375" style="63" customWidth="1"/>
    <col min="8208" max="8210" width="10.7109375" style="63" customWidth="1"/>
    <col min="8211" max="8211" width="12.7109375" style="63" customWidth="1"/>
    <col min="8212" max="8212" width="4.140625" style="63" customWidth="1"/>
    <col min="8213" max="8222" width="15.7109375" style="63" customWidth="1"/>
    <col min="8223" max="8448" width="9.140625" style="63"/>
    <col min="8449" max="8449" width="8.7109375" style="63" customWidth="1"/>
    <col min="8450" max="8450" width="0" style="63" hidden="1" customWidth="1"/>
    <col min="8451" max="8451" width="40.7109375" style="63" customWidth="1"/>
    <col min="8452" max="8452" width="9.5703125" style="63" customWidth="1"/>
    <col min="8453" max="8461" width="8.7109375" style="63" customWidth="1"/>
    <col min="8462" max="8462" width="12.7109375" style="63" customWidth="1"/>
    <col min="8463" max="8463" width="25.7109375" style="63" customWidth="1"/>
    <col min="8464" max="8466" width="10.7109375" style="63" customWidth="1"/>
    <col min="8467" max="8467" width="12.7109375" style="63" customWidth="1"/>
    <col min="8468" max="8468" width="4.140625" style="63" customWidth="1"/>
    <col min="8469" max="8478" width="15.7109375" style="63" customWidth="1"/>
    <col min="8479" max="8704" width="9.140625" style="63"/>
    <col min="8705" max="8705" width="8.7109375" style="63" customWidth="1"/>
    <col min="8706" max="8706" width="0" style="63" hidden="1" customWidth="1"/>
    <col min="8707" max="8707" width="40.7109375" style="63" customWidth="1"/>
    <col min="8708" max="8708" width="9.5703125" style="63" customWidth="1"/>
    <col min="8709" max="8717" width="8.7109375" style="63" customWidth="1"/>
    <col min="8718" max="8718" width="12.7109375" style="63" customWidth="1"/>
    <col min="8719" max="8719" width="25.7109375" style="63" customWidth="1"/>
    <col min="8720" max="8722" width="10.7109375" style="63" customWidth="1"/>
    <col min="8723" max="8723" width="12.7109375" style="63" customWidth="1"/>
    <col min="8724" max="8724" width="4.140625" style="63" customWidth="1"/>
    <col min="8725" max="8734" width="15.7109375" style="63" customWidth="1"/>
    <col min="8735" max="8960" width="9.140625" style="63"/>
    <col min="8961" max="8961" width="8.7109375" style="63" customWidth="1"/>
    <col min="8962" max="8962" width="0" style="63" hidden="1" customWidth="1"/>
    <col min="8963" max="8963" width="40.7109375" style="63" customWidth="1"/>
    <col min="8964" max="8964" width="9.5703125" style="63" customWidth="1"/>
    <col min="8965" max="8973" width="8.7109375" style="63" customWidth="1"/>
    <col min="8974" max="8974" width="12.7109375" style="63" customWidth="1"/>
    <col min="8975" max="8975" width="25.7109375" style="63" customWidth="1"/>
    <col min="8976" max="8978" width="10.7109375" style="63" customWidth="1"/>
    <col min="8979" max="8979" width="12.7109375" style="63" customWidth="1"/>
    <col min="8980" max="8980" width="4.140625" style="63" customWidth="1"/>
    <col min="8981" max="8990" width="15.7109375" style="63" customWidth="1"/>
    <col min="8991" max="9216" width="9.140625" style="63"/>
    <col min="9217" max="9217" width="8.7109375" style="63" customWidth="1"/>
    <col min="9218" max="9218" width="0" style="63" hidden="1" customWidth="1"/>
    <col min="9219" max="9219" width="40.7109375" style="63" customWidth="1"/>
    <col min="9220" max="9220" width="9.5703125" style="63" customWidth="1"/>
    <col min="9221" max="9229" width="8.7109375" style="63" customWidth="1"/>
    <col min="9230" max="9230" width="12.7109375" style="63" customWidth="1"/>
    <col min="9231" max="9231" width="25.7109375" style="63" customWidth="1"/>
    <col min="9232" max="9234" width="10.7109375" style="63" customWidth="1"/>
    <col min="9235" max="9235" width="12.7109375" style="63" customWidth="1"/>
    <col min="9236" max="9236" width="4.140625" style="63" customWidth="1"/>
    <col min="9237" max="9246" width="15.7109375" style="63" customWidth="1"/>
    <col min="9247" max="9472" width="9.140625" style="63"/>
    <col min="9473" max="9473" width="8.7109375" style="63" customWidth="1"/>
    <col min="9474" max="9474" width="0" style="63" hidden="1" customWidth="1"/>
    <col min="9475" max="9475" width="40.7109375" style="63" customWidth="1"/>
    <col min="9476" max="9476" width="9.5703125" style="63" customWidth="1"/>
    <col min="9477" max="9485" width="8.7109375" style="63" customWidth="1"/>
    <col min="9486" max="9486" width="12.7109375" style="63" customWidth="1"/>
    <col min="9487" max="9487" width="25.7109375" style="63" customWidth="1"/>
    <col min="9488" max="9490" width="10.7109375" style="63" customWidth="1"/>
    <col min="9491" max="9491" width="12.7109375" style="63" customWidth="1"/>
    <col min="9492" max="9492" width="4.140625" style="63" customWidth="1"/>
    <col min="9493" max="9502" width="15.7109375" style="63" customWidth="1"/>
    <col min="9503" max="9728" width="9.140625" style="63"/>
    <col min="9729" max="9729" width="8.7109375" style="63" customWidth="1"/>
    <col min="9730" max="9730" width="0" style="63" hidden="1" customWidth="1"/>
    <col min="9731" max="9731" width="40.7109375" style="63" customWidth="1"/>
    <col min="9732" max="9732" width="9.5703125" style="63" customWidth="1"/>
    <col min="9733" max="9741" width="8.7109375" style="63" customWidth="1"/>
    <col min="9742" max="9742" width="12.7109375" style="63" customWidth="1"/>
    <col min="9743" max="9743" width="25.7109375" style="63" customWidth="1"/>
    <col min="9744" max="9746" width="10.7109375" style="63" customWidth="1"/>
    <col min="9747" max="9747" width="12.7109375" style="63" customWidth="1"/>
    <col min="9748" max="9748" width="4.140625" style="63" customWidth="1"/>
    <col min="9749" max="9758" width="15.7109375" style="63" customWidth="1"/>
    <col min="9759" max="9984" width="9.140625" style="63"/>
    <col min="9985" max="9985" width="8.7109375" style="63" customWidth="1"/>
    <col min="9986" max="9986" width="0" style="63" hidden="1" customWidth="1"/>
    <col min="9987" max="9987" width="40.7109375" style="63" customWidth="1"/>
    <col min="9988" max="9988" width="9.5703125" style="63" customWidth="1"/>
    <col min="9989" max="9997" width="8.7109375" style="63" customWidth="1"/>
    <col min="9998" max="9998" width="12.7109375" style="63" customWidth="1"/>
    <col min="9999" max="9999" width="25.7109375" style="63" customWidth="1"/>
    <col min="10000" max="10002" width="10.7109375" style="63" customWidth="1"/>
    <col min="10003" max="10003" width="12.7109375" style="63" customWidth="1"/>
    <col min="10004" max="10004" width="4.140625" style="63" customWidth="1"/>
    <col min="10005" max="10014" width="15.7109375" style="63" customWidth="1"/>
    <col min="10015" max="10240" width="9.140625" style="63"/>
    <col min="10241" max="10241" width="8.7109375" style="63" customWidth="1"/>
    <col min="10242" max="10242" width="0" style="63" hidden="1" customWidth="1"/>
    <col min="10243" max="10243" width="40.7109375" style="63" customWidth="1"/>
    <col min="10244" max="10244" width="9.5703125" style="63" customWidth="1"/>
    <col min="10245" max="10253" width="8.7109375" style="63" customWidth="1"/>
    <col min="10254" max="10254" width="12.7109375" style="63" customWidth="1"/>
    <col min="10255" max="10255" width="25.7109375" style="63" customWidth="1"/>
    <col min="10256" max="10258" width="10.7109375" style="63" customWidth="1"/>
    <col min="10259" max="10259" width="12.7109375" style="63" customWidth="1"/>
    <col min="10260" max="10260" width="4.140625" style="63" customWidth="1"/>
    <col min="10261" max="10270" width="15.7109375" style="63" customWidth="1"/>
    <col min="10271" max="10496" width="9.140625" style="63"/>
    <col min="10497" max="10497" width="8.7109375" style="63" customWidth="1"/>
    <col min="10498" max="10498" width="0" style="63" hidden="1" customWidth="1"/>
    <col min="10499" max="10499" width="40.7109375" style="63" customWidth="1"/>
    <col min="10500" max="10500" width="9.5703125" style="63" customWidth="1"/>
    <col min="10501" max="10509" width="8.7109375" style="63" customWidth="1"/>
    <col min="10510" max="10510" width="12.7109375" style="63" customWidth="1"/>
    <col min="10511" max="10511" width="25.7109375" style="63" customWidth="1"/>
    <col min="10512" max="10514" width="10.7109375" style="63" customWidth="1"/>
    <col min="10515" max="10515" width="12.7109375" style="63" customWidth="1"/>
    <col min="10516" max="10516" width="4.140625" style="63" customWidth="1"/>
    <col min="10517" max="10526" width="15.7109375" style="63" customWidth="1"/>
    <col min="10527" max="10752" width="9.140625" style="63"/>
    <col min="10753" max="10753" width="8.7109375" style="63" customWidth="1"/>
    <col min="10754" max="10754" width="0" style="63" hidden="1" customWidth="1"/>
    <col min="10755" max="10755" width="40.7109375" style="63" customWidth="1"/>
    <col min="10756" max="10756" width="9.5703125" style="63" customWidth="1"/>
    <col min="10757" max="10765" width="8.7109375" style="63" customWidth="1"/>
    <col min="10766" max="10766" width="12.7109375" style="63" customWidth="1"/>
    <col min="10767" max="10767" width="25.7109375" style="63" customWidth="1"/>
    <col min="10768" max="10770" width="10.7109375" style="63" customWidth="1"/>
    <col min="10771" max="10771" width="12.7109375" style="63" customWidth="1"/>
    <col min="10772" max="10772" width="4.140625" style="63" customWidth="1"/>
    <col min="10773" max="10782" width="15.7109375" style="63" customWidth="1"/>
    <col min="10783" max="11008" width="9.140625" style="63"/>
    <col min="11009" max="11009" width="8.7109375" style="63" customWidth="1"/>
    <col min="11010" max="11010" width="0" style="63" hidden="1" customWidth="1"/>
    <col min="11011" max="11011" width="40.7109375" style="63" customWidth="1"/>
    <col min="11012" max="11012" width="9.5703125" style="63" customWidth="1"/>
    <col min="11013" max="11021" width="8.7109375" style="63" customWidth="1"/>
    <col min="11022" max="11022" width="12.7109375" style="63" customWidth="1"/>
    <col min="11023" max="11023" width="25.7109375" style="63" customWidth="1"/>
    <col min="11024" max="11026" width="10.7109375" style="63" customWidth="1"/>
    <col min="11027" max="11027" width="12.7109375" style="63" customWidth="1"/>
    <col min="11028" max="11028" width="4.140625" style="63" customWidth="1"/>
    <col min="11029" max="11038" width="15.7109375" style="63" customWidth="1"/>
    <col min="11039" max="11264" width="9.140625" style="63"/>
    <col min="11265" max="11265" width="8.7109375" style="63" customWidth="1"/>
    <col min="11266" max="11266" width="0" style="63" hidden="1" customWidth="1"/>
    <col min="11267" max="11267" width="40.7109375" style="63" customWidth="1"/>
    <col min="11268" max="11268" width="9.5703125" style="63" customWidth="1"/>
    <col min="11269" max="11277" width="8.7109375" style="63" customWidth="1"/>
    <col min="11278" max="11278" width="12.7109375" style="63" customWidth="1"/>
    <col min="11279" max="11279" width="25.7109375" style="63" customWidth="1"/>
    <col min="11280" max="11282" width="10.7109375" style="63" customWidth="1"/>
    <col min="11283" max="11283" width="12.7109375" style="63" customWidth="1"/>
    <col min="11284" max="11284" width="4.140625" style="63" customWidth="1"/>
    <col min="11285" max="11294" width="15.7109375" style="63" customWidth="1"/>
    <col min="11295" max="11520" width="9.140625" style="63"/>
    <col min="11521" max="11521" width="8.7109375" style="63" customWidth="1"/>
    <col min="11522" max="11522" width="0" style="63" hidden="1" customWidth="1"/>
    <col min="11523" max="11523" width="40.7109375" style="63" customWidth="1"/>
    <col min="11524" max="11524" width="9.5703125" style="63" customWidth="1"/>
    <col min="11525" max="11533" width="8.7109375" style="63" customWidth="1"/>
    <col min="11534" max="11534" width="12.7109375" style="63" customWidth="1"/>
    <col min="11535" max="11535" width="25.7109375" style="63" customWidth="1"/>
    <col min="11536" max="11538" width="10.7109375" style="63" customWidth="1"/>
    <col min="11539" max="11539" width="12.7109375" style="63" customWidth="1"/>
    <col min="11540" max="11540" width="4.140625" style="63" customWidth="1"/>
    <col min="11541" max="11550" width="15.7109375" style="63" customWidth="1"/>
    <col min="11551" max="11776" width="9.140625" style="63"/>
    <col min="11777" max="11777" width="8.7109375" style="63" customWidth="1"/>
    <col min="11778" max="11778" width="0" style="63" hidden="1" customWidth="1"/>
    <col min="11779" max="11779" width="40.7109375" style="63" customWidth="1"/>
    <col min="11780" max="11780" width="9.5703125" style="63" customWidth="1"/>
    <col min="11781" max="11789" width="8.7109375" style="63" customWidth="1"/>
    <col min="11790" max="11790" width="12.7109375" style="63" customWidth="1"/>
    <col min="11791" max="11791" width="25.7109375" style="63" customWidth="1"/>
    <col min="11792" max="11794" width="10.7109375" style="63" customWidth="1"/>
    <col min="11795" max="11795" width="12.7109375" style="63" customWidth="1"/>
    <col min="11796" max="11796" width="4.140625" style="63" customWidth="1"/>
    <col min="11797" max="11806" width="15.7109375" style="63" customWidth="1"/>
    <col min="11807" max="12032" width="9.140625" style="63"/>
    <col min="12033" max="12033" width="8.7109375" style="63" customWidth="1"/>
    <col min="12034" max="12034" width="0" style="63" hidden="1" customWidth="1"/>
    <col min="12035" max="12035" width="40.7109375" style="63" customWidth="1"/>
    <col min="12036" max="12036" width="9.5703125" style="63" customWidth="1"/>
    <col min="12037" max="12045" width="8.7109375" style="63" customWidth="1"/>
    <col min="12046" max="12046" width="12.7109375" style="63" customWidth="1"/>
    <col min="12047" max="12047" width="25.7109375" style="63" customWidth="1"/>
    <col min="12048" max="12050" width="10.7109375" style="63" customWidth="1"/>
    <col min="12051" max="12051" width="12.7109375" style="63" customWidth="1"/>
    <col min="12052" max="12052" width="4.140625" style="63" customWidth="1"/>
    <col min="12053" max="12062" width="15.7109375" style="63" customWidth="1"/>
    <col min="12063" max="12288" width="9.140625" style="63"/>
    <col min="12289" max="12289" width="8.7109375" style="63" customWidth="1"/>
    <col min="12290" max="12290" width="0" style="63" hidden="1" customWidth="1"/>
    <col min="12291" max="12291" width="40.7109375" style="63" customWidth="1"/>
    <col min="12292" max="12292" width="9.5703125" style="63" customWidth="1"/>
    <col min="12293" max="12301" width="8.7109375" style="63" customWidth="1"/>
    <col min="12302" max="12302" width="12.7109375" style="63" customWidth="1"/>
    <col min="12303" max="12303" width="25.7109375" style="63" customWidth="1"/>
    <col min="12304" max="12306" width="10.7109375" style="63" customWidth="1"/>
    <col min="12307" max="12307" width="12.7109375" style="63" customWidth="1"/>
    <col min="12308" max="12308" width="4.140625" style="63" customWidth="1"/>
    <col min="12309" max="12318" width="15.7109375" style="63" customWidth="1"/>
    <col min="12319" max="12544" width="9.140625" style="63"/>
    <col min="12545" max="12545" width="8.7109375" style="63" customWidth="1"/>
    <col min="12546" max="12546" width="0" style="63" hidden="1" customWidth="1"/>
    <col min="12547" max="12547" width="40.7109375" style="63" customWidth="1"/>
    <col min="12548" max="12548" width="9.5703125" style="63" customWidth="1"/>
    <col min="12549" max="12557" width="8.7109375" style="63" customWidth="1"/>
    <col min="12558" max="12558" width="12.7109375" style="63" customWidth="1"/>
    <col min="12559" max="12559" width="25.7109375" style="63" customWidth="1"/>
    <col min="12560" max="12562" width="10.7109375" style="63" customWidth="1"/>
    <col min="12563" max="12563" width="12.7109375" style="63" customWidth="1"/>
    <col min="12564" max="12564" width="4.140625" style="63" customWidth="1"/>
    <col min="12565" max="12574" width="15.7109375" style="63" customWidth="1"/>
    <col min="12575" max="12800" width="9.140625" style="63"/>
    <col min="12801" max="12801" width="8.7109375" style="63" customWidth="1"/>
    <col min="12802" max="12802" width="0" style="63" hidden="1" customWidth="1"/>
    <col min="12803" max="12803" width="40.7109375" style="63" customWidth="1"/>
    <col min="12804" max="12804" width="9.5703125" style="63" customWidth="1"/>
    <col min="12805" max="12813" width="8.7109375" style="63" customWidth="1"/>
    <col min="12814" max="12814" width="12.7109375" style="63" customWidth="1"/>
    <col min="12815" max="12815" width="25.7109375" style="63" customWidth="1"/>
    <col min="12816" max="12818" width="10.7109375" style="63" customWidth="1"/>
    <col min="12819" max="12819" width="12.7109375" style="63" customWidth="1"/>
    <col min="12820" max="12820" width="4.140625" style="63" customWidth="1"/>
    <col min="12821" max="12830" width="15.7109375" style="63" customWidth="1"/>
    <col min="12831" max="13056" width="9.140625" style="63"/>
    <col min="13057" max="13057" width="8.7109375" style="63" customWidth="1"/>
    <col min="13058" max="13058" width="0" style="63" hidden="1" customWidth="1"/>
    <col min="13059" max="13059" width="40.7109375" style="63" customWidth="1"/>
    <col min="13060" max="13060" width="9.5703125" style="63" customWidth="1"/>
    <col min="13061" max="13069" width="8.7109375" style="63" customWidth="1"/>
    <col min="13070" max="13070" width="12.7109375" style="63" customWidth="1"/>
    <col min="13071" max="13071" width="25.7109375" style="63" customWidth="1"/>
    <col min="13072" max="13074" width="10.7109375" style="63" customWidth="1"/>
    <col min="13075" max="13075" width="12.7109375" style="63" customWidth="1"/>
    <col min="13076" max="13076" width="4.140625" style="63" customWidth="1"/>
    <col min="13077" max="13086" width="15.7109375" style="63" customWidth="1"/>
    <col min="13087" max="13312" width="9.140625" style="63"/>
    <col min="13313" max="13313" width="8.7109375" style="63" customWidth="1"/>
    <col min="13314" max="13314" width="0" style="63" hidden="1" customWidth="1"/>
    <col min="13315" max="13315" width="40.7109375" style="63" customWidth="1"/>
    <col min="13316" max="13316" width="9.5703125" style="63" customWidth="1"/>
    <col min="13317" max="13325" width="8.7109375" style="63" customWidth="1"/>
    <col min="13326" max="13326" width="12.7109375" style="63" customWidth="1"/>
    <col min="13327" max="13327" width="25.7109375" style="63" customWidth="1"/>
    <col min="13328" max="13330" width="10.7109375" style="63" customWidth="1"/>
    <col min="13331" max="13331" width="12.7109375" style="63" customWidth="1"/>
    <col min="13332" max="13332" width="4.140625" style="63" customWidth="1"/>
    <col min="13333" max="13342" width="15.7109375" style="63" customWidth="1"/>
    <col min="13343" max="13568" width="9.140625" style="63"/>
    <col min="13569" max="13569" width="8.7109375" style="63" customWidth="1"/>
    <col min="13570" max="13570" width="0" style="63" hidden="1" customWidth="1"/>
    <col min="13571" max="13571" width="40.7109375" style="63" customWidth="1"/>
    <col min="13572" max="13572" width="9.5703125" style="63" customWidth="1"/>
    <col min="13573" max="13581" width="8.7109375" style="63" customWidth="1"/>
    <col min="13582" max="13582" width="12.7109375" style="63" customWidth="1"/>
    <col min="13583" max="13583" width="25.7109375" style="63" customWidth="1"/>
    <col min="13584" max="13586" width="10.7109375" style="63" customWidth="1"/>
    <col min="13587" max="13587" width="12.7109375" style="63" customWidth="1"/>
    <col min="13588" max="13588" width="4.140625" style="63" customWidth="1"/>
    <col min="13589" max="13598" width="15.7109375" style="63" customWidth="1"/>
    <col min="13599" max="13824" width="9.140625" style="63"/>
    <col min="13825" max="13825" width="8.7109375" style="63" customWidth="1"/>
    <col min="13826" max="13826" width="0" style="63" hidden="1" customWidth="1"/>
    <col min="13827" max="13827" width="40.7109375" style="63" customWidth="1"/>
    <col min="13828" max="13828" width="9.5703125" style="63" customWidth="1"/>
    <col min="13829" max="13837" width="8.7109375" style="63" customWidth="1"/>
    <col min="13838" max="13838" width="12.7109375" style="63" customWidth="1"/>
    <col min="13839" max="13839" width="25.7109375" style="63" customWidth="1"/>
    <col min="13840" max="13842" width="10.7109375" style="63" customWidth="1"/>
    <col min="13843" max="13843" width="12.7109375" style="63" customWidth="1"/>
    <col min="13844" max="13844" width="4.140625" style="63" customWidth="1"/>
    <col min="13845" max="13854" width="15.7109375" style="63" customWidth="1"/>
    <col min="13855" max="14080" width="9.140625" style="63"/>
    <col min="14081" max="14081" width="8.7109375" style="63" customWidth="1"/>
    <col min="14082" max="14082" width="0" style="63" hidden="1" customWidth="1"/>
    <col min="14083" max="14083" width="40.7109375" style="63" customWidth="1"/>
    <col min="14084" max="14084" width="9.5703125" style="63" customWidth="1"/>
    <col min="14085" max="14093" width="8.7109375" style="63" customWidth="1"/>
    <col min="14094" max="14094" width="12.7109375" style="63" customWidth="1"/>
    <col min="14095" max="14095" width="25.7109375" style="63" customWidth="1"/>
    <col min="14096" max="14098" width="10.7109375" style="63" customWidth="1"/>
    <col min="14099" max="14099" width="12.7109375" style="63" customWidth="1"/>
    <col min="14100" max="14100" width="4.140625" style="63" customWidth="1"/>
    <col min="14101" max="14110" width="15.7109375" style="63" customWidth="1"/>
    <col min="14111" max="14336" width="9.140625" style="63"/>
    <col min="14337" max="14337" width="8.7109375" style="63" customWidth="1"/>
    <col min="14338" max="14338" width="0" style="63" hidden="1" customWidth="1"/>
    <col min="14339" max="14339" width="40.7109375" style="63" customWidth="1"/>
    <col min="14340" max="14340" width="9.5703125" style="63" customWidth="1"/>
    <col min="14341" max="14349" width="8.7109375" style="63" customWidth="1"/>
    <col min="14350" max="14350" width="12.7109375" style="63" customWidth="1"/>
    <col min="14351" max="14351" width="25.7109375" style="63" customWidth="1"/>
    <col min="14352" max="14354" width="10.7109375" style="63" customWidth="1"/>
    <col min="14355" max="14355" width="12.7109375" style="63" customWidth="1"/>
    <col min="14356" max="14356" width="4.140625" style="63" customWidth="1"/>
    <col min="14357" max="14366" width="15.7109375" style="63" customWidth="1"/>
    <col min="14367" max="14592" width="9.140625" style="63"/>
    <col min="14593" max="14593" width="8.7109375" style="63" customWidth="1"/>
    <col min="14594" max="14594" width="0" style="63" hidden="1" customWidth="1"/>
    <col min="14595" max="14595" width="40.7109375" style="63" customWidth="1"/>
    <col min="14596" max="14596" width="9.5703125" style="63" customWidth="1"/>
    <col min="14597" max="14605" width="8.7109375" style="63" customWidth="1"/>
    <col min="14606" max="14606" width="12.7109375" style="63" customWidth="1"/>
    <col min="14607" max="14607" width="25.7109375" style="63" customWidth="1"/>
    <col min="14608" max="14610" width="10.7109375" style="63" customWidth="1"/>
    <col min="14611" max="14611" width="12.7109375" style="63" customWidth="1"/>
    <col min="14612" max="14612" width="4.140625" style="63" customWidth="1"/>
    <col min="14613" max="14622" width="15.7109375" style="63" customWidth="1"/>
    <col min="14623" max="14848" width="9.140625" style="63"/>
    <col min="14849" max="14849" width="8.7109375" style="63" customWidth="1"/>
    <col min="14850" max="14850" width="0" style="63" hidden="1" customWidth="1"/>
    <col min="14851" max="14851" width="40.7109375" style="63" customWidth="1"/>
    <col min="14852" max="14852" width="9.5703125" style="63" customWidth="1"/>
    <col min="14853" max="14861" width="8.7109375" style="63" customWidth="1"/>
    <col min="14862" max="14862" width="12.7109375" style="63" customWidth="1"/>
    <col min="14863" max="14863" width="25.7109375" style="63" customWidth="1"/>
    <col min="14864" max="14866" width="10.7109375" style="63" customWidth="1"/>
    <col min="14867" max="14867" width="12.7109375" style="63" customWidth="1"/>
    <col min="14868" max="14868" width="4.140625" style="63" customWidth="1"/>
    <col min="14869" max="14878" width="15.7109375" style="63" customWidth="1"/>
    <col min="14879" max="15104" width="9.140625" style="63"/>
    <col min="15105" max="15105" width="8.7109375" style="63" customWidth="1"/>
    <col min="15106" max="15106" width="0" style="63" hidden="1" customWidth="1"/>
    <col min="15107" max="15107" width="40.7109375" style="63" customWidth="1"/>
    <col min="15108" max="15108" width="9.5703125" style="63" customWidth="1"/>
    <col min="15109" max="15117" width="8.7109375" style="63" customWidth="1"/>
    <col min="15118" max="15118" width="12.7109375" style="63" customWidth="1"/>
    <col min="15119" max="15119" width="25.7109375" style="63" customWidth="1"/>
    <col min="15120" max="15122" width="10.7109375" style="63" customWidth="1"/>
    <col min="15123" max="15123" width="12.7109375" style="63" customWidth="1"/>
    <col min="15124" max="15124" width="4.140625" style="63" customWidth="1"/>
    <col min="15125" max="15134" width="15.7109375" style="63" customWidth="1"/>
    <col min="15135" max="15360" width="9.140625" style="63"/>
    <col min="15361" max="15361" width="8.7109375" style="63" customWidth="1"/>
    <col min="15362" max="15362" width="0" style="63" hidden="1" customWidth="1"/>
    <col min="15363" max="15363" width="40.7109375" style="63" customWidth="1"/>
    <col min="15364" max="15364" width="9.5703125" style="63" customWidth="1"/>
    <col min="15365" max="15373" width="8.7109375" style="63" customWidth="1"/>
    <col min="15374" max="15374" width="12.7109375" style="63" customWidth="1"/>
    <col min="15375" max="15375" width="25.7109375" style="63" customWidth="1"/>
    <col min="15376" max="15378" width="10.7109375" style="63" customWidth="1"/>
    <col min="15379" max="15379" width="12.7109375" style="63" customWidth="1"/>
    <col min="15380" max="15380" width="4.140625" style="63" customWidth="1"/>
    <col min="15381" max="15390" width="15.7109375" style="63" customWidth="1"/>
    <col min="15391" max="15616" width="9.140625" style="63"/>
    <col min="15617" max="15617" width="8.7109375" style="63" customWidth="1"/>
    <col min="15618" max="15618" width="0" style="63" hidden="1" customWidth="1"/>
    <col min="15619" max="15619" width="40.7109375" style="63" customWidth="1"/>
    <col min="15620" max="15620" width="9.5703125" style="63" customWidth="1"/>
    <col min="15621" max="15629" width="8.7109375" style="63" customWidth="1"/>
    <col min="15630" max="15630" width="12.7109375" style="63" customWidth="1"/>
    <col min="15631" max="15631" width="25.7109375" style="63" customWidth="1"/>
    <col min="15632" max="15634" width="10.7109375" style="63" customWidth="1"/>
    <col min="15635" max="15635" width="12.7109375" style="63" customWidth="1"/>
    <col min="15636" max="15636" width="4.140625" style="63" customWidth="1"/>
    <col min="15637" max="15646" width="15.7109375" style="63" customWidth="1"/>
    <col min="15647" max="15872" width="9.140625" style="63"/>
    <col min="15873" max="15873" width="8.7109375" style="63" customWidth="1"/>
    <col min="15874" max="15874" width="0" style="63" hidden="1" customWidth="1"/>
    <col min="15875" max="15875" width="40.7109375" style="63" customWidth="1"/>
    <col min="15876" max="15876" width="9.5703125" style="63" customWidth="1"/>
    <col min="15877" max="15885" width="8.7109375" style="63" customWidth="1"/>
    <col min="15886" max="15886" width="12.7109375" style="63" customWidth="1"/>
    <col min="15887" max="15887" width="25.7109375" style="63" customWidth="1"/>
    <col min="15888" max="15890" width="10.7109375" style="63" customWidth="1"/>
    <col min="15891" max="15891" width="12.7109375" style="63" customWidth="1"/>
    <col min="15892" max="15892" width="4.140625" style="63" customWidth="1"/>
    <col min="15893" max="15902" width="15.7109375" style="63" customWidth="1"/>
    <col min="15903" max="16128" width="9.140625" style="63"/>
    <col min="16129" max="16129" width="8.7109375" style="63" customWidth="1"/>
    <col min="16130" max="16130" width="0" style="63" hidden="1" customWidth="1"/>
    <col min="16131" max="16131" width="40.7109375" style="63" customWidth="1"/>
    <col min="16132" max="16132" width="9.5703125" style="63" customWidth="1"/>
    <col min="16133" max="16141" width="8.7109375" style="63" customWidth="1"/>
    <col min="16142" max="16142" width="12.7109375" style="63" customWidth="1"/>
    <col min="16143" max="16143" width="25.7109375" style="63" customWidth="1"/>
    <col min="16144" max="16146" width="10.7109375" style="63" customWidth="1"/>
    <col min="16147" max="16147" width="12.7109375" style="63" customWidth="1"/>
    <col min="16148" max="16148" width="4.140625" style="63" customWidth="1"/>
    <col min="16149" max="16158" width="15.7109375" style="63" customWidth="1"/>
    <col min="16159" max="16384" width="9.140625" style="63"/>
  </cols>
  <sheetData>
    <row r="2" spans="1:31" ht="39.950000000000003" customHeight="1" x14ac:dyDescent="0.2">
      <c r="A2" s="1442" t="s">
        <v>949</v>
      </c>
      <c r="B2" s="1442"/>
      <c r="C2" s="1442"/>
      <c r="D2" s="1442"/>
      <c r="E2" s="1442"/>
      <c r="F2" s="1442"/>
      <c r="G2" s="1442"/>
      <c r="H2" s="1442"/>
      <c r="I2" s="1442"/>
      <c r="J2" s="1442"/>
      <c r="K2" s="1442"/>
      <c r="L2" s="1442"/>
      <c r="M2" s="1442"/>
      <c r="N2" s="1442"/>
      <c r="O2" s="1442"/>
      <c r="P2" s="1442"/>
      <c r="Q2" s="1442"/>
      <c r="R2" s="1442"/>
      <c r="S2" s="1442"/>
    </row>
    <row r="3" spans="1:31" ht="24.95" customHeight="1" x14ac:dyDescent="0.3">
      <c r="M3" s="655" t="s">
        <v>423</v>
      </c>
      <c r="O3" s="1443" t="str">
        <f>LPKK!Q4</f>
        <v>SC MARABAHAN</v>
      </c>
      <c r="P3" s="1444"/>
    </row>
    <row r="4" spans="1:31" ht="24.95" customHeight="1" x14ac:dyDescent="0.3">
      <c r="M4" s="655" t="s">
        <v>424</v>
      </c>
      <c r="O4" s="1443" t="str">
        <f>LPKK!Q5</f>
        <v>1-7 JULI 2026</v>
      </c>
      <c r="P4" s="1444"/>
      <c r="R4" s="658"/>
    </row>
    <row r="5" spans="1:31" ht="24.95" customHeight="1" thickBot="1" x14ac:dyDescent="0.35">
      <c r="A5" s="655"/>
      <c r="M5" s="655"/>
      <c r="U5" s="612"/>
      <c r="W5" s="612"/>
    </row>
    <row r="6" spans="1:31" ht="24.95" customHeight="1" thickBot="1" x14ac:dyDescent="0.25">
      <c r="A6" s="1445" t="s">
        <v>89</v>
      </c>
      <c r="B6" s="1445" t="s">
        <v>425</v>
      </c>
      <c r="C6" s="1447" t="str">
        <f>B6</f>
        <v>PRODUCT</v>
      </c>
      <c r="D6" s="659">
        <f>'LAP. PENJUALAN REGULER'!D6</f>
        <v>1</v>
      </c>
      <c r="E6" s="659">
        <f>'LAP. PENJUALAN REGULER'!E6</f>
        <v>2</v>
      </c>
      <c r="F6" s="659">
        <f>'LAP. PENJUALAN REGULER'!F6</f>
        <v>3</v>
      </c>
      <c r="G6" s="659">
        <f>'LAP. PENJUALAN REGULER'!G6</f>
        <v>4</v>
      </c>
      <c r="H6" s="659">
        <f>'LAP. PENJUALAN REGULER'!H6</f>
        <v>5</v>
      </c>
      <c r="I6" s="659">
        <f>'LAP. PENJUALAN REGULER'!I6</f>
        <v>6</v>
      </c>
      <c r="J6" s="659">
        <f>'LAP. PENJUALAN REGULER'!J6</f>
        <v>7</v>
      </c>
      <c r="K6" s="659">
        <f>'LAP. PENJUALAN REGULER'!K6</f>
        <v>0</v>
      </c>
      <c r="L6" s="659">
        <f>'LAP. PENJUALAN REGULER'!L6</f>
        <v>0</v>
      </c>
      <c r="M6" s="659">
        <f>'LAP. PENJUALAN REGULER'!M6</f>
        <v>0</v>
      </c>
      <c r="N6" s="1449" t="s">
        <v>10</v>
      </c>
      <c r="O6" s="1450"/>
      <c r="P6" s="1451" t="s">
        <v>426</v>
      </c>
      <c r="Q6" s="1453" t="s">
        <v>427</v>
      </c>
      <c r="R6" s="1455" t="s">
        <v>428</v>
      </c>
      <c r="S6" s="660" t="s">
        <v>429</v>
      </c>
    </row>
    <row r="7" spans="1:31" ht="24.95" customHeight="1" thickBot="1" x14ac:dyDescent="0.25">
      <c r="A7" s="1446"/>
      <c r="B7" s="1446"/>
      <c r="C7" s="1448"/>
      <c r="D7" s="661" t="str">
        <f>'LAP. PENJUALAN REGULER'!D7</f>
        <v>Rabu</v>
      </c>
      <c r="E7" s="661" t="str">
        <f>'LAP. PENJUALAN REGULER'!E7</f>
        <v>Kamis</v>
      </c>
      <c r="F7" s="661" t="str">
        <f>'LAP. PENJUALAN REGULER'!F7</f>
        <v>Jum`at</v>
      </c>
      <c r="G7" s="661" t="str">
        <f>'LAP. PENJUALAN REGULER'!G7</f>
        <v>Sabtu</v>
      </c>
      <c r="H7" s="661" t="str">
        <f>'LAP. PENJUALAN REGULER'!H7</f>
        <v>Minggu</v>
      </c>
      <c r="I7" s="661" t="str">
        <f>'LAP. PENJUALAN REGULER'!I7</f>
        <v>Senin</v>
      </c>
      <c r="J7" s="661" t="str">
        <f>'LAP. PENJUALAN REGULER'!J7</f>
        <v>Sabtu</v>
      </c>
      <c r="K7" s="661">
        <f>'LAP. PENJUALAN REGULER'!K7</f>
        <v>0</v>
      </c>
      <c r="L7" s="661">
        <f>'LAP. PENJUALAN REGULER'!L7</f>
        <v>0</v>
      </c>
      <c r="M7" s="661">
        <f>'LAP. PENJUALAN REGULER'!M7</f>
        <v>0</v>
      </c>
      <c r="N7" s="531" t="s">
        <v>32</v>
      </c>
      <c r="O7" s="663" t="s">
        <v>109</v>
      </c>
      <c r="P7" s="1452"/>
      <c r="Q7" s="1454"/>
      <c r="R7" s="1456"/>
      <c r="S7" s="664" t="s">
        <v>430</v>
      </c>
      <c r="T7" s="665"/>
      <c r="U7" s="666"/>
    </row>
    <row r="8" spans="1:31" ht="24.95" customHeight="1" x14ac:dyDescent="0.2">
      <c r="A8" s="667">
        <v>1</v>
      </c>
      <c r="B8" s="668" t="s">
        <v>431</v>
      </c>
      <c r="C8" s="669" t="str">
        <f>B8</f>
        <v>Dada</v>
      </c>
      <c r="D8" s="1106"/>
      <c r="E8" s="1107"/>
      <c r="F8" s="1106"/>
      <c r="G8" s="1107"/>
      <c r="H8" s="1106"/>
      <c r="I8" s="1107"/>
      <c r="J8" s="1106"/>
      <c r="K8" s="1107"/>
      <c r="L8" s="1106"/>
      <c r="M8" s="1108"/>
      <c r="N8" s="1109">
        <f>SUM(D8:M8)</f>
        <v>0</v>
      </c>
      <c r="O8" s="1110">
        <f>N8*S8</f>
        <v>0</v>
      </c>
      <c r="P8" s="707" t="e">
        <f>(O8/O112)*100</f>
        <v>#DIV/0!</v>
      </c>
      <c r="Q8" s="1111"/>
      <c r="R8" s="1112" t="e">
        <f>P8*Q8</f>
        <v>#DIV/0!</v>
      </c>
      <c r="S8" s="678">
        <v>19575</v>
      </c>
      <c r="U8" s="679">
        <f>D8*S8</f>
        <v>0</v>
      </c>
      <c r="V8" s="679">
        <f>E8*S8</f>
        <v>0</v>
      </c>
      <c r="W8" s="679">
        <f>F8*S8</f>
        <v>0</v>
      </c>
      <c r="X8" s="679">
        <f>G8*S8</f>
        <v>0</v>
      </c>
      <c r="Y8" s="679">
        <f>H8*S8</f>
        <v>0</v>
      </c>
      <c r="Z8" s="679">
        <f>I8*S8</f>
        <v>0</v>
      </c>
      <c r="AA8" s="679">
        <f>J8*S8</f>
        <v>0</v>
      </c>
      <c r="AB8" s="679">
        <f>K8*S8</f>
        <v>0</v>
      </c>
      <c r="AC8" s="679">
        <f>L8*S8</f>
        <v>0</v>
      </c>
      <c r="AD8" s="679">
        <f>M8*S8</f>
        <v>0</v>
      </c>
      <c r="AE8" s="610"/>
    </row>
    <row r="9" spans="1:31" ht="24.95" customHeight="1" x14ac:dyDescent="0.2">
      <c r="A9" s="667">
        <v>2</v>
      </c>
      <c r="B9" s="680" t="s">
        <v>432</v>
      </c>
      <c r="C9" s="681" t="str">
        <f>B9</f>
        <v>Paha Atas</v>
      </c>
      <c r="D9" s="682"/>
      <c r="E9" s="683"/>
      <c r="F9" s="682"/>
      <c r="G9" s="683"/>
      <c r="H9" s="682"/>
      <c r="I9" s="683"/>
      <c r="J9" s="682"/>
      <c r="K9" s="683"/>
      <c r="L9" s="682"/>
      <c r="M9" s="684"/>
      <c r="N9" s="673">
        <f t="shared" ref="N9:N78" si="0">SUM(D9:M9)</f>
        <v>0</v>
      </c>
      <c r="O9" s="674">
        <f t="shared" ref="O9:O78" si="1">N9*S9</f>
        <v>0</v>
      </c>
      <c r="P9" s="675" t="e">
        <f>(O9/O112)*100</f>
        <v>#DIV/0!</v>
      </c>
      <c r="Q9" s="676"/>
      <c r="R9" s="677" t="e">
        <f t="shared" ref="R9:R78" si="2">P9*Q9</f>
        <v>#DIV/0!</v>
      </c>
      <c r="S9" s="685">
        <v>19575</v>
      </c>
      <c r="U9" s="679">
        <f t="shared" ref="U9:U75" si="3">D9*S9</f>
        <v>0</v>
      </c>
      <c r="V9" s="679">
        <f t="shared" ref="V9:V75" si="4">E9*S9</f>
        <v>0</v>
      </c>
      <c r="W9" s="679">
        <f t="shared" ref="W9:W75" si="5">F9*S9</f>
        <v>0</v>
      </c>
      <c r="X9" s="679">
        <f t="shared" ref="X9:X75" si="6">G9*S9</f>
        <v>0</v>
      </c>
      <c r="Y9" s="679">
        <f t="shared" ref="Y9:Y75" si="7">H9*S9</f>
        <v>0</v>
      </c>
      <c r="Z9" s="679">
        <f t="shared" ref="Z9:Z75" si="8">I9*S9</f>
        <v>0</v>
      </c>
      <c r="AA9" s="679">
        <f t="shared" ref="AA9:AA75" si="9">J9*S9</f>
        <v>0</v>
      </c>
      <c r="AB9" s="679">
        <f t="shared" ref="AB9:AB75" si="10">K9*S9</f>
        <v>0</v>
      </c>
      <c r="AC9" s="679">
        <f t="shared" ref="AC9:AC75" si="11">L9*S9</f>
        <v>0</v>
      </c>
      <c r="AD9" s="679">
        <f t="shared" ref="AD9:AD75" si="12">M9*S9</f>
        <v>0</v>
      </c>
      <c r="AE9" s="610"/>
    </row>
    <row r="10" spans="1:31" ht="24.95" customHeight="1" x14ac:dyDescent="0.2">
      <c r="A10" s="667">
        <v>3</v>
      </c>
      <c r="B10" s="680" t="s">
        <v>433</v>
      </c>
      <c r="C10" s="681" t="str">
        <f t="shared" ref="C10:C20" si="13">B10</f>
        <v>Paha Bawah</v>
      </c>
      <c r="D10" s="682"/>
      <c r="E10" s="683"/>
      <c r="F10" s="682"/>
      <c r="G10" s="683"/>
      <c r="H10" s="682"/>
      <c r="I10" s="683"/>
      <c r="J10" s="682"/>
      <c r="K10" s="683"/>
      <c r="L10" s="682"/>
      <c r="M10" s="684"/>
      <c r="N10" s="673">
        <f t="shared" si="0"/>
        <v>0</v>
      </c>
      <c r="O10" s="674">
        <f t="shared" si="1"/>
        <v>0</v>
      </c>
      <c r="P10" s="686" t="e">
        <f>(O10/O112)*100</f>
        <v>#DIV/0!</v>
      </c>
      <c r="Q10" s="676"/>
      <c r="R10" s="677" t="e">
        <f t="shared" si="2"/>
        <v>#DIV/0!</v>
      </c>
      <c r="S10" s="685">
        <v>17550</v>
      </c>
      <c r="U10" s="679">
        <f t="shared" si="3"/>
        <v>0</v>
      </c>
      <c r="V10" s="679">
        <f t="shared" si="4"/>
        <v>0</v>
      </c>
      <c r="W10" s="679">
        <f t="shared" si="5"/>
        <v>0</v>
      </c>
      <c r="X10" s="679">
        <f t="shared" si="6"/>
        <v>0</v>
      </c>
      <c r="Y10" s="679">
        <f t="shared" si="7"/>
        <v>0</v>
      </c>
      <c r="Z10" s="679">
        <f t="shared" si="8"/>
        <v>0</v>
      </c>
      <c r="AA10" s="679">
        <f t="shared" si="9"/>
        <v>0</v>
      </c>
      <c r="AB10" s="679">
        <f t="shared" si="10"/>
        <v>0</v>
      </c>
      <c r="AC10" s="679">
        <f t="shared" si="11"/>
        <v>0</v>
      </c>
      <c r="AD10" s="679">
        <f t="shared" si="12"/>
        <v>0</v>
      </c>
      <c r="AE10" s="610"/>
    </row>
    <row r="11" spans="1:31" ht="24.95" customHeight="1" x14ac:dyDescent="0.2">
      <c r="A11" s="667">
        <v>4</v>
      </c>
      <c r="B11" s="680" t="s">
        <v>434</v>
      </c>
      <c r="C11" s="681" t="str">
        <f t="shared" si="13"/>
        <v>Sayap</v>
      </c>
      <c r="D11" s="682"/>
      <c r="E11" s="683"/>
      <c r="F11" s="687"/>
      <c r="G11" s="683"/>
      <c r="H11" s="682"/>
      <c r="I11" s="683"/>
      <c r="J11" s="682"/>
      <c r="K11" s="683"/>
      <c r="L11" s="682"/>
      <c r="M11" s="684"/>
      <c r="N11" s="673">
        <f t="shared" si="0"/>
        <v>0</v>
      </c>
      <c r="O11" s="674">
        <f t="shared" si="1"/>
        <v>0</v>
      </c>
      <c r="P11" s="686" t="e">
        <f>(O11/O112)*100</f>
        <v>#DIV/0!</v>
      </c>
      <c r="Q11" s="676"/>
      <c r="R11" s="677" t="e">
        <f t="shared" si="2"/>
        <v>#DIV/0!</v>
      </c>
      <c r="S11" s="685">
        <v>16200</v>
      </c>
      <c r="U11" s="679">
        <f t="shared" si="3"/>
        <v>0</v>
      </c>
      <c r="V11" s="679">
        <f t="shared" si="4"/>
        <v>0</v>
      </c>
      <c r="W11" s="679">
        <f t="shared" si="5"/>
        <v>0</v>
      </c>
      <c r="X11" s="679">
        <f t="shared" si="6"/>
        <v>0</v>
      </c>
      <c r="Y11" s="679">
        <f t="shared" si="7"/>
        <v>0</v>
      </c>
      <c r="Z11" s="679">
        <f t="shared" si="8"/>
        <v>0</v>
      </c>
      <c r="AA11" s="679">
        <f t="shared" si="9"/>
        <v>0</v>
      </c>
      <c r="AB11" s="679">
        <f t="shared" si="10"/>
        <v>0</v>
      </c>
      <c r="AC11" s="679">
        <f t="shared" si="11"/>
        <v>0</v>
      </c>
      <c r="AD11" s="679">
        <f t="shared" si="12"/>
        <v>0</v>
      </c>
      <c r="AE11" s="610"/>
    </row>
    <row r="12" spans="1:31" ht="24.95" customHeight="1" x14ac:dyDescent="0.2">
      <c r="A12" s="667">
        <v>5</v>
      </c>
      <c r="B12" s="680" t="s">
        <v>435</v>
      </c>
      <c r="C12" s="681" t="str">
        <f t="shared" si="13"/>
        <v>Chicken Strips</v>
      </c>
      <c r="D12" s="682"/>
      <c r="E12" s="683"/>
      <c r="F12" s="682"/>
      <c r="G12" s="683"/>
      <c r="H12" s="682"/>
      <c r="I12" s="683"/>
      <c r="J12" s="682"/>
      <c r="K12" s="683"/>
      <c r="L12" s="682"/>
      <c r="M12" s="684"/>
      <c r="N12" s="673">
        <f t="shared" si="0"/>
        <v>0</v>
      </c>
      <c r="O12" s="674">
        <f t="shared" si="1"/>
        <v>0</v>
      </c>
      <c r="P12" s="686" t="e">
        <f>(O12/O112)*100</f>
        <v>#DIV/0!</v>
      </c>
      <c r="Q12" s="676"/>
      <c r="R12" s="677" t="e">
        <f t="shared" si="2"/>
        <v>#DIV/0!</v>
      </c>
      <c r="S12" s="685">
        <v>16200</v>
      </c>
      <c r="U12" s="679">
        <f t="shared" si="3"/>
        <v>0</v>
      </c>
      <c r="V12" s="679">
        <f t="shared" si="4"/>
        <v>0</v>
      </c>
      <c r="W12" s="679">
        <f t="shared" si="5"/>
        <v>0</v>
      </c>
      <c r="X12" s="679">
        <f t="shared" si="6"/>
        <v>0</v>
      </c>
      <c r="Y12" s="679">
        <f t="shared" si="7"/>
        <v>0</v>
      </c>
      <c r="Z12" s="679">
        <f t="shared" si="8"/>
        <v>0</v>
      </c>
      <c r="AA12" s="679">
        <f t="shared" si="9"/>
        <v>0</v>
      </c>
      <c r="AB12" s="679">
        <f t="shared" si="10"/>
        <v>0</v>
      </c>
      <c r="AC12" s="679">
        <f t="shared" si="11"/>
        <v>0</v>
      </c>
      <c r="AD12" s="679">
        <f t="shared" si="12"/>
        <v>0</v>
      </c>
      <c r="AE12" s="610"/>
    </row>
    <row r="13" spans="1:31" ht="24.95" customHeight="1" x14ac:dyDescent="0.2">
      <c r="A13" s="667">
        <v>6</v>
      </c>
      <c r="B13" s="680" t="s">
        <v>436</v>
      </c>
      <c r="C13" s="681" t="str">
        <f t="shared" si="13"/>
        <v>Chicken Steak</v>
      </c>
      <c r="D13" s="682"/>
      <c r="E13" s="683"/>
      <c r="F13" s="670"/>
      <c r="G13" s="683"/>
      <c r="H13" s="682"/>
      <c r="I13" s="683"/>
      <c r="J13" s="682"/>
      <c r="K13" s="683"/>
      <c r="L13" s="682"/>
      <c r="M13" s="684"/>
      <c r="N13" s="673">
        <f t="shared" si="0"/>
        <v>0</v>
      </c>
      <c r="O13" s="674">
        <f t="shared" si="1"/>
        <v>0</v>
      </c>
      <c r="P13" s="686" t="e">
        <f>(O13/O112)*100</f>
        <v>#DIV/0!</v>
      </c>
      <c r="Q13" s="676"/>
      <c r="R13" s="677" t="e">
        <f t="shared" si="2"/>
        <v>#DIV/0!</v>
      </c>
      <c r="S13" s="688">
        <v>17550</v>
      </c>
      <c r="U13" s="679">
        <f t="shared" si="3"/>
        <v>0</v>
      </c>
      <c r="V13" s="679">
        <f t="shared" si="4"/>
        <v>0</v>
      </c>
      <c r="W13" s="679">
        <f t="shared" si="5"/>
        <v>0</v>
      </c>
      <c r="X13" s="679">
        <f t="shared" si="6"/>
        <v>0</v>
      </c>
      <c r="Y13" s="679">
        <f t="shared" si="7"/>
        <v>0</v>
      </c>
      <c r="Z13" s="679">
        <f t="shared" si="8"/>
        <v>0</v>
      </c>
      <c r="AA13" s="679">
        <f t="shared" si="9"/>
        <v>0</v>
      </c>
      <c r="AB13" s="679">
        <f t="shared" si="10"/>
        <v>0</v>
      </c>
      <c r="AC13" s="679">
        <f t="shared" si="11"/>
        <v>0</v>
      </c>
      <c r="AD13" s="679">
        <f t="shared" si="12"/>
        <v>0</v>
      </c>
      <c r="AE13" s="610"/>
    </row>
    <row r="14" spans="1:31" ht="24.95" customHeight="1" x14ac:dyDescent="0.2">
      <c r="A14" s="667">
        <v>7</v>
      </c>
      <c r="B14" s="680"/>
      <c r="C14" s="680" t="s">
        <v>437</v>
      </c>
      <c r="D14" s="682"/>
      <c r="E14" s="683"/>
      <c r="F14" s="670"/>
      <c r="G14" s="683"/>
      <c r="H14" s="682"/>
      <c r="I14" s="683"/>
      <c r="J14" s="682"/>
      <c r="K14" s="683"/>
      <c r="L14" s="682"/>
      <c r="M14" s="684"/>
      <c r="N14" s="673">
        <f t="shared" si="0"/>
        <v>0</v>
      </c>
      <c r="O14" s="674">
        <f t="shared" si="1"/>
        <v>0</v>
      </c>
      <c r="P14" s="686" t="e">
        <f>(O14/O112)*100</f>
        <v>#DIV/0!</v>
      </c>
      <c r="Q14" s="676"/>
      <c r="R14" s="677" t="e">
        <f t="shared" si="2"/>
        <v>#DIV/0!</v>
      </c>
      <c r="S14" s="689">
        <v>19575</v>
      </c>
      <c r="U14" s="679">
        <f t="shared" si="3"/>
        <v>0</v>
      </c>
      <c r="V14" s="679">
        <f t="shared" si="4"/>
        <v>0</v>
      </c>
      <c r="W14" s="679">
        <f t="shared" si="5"/>
        <v>0</v>
      </c>
      <c r="X14" s="679">
        <f t="shared" si="6"/>
        <v>0</v>
      </c>
      <c r="Y14" s="679">
        <f t="shared" si="7"/>
        <v>0</v>
      </c>
      <c r="Z14" s="679">
        <f t="shared" si="8"/>
        <v>0</v>
      </c>
      <c r="AA14" s="679">
        <f t="shared" si="9"/>
        <v>0</v>
      </c>
      <c r="AB14" s="679">
        <f t="shared" si="10"/>
        <v>0</v>
      </c>
      <c r="AC14" s="679">
        <f t="shared" si="11"/>
        <v>0</v>
      </c>
      <c r="AD14" s="679">
        <f t="shared" si="12"/>
        <v>0</v>
      </c>
      <c r="AE14" s="610"/>
    </row>
    <row r="15" spans="1:31" ht="24.95" customHeight="1" x14ac:dyDescent="0.2">
      <c r="A15" s="667">
        <v>8</v>
      </c>
      <c r="B15" s="680" t="s">
        <v>438</v>
      </c>
      <c r="C15" s="681" t="str">
        <f t="shared" si="13"/>
        <v>French Fries</v>
      </c>
      <c r="D15" s="682"/>
      <c r="E15" s="683"/>
      <c r="F15" s="682"/>
      <c r="G15" s="683"/>
      <c r="H15" s="682"/>
      <c r="I15" s="683"/>
      <c r="J15" s="682"/>
      <c r="K15" s="683"/>
      <c r="L15" s="682"/>
      <c r="M15" s="684"/>
      <c r="N15" s="673">
        <f t="shared" si="0"/>
        <v>0</v>
      </c>
      <c r="O15" s="674">
        <f t="shared" si="1"/>
        <v>0</v>
      </c>
      <c r="P15" s="686" t="e">
        <f>(O15/O112)*100</f>
        <v>#DIV/0!</v>
      </c>
      <c r="Q15" s="676"/>
      <c r="R15" s="677" t="e">
        <f t="shared" si="2"/>
        <v>#DIV/0!</v>
      </c>
      <c r="S15" s="689">
        <v>14850.000000000002</v>
      </c>
      <c r="U15" s="679">
        <f t="shared" si="3"/>
        <v>0</v>
      </c>
      <c r="V15" s="679">
        <f t="shared" si="4"/>
        <v>0</v>
      </c>
      <c r="W15" s="679">
        <f t="shared" si="5"/>
        <v>0</v>
      </c>
      <c r="X15" s="679">
        <f t="shared" si="6"/>
        <v>0</v>
      </c>
      <c r="Y15" s="679">
        <f t="shared" si="7"/>
        <v>0</v>
      </c>
      <c r="Z15" s="679">
        <f t="shared" si="8"/>
        <v>0</v>
      </c>
      <c r="AA15" s="679">
        <f t="shared" si="9"/>
        <v>0</v>
      </c>
      <c r="AB15" s="679">
        <f t="shared" si="10"/>
        <v>0</v>
      </c>
      <c r="AC15" s="679">
        <f t="shared" si="11"/>
        <v>0</v>
      </c>
      <c r="AD15" s="679">
        <f t="shared" si="12"/>
        <v>0</v>
      </c>
      <c r="AE15" s="610"/>
    </row>
    <row r="16" spans="1:31" ht="24.95" customHeight="1" x14ac:dyDescent="0.2">
      <c r="A16" s="667">
        <v>9</v>
      </c>
      <c r="B16" s="680" t="s">
        <v>439</v>
      </c>
      <c r="C16" s="681" t="str">
        <f t="shared" si="13"/>
        <v xml:space="preserve">Nasi </v>
      </c>
      <c r="D16" s="682"/>
      <c r="E16" s="683"/>
      <c r="F16" s="682"/>
      <c r="G16" s="683"/>
      <c r="H16" s="682"/>
      <c r="I16" s="683"/>
      <c r="J16" s="682"/>
      <c r="K16" s="683"/>
      <c r="L16" s="682"/>
      <c r="M16" s="684"/>
      <c r="N16" s="673">
        <f t="shared" si="0"/>
        <v>0</v>
      </c>
      <c r="O16" s="674">
        <f t="shared" si="1"/>
        <v>0</v>
      </c>
      <c r="P16" s="686" t="e">
        <f>(O16/O112)*100</f>
        <v>#DIV/0!</v>
      </c>
      <c r="Q16" s="676"/>
      <c r="R16" s="677" t="e">
        <f t="shared" si="2"/>
        <v>#DIV/0!</v>
      </c>
      <c r="S16" s="689">
        <v>6750</v>
      </c>
      <c r="U16" s="679">
        <f t="shared" si="3"/>
        <v>0</v>
      </c>
      <c r="V16" s="679">
        <f t="shared" si="4"/>
        <v>0</v>
      </c>
      <c r="W16" s="679">
        <f t="shared" si="5"/>
        <v>0</v>
      </c>
      <c r="X16" s="679">
        <f t="shared" si="6"/>
        <v>0</v>
      </c>
      <c r="Y16" s="679">
        <f t="shared" si="7"/>
        <v>0</v>
      </c>
      <c r="Z16" s="679">
        <f t="shared" si="8"/>
        <v>0</v>
      </c>
      <c r="AA16" s="679">
        <f t="shared" si="9"/>
        <v>0</v>
      </c>
      <c r="AB16" s="679">
        <f t="shared" si="10"/>
        <v>0</v>
      </c>
      <c r="AC16" s="679">
        <f t="shared" si="11"/>
        <v>0</v>
      </c>
      <c r="AD16" s="679">
        <f t="shared" si="12"/>
        <v>0</v>
      </c>
      <c r="AE16" s="610"/>
    </row>
    <row r="17" spans="1:31" ht="24.95" customHeight="1" x14ac:dyDescent="0.2">
      <c r="A17" s="667">
        <v>10</v>
      </c>
      <c r="B17" s="680" t="s">
        <v>440</v>
      </c>
      <c r="C17" s="681" t="str">
        <f t="shared" si="13"/>
        <v xml:space="preserve">Perkedel </v>
      </c>
      <c r="D17" s="682"/>
      <c r="E17" s="683"/>
      <c r="F17" s="682"/>
      <c r="G17" s="683"/>
      <c r="H17" s="682"/>
      <c r="I17" s="683"/>
      <c r="J17" s="682"/>
      <c r="K17" s="683"/>
      <c r="L17" s="682"/>
      <c r="M17" s="684"/>
      <c r="N17" s="673">
        <f t="shared" si="0"/>
        <v>0</v>
      </c>
      <c r="O17" s="674">
        <f t="shared" si="1"/>
        <v>0</v>
      </c>
      <c r="P17" s="686" t="e">
        <f>(O17/O112)*100</f>
        <v>#DIV/0!</v>
      </c>
      <c r="Q17" s="676"/>
      <c r="R17" s="677" t="e">
        <f t="shared" si="2"/>
        <v>#DIV/0!</v>
      </c>
      <c r="S17" s="689">
        <v>6750</v>
      </c>
      <c r="U17" s="679">
        <f t="shared" si="3"/>
        <v>0</v>
      </c>
      <c r="V17" s="679">
        <f t="shared" si="4"/>
        <v>0</v>
      </c>
      <c r="W17" s="679">
        <f t="shared" si="5"/>
        <v>0</v>
      </c>
      <c r="X17" s="679">
        <f t="shared" si="6"/>
        <v>0</v>
      </c>
      <c r="Y17" s="679">
        <f t="shared" si="7"/>
        <v>0</v>
      </c>
      <c r="Z17" s="679">
        <f t="shared" si="8"/>
        <v>0</v>
      </c>
      <c r="AA17" s="679">
        <f t="shared" si="9"/>
        <v>0</v>
      </c>
      <c r="AB17" s="679">
        <f t="shared" si="10"/>
        <v>0</v>
      </c>
      <c r="AC17" s="679">
        <f t="shared" si="11"/>
        <v>0</v>
      </c>
      <c r="AD17" s="679">
        <f t="shared" si="12"/>
        <v>0</v>
      </c>
      <c r="AE17" s="610"/>
    </row>
    <row r="18" spans="1:31" ht="24.95" customHeight="1" x14ac:dyDescent="0.2">
      <c r="A18" s="667">
        <v>11</v>
      </c>
      <c r="B18" s="680" t="s">
        <v>441</v>
      </c>
      <c r="C18" s="681" t="str">
        <f t="shared" si="13"/>
        <v>Chicken Burger</v>
      </c>
      <c r="D18" s="682"/>
      <c r="E18" s="683"/>
      <c r="F18" s="682"/>
      <c r="G18" s="683"/>
      <c r="H18" s="682"/>
      <c r="I18" s="683"/>
      <c r="J18" s="682"/>
      <c r="K18" s="683"/>
      <c r="L18" s="682"/>
      <c r="M18" s="684"/>
      <c r="N18" s="673">
        <f t="shared" si="0"/>
        <v>0</v>
      </c>
      <c r="O18" s="674">
        <f t="shared" si="1"/>
        <v>0</v>
      </c>
      <c r="P18" s="686" t="e">
        <f>(O18/O112)*100</f>
        <v>#DIV/0!</v>
      </c>
      <c r="Q18" s="676"/>
      <c r="R18" s="677" t="e">
        <f t="shared" si="2"/>
        <v>#DIV/0!</v>
      </c>
      <c r="S18" s="689">
        <v>20250</v>
      </c>
      <c r="U18" s="679">
        <f t="shared" si="3"/>
        <v>0</v>
      </c>
      <c r="V18" s="679">
        <f t="shared" si="4"/>
        <v>0</v>
      </c>
      <c r="W18" s="679">
        <f t="shared" si="5"/>
        <v>0</v>
      </c>
      <c r="X18" s="679">
        <f t="shared" si="6"/>
        <v>0</v>
      </c>
      <c r="Y18" s="679">
        <f t="shared" si="7"/>
        <v>0</v>
      </c>
      <c r="Z18" s="679">
        <f t="shared" si="8"/>
        <v>0</v>
      </c>
      <c r="AA18" s="679">
        <f t="shared" si="9"/>
        <v>0</v>
      </c>
      <c r="AB18" s="679">
        <f t="shared" si="10"/>
        <v>0</v>
      </c>
      <c r="AC18" s="679">
        <f t="shared" si="11"/>
        <v>0</v>
      </c>
      <c r="AD18" s="679">
        <f t="shared" si="12"/>
        <v>0</v>
      </c>
      <c r="AE18" s="610"/>
    </row>
    <row r="19" spans="1:31" ht="24.95" customHeight="1" x14ac:dyDescent="0.2">
      <c r="A19" s="667">
        <v>12</v>
      </c>
      <c r="B19" s="680" t="s">
        <v>442</v>
      </c>
      <c r="C19" s="681" t="str">
        <f t="shared" si="13"/>
        <v xml:space="preserve">Cheese Burger </v>
      </c>
      <c r="D19" s="682"/>
      <c r="E19" s="683"/>
      <c r="F19" s="682"/>
      <c r="G19" s="683"/>
      <c r="H19" s="682"/>
      <c r="I19" s="683"/>
      <c r="J19" s="682"/>
      <c r="K19" s="683"/>
      <c r="L19" s="682"/>
      <c r="M19" s="684"/>
      <c r="N19" s="673">
        <f t="shared" si="0"/>
        <v>0</v>
      </c>
      <c r="O19" s="674">
        <f t="shared" si="1"/>
        <v>0</v>
      </c>
      <c r="P19" s="686" t="e">
        <f>(O19/O112)*100</f>
        <v>#DIV/0!</v>
      </c>
      <c r="Q19" s="676"/>
      <c r="R19" s="677" t="e">
        <f t="shared" si="2"/>
        <v>#DIV/0!</v>
      </c>
      <c r="S19" s="689">
        <v>22950</v>
      </c>
      <c r="U19" s="679">
        <f t="shared" si="3"/>
        <v>0</v>
      </c>
      <c r="V19" s="679">
        <f t="shared" si="4"/>
        <v>0</v>
      </c>
      <c r="W19" s="679">
        <f t="shared" si="5"/>
        <v>0</v>
      </c>
      <c r="X19" s="679">
        <f t="shared" si="6"/>
        <v>0</v>
      </c>
      <c r="Y19" s="679">
        <f t="shared" si="7"/>
        <v>0</v>
      </c>
      <c r="Z19" s="679">
        <f t="shared" si="8"/>
        <v>0</v>
      </c>
      <c r="AA19" s="679">
        <f t="shared" si="9"/>
        <v>0</v>
      </c>
      <c r="AB19" s="679">
        <f t="shared" si="10"/>
        <v>0</v>
      </c>
      <c r="AC19" s="679">
        <f t="shared" si="11"/>
        <v>0</v>
      </c>
      <c r="AD19" s="679">
        <f t="shared" si="12"/>
        <v>0</v>
      </c>
      <c r="AE19" s="610"/>
    </row>
    <row r="20" spans="1:31" ht="24.95" customHeight="1" x14ac:dyDescent="0.2">
      <c r="A20" s="667">
        <v>13</v>
      </c>
      <c r="B20" s="680" t="s">
        <v>443</v>
      </c>
      <c r="C20" s="681" t="str">
        <f t="shared" si="13"/>
        <v xml:space="preserve">Nasi Goreng </v>
      </c>
      <c r="D20" s="682"/>
      <c r="E20" s="683"/>
      <c r="F20" s="682"/>
      <c r="G20" s="683"/>
      <c r="H20" s="682"/>
      <c r="I20" s="683"/>
      <c r="J20" s="682"/>
      <c r="K20" s="683"/>
      <c r="L20" s="682"/>
      <c r="M20" s="684"/>
      <c r="N20" s="673">
        <f t="shared" si="0"/>
        <v>0</v>
      </c>
      <c r="O20" s="674">
        <f t="shared" si="1"/>
        <v>0</v>
      </c>
      <c r="P20" s="686" t="e">
        <f>(O20/O112)*100</f>
        <v>#DIV/0!</v>
      </c>
      <c r="Q20" s="676"/>
      <c r="R20" s="677" t="e">
        <f t="shared" si="2"/>
        <v>#DIV/0!</v>
      </c>
      <c r="S20" s="689">
        <v>21600</v>
      </c>
      <c r="U20" s="679">
        <f t="shared" si="3"/>
        <v>0</v>
      </c>
      <c r="V20" s="679">
        <f t="shared" si="4"/>
        <v>0</v>
      </c>
      <c r="W20" s="679">
        <f t="shared" si="5"/>
        <v>0</v>
      </c>
      <c r="X20" s="679">
        <f t="shared" si="6"/>
        <v>0</v>
      </c>
      <c r="Y20" s="679">
        <f t="shared" si="7"/>
        <v>0</v>
      </c>
      <c r="Z20" s="679">
        <f t="shared" si="8"/>
        <v>0</v>
      </c>
      <c r="AA20" s="679">
        <f t="shared" si="9"/>
        <v>0</v>
      </c>
      <c r="AB20" s="679">
        <f t="shared" si="10"/>
        <v>0</v>
      </c>
      <c r="AC20" s="679">
        <f t="shared" si="11"/>
        <v>0</v>
      </c>
      <c r="AD20" s="679">
        <f t="shared" si="12"/>
        <v>0</v>
      </c>
      <c r="AE20" s="610"/>
    </row>
    <row r="21" spans="1:31" ht="24.95" customHeight="1" x14ac:dyDescent="0.2">
      <c r="A21" s="667">
        <v>14</v>
      </c>
      <c r="B21" s="680" t="s">
        <v>444</v>
      </c>
      <c r="C21" s="681" t="s">
        <v>445</v>
      </c>
      <c r="D21" s="682"/>
      <c r="E21" s="683"/>
      <c r="F21" s="682"/>
      <c r="G21" s="683"/>
      <c r="H21" s="682"/>
      <c r="I21" s="683"/>
      <c r="J21" s="682"/>
      <c r="K21" s="683"/>
      <c r="L21" s="682"/>
      <c r="M21" s="684"/>
      <c r="N21" s="673">
        <f t="shared" si="0"/>
        <v>0</v>
      </c>
      <c r="O21" s="674">
        <f t="shared" si="1"/>
        <v>0</v>
      </c>
      <c r="P21" s="686" t="e">
        <f>(O21/O112)*100</f>
        <v>#DIV/0!</v>
      </c>
      <c r="Q21" s="676"/>
      <c r="R21" s="677" t="e">
        <f t="shared" si="2"/>
        <v>#DIV/0!</v>
      </c>
      <c r="S21" s="689">
        <v>25650</v>
      </c>
      <c r="U21" s="679">
        <f t="shared" si="3"/>
        <v>0</v>
      </c>
      <c r="V21" s="679">
        <f t="shared" si="4"/>
        <v>0</v>
      </c>
      <c r="W21" s="679">
        <f t="shared" si="5"/>
        <v>0</v>
      </c>
      <c r="X21" s="679">
        <f t="shared" si="6"/>
        <v>0</v>
      </c>
      <c r="Y21" s="679">
        <f t="shared" si="7"/>
        <v>0</v>
      </c>
      <c r="Z21" s="679">
        <f t="shared" si="8"/>
        <v>0</v>
      </c>
      <c r="AA21" s="679">
        <f t="shared" si="9"/>
        <v>0</v>
      </c>
      <c r="AB21" s="679">
        <f t="shared" si="10"/>
        <v>0</v>
      </c>
      <c r="AC21" s="679">
        <f t="shared" si="11"/>
        <v>0</v>
      </c>
      <c r="AD21" s="679">
        <f t="shared" si="12"/>
        <v>0</v>
      </c>
      <c r="AE21" s="610"/>
    </row>
    <row r="22" spans="1:31" ht="24.95" customHeight="1" x14ac:dyDescent="0.2">
      <c r="A22" s="667">
        <v>15</v>
      </c>
      <c r="B22" s="680" t="s">
        <v>446</v>
      </c>
      <c r="C22" s="681" t="s">
        <v>447</v>
      </c>
      <c r="D22" s="682"/>
      <c r="E22" s="683"/>
      <c r="F22" s="682"/>
      <c r="G22" s="683"/>
      <c r="H22" s="682"/>
      <c r="I22" s="683"/>
      <c r="J22" s="682"/>
      <c r="K22" s="683"/>
      <c r="L22" s="682"/>
      <c r="M22" s="684"/>
      <c r="N22" s="673">
        <f t="shared" si="0"/>
        <v>0</v>
      </c>
      <c r="O22" s="674">
        <f t="shared" si="1"/>
        <v>0</v>
      </c>
      <c r="P22" s="686" t="e">
        <f>(O22/O112)*100</f>
        <v>#DIV/0!</v>
      </c>
      <c r="Q22" s="676"/>
      <c r="R22" s="677" t="e">
        <f t="shared" si="2"/>
        <v>#DIV/0!</v>
      </c>
      <c r="S22" s="689">
        <v>21600</v>
      </c>
      <c r="U22" s="679">
        <f t="shared" si="3"/>
        <v>0</v>
      </c>
      <c r="V22" s="679">
        <f t="shared" si="4"/>
        <v>0</v>
      </c>
      <c r="W22" s="679">
        <f t="shared" si="5"/>
        <v>0</v>
      </c>
      <c r="X22" s="679">
        <f t="shared" si="6"/>
        <v>0</v>
      </c>
      <c r="Y22" s="679">
        <f t="shared" si="7"/>
        <v>0</v>
      </c>
      <c r="Z22" s="679">
        <f t="shared" si="8"/>
        <v>0</v>
      </c>
      <c r="AA22" s="679">
        <f t="shared" si="9"/>
        <v>0</v>
      </c>
      <c r="AB22" s="679">
        <f t="shared" si="10"/>
        <v>0</v>
      </c>
      <c r="AC22" s="679">
        <f t="shared" si="11"/>
        <v>0</v>
      </c>
      <c r="AD22" s="679">
        <f t="shared" si="12"/>
        <v>0</v>
      </c>
      <c r="AE22" s="610"/>
    </row>
    <row r="23" spans="1:31" ht="24.95" customHeight="1" x14ac:dyDescent="0.2">
      <c r="A23" s="667">
        <v>16</v>
      </c>
      <c r="B23" s="680"/>
      <c r="C23" s="680" t="s">
        <v>448</v>
      </c>
      <c r="D23" s="682"/>
      <c r="E23" s="683"/>
      <c r="F23" s="682"/>
      <c r="G23" s="683"/>
      <c r="H23" s="682"/>
      <c r="I23" s="683"/>
      <c r="J23" s="682"/>
      <c r="K23" s="683"/>
      <c r="L23" s="682"/>
      <c r="M23" s="684"/>
      <c r="N23" s="673">
        <f t="shared" si="0"/>
        <v>0</v>
      </c>
      <c r="O23" s="674">
        <f t="shared" si="1"/>
        <v>0</v>
      </c>
      <c r="P23" s="686" t="e">
        <f>(O23/O112)*100</f>
        <v>#DIV/0!</v>
      </c>
      <c r="Q23" s="676"/>
      <c r="R23" s="677" t="e">
        <f t="shared" si="2"/>
        <v>#DIV/0!</v>
      </c>
      <c r="S23" s="689">
        <v>33750</v>
      </c>
      <c r="U23" s="679">
        <f t="shared" si="3"/>
        <v>0</v>
      </c>
      <c r="V23" s="679">
        <f t="shared" si="4"/>
        <v>0</v>
      </c>
      <c r="W23" s="679">
        <f t="shared" si="5"/>
        <v>0</v>
      </c>
      <c r="X23" s="679">
        <f t="shared" si="6"/>
        <v>0</v>
      </c>
      <c r="Y23" s="679">
        <f t="shared" si="7"/>
        <v>0</v>
      </c>
      <c r="Z23" s="679">
        <f t="shared" si="8"/>
        <v>0</v>
      </c>
      <c r="AA23" s="679">
        <f t="shared" si="9"/>
        <v>0</v>
      </c>
      <c r="AB23" s="679">
        <f t="shared" si="10"/>
        <v>0</v>
      </c>
      <c r="AC23" s="679">
        <f t="shared" si="11"/>
        <v>0</v>
      </c>
      <c r="AD23" s="679">
        <f t="shared" si="12"/>
        <v>0</v>
      </c>
      <c r="AE23" s="610"/>
    </row>
    <row r="24" spans="1:31" ht="24.95" customHeight="1" x14ac:dyDescent="0.2">
      <c r="A24" s="667">
        <v>17</v>
      </c>
      <c r="B24" s="680"/>
      <c r="C24" s="680"/>
      <c r="D24" s="682"/>
      <c r="E24" s="683"/>
      <c r="F24" s="682"/>
      <c r="G24" s="683"/>
      <c r="H24" s="682"/>
      <c r="I24" s="683"/>
      <c r="J24" s="682"/>
      <c r="K24" s="683"/>
      <c r="L24" s="682"/>
      <c r="M24" s="684"/>
      <c r="N24" s="673">
        <f>SUM(D24:M24)</f>
        <v>0</v>
      </c>
      <c r="O24" s="674">
        <f t="shared" si="1"/>
        <v>0</v>
      </c>
      <c r="P24" s="686" t="e">
        <f>(O24/O112)*100</f>
        <v>#DIV/0!</v>
      </c>
      <c r="Q24" s="676"/>
      <c r="R24" s="677" t="e">
        <f t="shared" si="2"/>
        <v>#DIV/0!</v>
      </c>
      <c r="S24" s="689">
        <v>20250</v>
      </c>
      <c r="U24" s="679">
        <f t="shared" si="3"/>
        <v>0</v>
      </c>
      <c r="V24" s="679">
        <f t="shared" si="4"/>
        <v>0</v>
      </c>
      <c r="W24" s="679">
        <f t="shared" si="5"/>
        <v>0</v>
      </c>
      <c r="X24" s="679">
        <f t="shared" si="6"/>
        <v>0</v>
      </c>
      <c r="Y24" s="679">
        <f t="shared" si="7"/>
        <v>0</v>
      </c>
      <c r="Z24" s="679">
        <f t="shared" si="8"/>
        <v>0</v>
      </c>
      <c r="AA24" s="679">
        <f t="shared" si="9"/>
        <v>0</v>
      </c>
      <c r="AB24" s="679">
        <f t="shared" si="10"/>
        <v>0</v>
      </c>
      <c r="AC24" s="679">
        <f t="shared" si="11"/>
        <v>0</v>
      </c>
      <c r="AD24" s="679">
        <f t="shared" si="12"/>
        <v>0</v>
      </c>
      <c r="AE24" s="610"/>
    </row>
    <row r="25" spans="1:31" ht="24.95" customHeight="1" x14ac:dyDescent="0.2">
      <c r="A25" s="667">
        <v>18</v>
      </c>
      <c r="B25" s="680"/>
      <c r="C25" s="680"/>
      <c r="D25" s="682"/>
      <c r="E25" s="683"/>
      <c r="F25" s="682"/>
      <c r="G25" s="683"/>
      <c r="H25" s="682"/>
      <c r="I25" s="683"/>
      <c r="J25" s="682"/>
      <c r="K25" s="683"/>
      <c r="L25" s="682"/>
      <c r="M25" s="684"/>
      <c r="N25" s="673">
        <f t="shared" ref="N25:N26" si="14">SUM(D25:M25)</f>
        <v>0</v>
      </c>
      <c r="O25" s="674">
        <f t="shared" si="1"/>
        <v>0</v>
      </c>
      <c r="P25" s="686" t="e">
        <f>(O25/O112)*100</f>
        <v>#DIV/0!</v>
      </c>
      <c r="Q25" s="676"/>
      <c r="R25" s="677" t="e">
        <f t="shared" si="2"/>
        <v>#DIV/0!</v>
      </c>
      <c r="S25" s="689"/>
      <c r="U25" s="679">
        <f t="shared" si="3"/>
        <v>0</v>
      </c>
      <c r="V25" s="679">
        <f t="shared" si="4"/>
        <v>0</v>
      </c>
      <c r="W25" s="679">
        <f t="shared" si="5"/>
        <v>0</v>
      </c>
      <c r="X25" s="679">
        <f t="shared" si="6"/>
        <v>0</v>
      </c>
      <c r="Y25" s="679">
        <f t="shared" si="7"/>
        <v>0</v>
      </c>
      <c r="Z25" s="679">
        <f t="shared" si="8"/>
        <v>0</v>
      </c>
      <c r="AA25" s="679">
        <f t="shared" si="9"/>
        <v>0</v>
      </c>
      <c r="AB25" s="679">
        <f t="shared" si="10"/>
        <v>0</v>
      </c>
      <c r="AC25" s="679">
        <f t="shared" si="11"/>
        <v>0</v>
      </c>
      <c r="AD25" s="679">
        <f t="shared" si="12"/>
        <v>0</v>
      </c>
      <c r="AE25" s="610"/>
    </row>
    <row r="26" spans="1:31" ht="24.95" customHeight="1" x14ac:dyDescent="0.2">
      <c r="A26" s="667">
        <v>19</v>
      </c>
      <c r="B26" s="680" t="s">
        <v>449</v>
      </c>
      <c r="C26" s="681" t="s">
        <v>450</v>
      </c>
      <c r="D26" s="682"/>
      <c r="E26" s="683"/>
      <c r="F26" s="682"/>
      <c r="G26" s="683"/>
      <c r="H26" s="682"/>
      <c r="I26" s="683"/>
      <c r="J26" s="682"/>
      <c r="K26" s="683"/>
      <c r="L26" s="682"/>
      <c r="M26" s="684"/>
      <c r="N26" s="673">
        <f t="shared" si="14"/>
        <v>0</v>
      </c>
      <c r="O26" s="674">
        <f t="shared" si="1"/>
        <v>0</v>
      </c>
      <c r="P26" s="686" t="e">
        <f>(O26/O112)*100</f>
        <v>#DIV/0!</v>
      </c>
      <c r="Q26" s="676"/>
      <c r="R26" s="677" t="e">
        <f t="shared" si="2"/>
        <v>#DIV/0!</v>
      </c>
      <c r="S26" s="688">
        <v>17550</v>
      </c>
      <c r="U26" s="679">
        <f t="shared" si="3"/>
        <v>0</v>
      </c>
      <c r="V26" s="679">
        <f t="shared" si="4"/>
        <v>0</v>
      </c>
      <c r="W26" s="679">
        <f t="shared" si="5"/>
        <v>0</v>
      </c>
      <c r="X26" s="679">
        <f t="shared" si="6"/>
        <v>0</v>
      </c>
      <c r="Y26" s="679">
        <f t="shared" si="7"/>
        <v>0</v>
      </c>
      <c r="Z26" s="679">
        <f t="shared" si="8"/>
        <v>0</v>
      </c>
      <c r="AA26" s="679">
        <f t="shared" si="9"/>
        <v>0</v>
      </c>
      <c r="AB26" s="679">
        <f t="shared" si="10"/>
        <v>0</v>
      </c>
      <c r="AC26" s="679">
        <f t="shared" si="11"/>
        <v>0</v>
      </c>
      <c r="AD26" s="679">
        <f t="shared" si="12"/>
        <v>0</v>
      </c>
      <c r="AE26" s="610"/>
    </row>
    <row r="27" spans="1:31" ht="24.95" customHeight="1" x14ac:dyDescent="0.2">
      <c r="A27" s="667">
        <v>20</v>
      </c>
      <c r="B27" s="680" t="s">
        <v>451</v>
      </c>
      <c r="C27" s="681" t="s">
        <v>452</v>
      </c>
      <c r="D27" s="682"/>
      <c r="E27" s="683"/>
      <c r="F27" s="682"/>
      <c r="G27" s="683"/>
      <c r="H27" s="682"/>
      <c r="I27" s="683"/>
      <c r="J27" s="682"/>
      <c r="K27" s="683"/>
      <c r="L27" s="682"/>
      <c r="M27" s="684"/>
      <c r="N27" s="673">
        <f t="shared" si="0"/>
        <v>0</v>
      </c>
      <c r="O27" s="674">
        <f t="shared" si="1"/>
        <v>0</v>
      </c>
      <c r="P27" s="686" t="e">
        <f>(O27/O112)*100</f>
        <v>#DIV/0!</v>
      </c>
      <c r="Q27" s="676"/>
      <c r="R27" s="677" t="e">
        <f t="shared" si="2"/>
        <v>#DIV/0!</v>
      </c>
      <c r="S27" s="688">
        <v>20250</v>
      </c>
      <c r="U27" s="679">
        <f t="shared" si="3"/>
        <v>0</v>
      </c>
      <c r="V27" s="679">
        <f t="shared" si="4"/>
        <v>0</v>
      </c>
      <c r="W27" s="679">
        <f t="shared" si="5"/>
        <v>0</v>
      </c>
      <c r="X27" s="679">
        <f t="shared" si="6"/>
        <v>0</v>
      </c>
      <c r="Y27" s="679">
        <f t="shared" si="7"/>
        <v>0</v>
      </c>
      <c r="Z27" s="679">
        <f t="shared" si="8"/>
        <v>0</v>
      </c>
      <c r="AA27" s="679">
        <f t="shared" si="9"/>
        <v>0</v>
      </c>
      <c r="AB27" s="679">
        <f t="shared" si="10"/>
        <v>0</v>
      </c>
      <c r="AC27" s="679">
        <f t="shared" si="11"/>
        <v>0</v>
      </c>
      <c r="AD27" s="679">
        <f t="shared" si="12"/>
        <v>0</v>
      </c>
      <c r="AE27" s="610"/>
    </row>
    <row r="28" spans="1:31" ht="24.95" customHeight="1" x14ac:dyDescent="0.2">
      <c r="A28" s="667">
        <v>21</v>
      </c>
      <c r="B28" s="680" t="s">
        <v>453</v>
      </c>
      <c r="C28" s="681" t="s">
        <v>454</v>
      </c>
      <c r="D28" s="682"/>
      <c r="E28" s="683"/>
      <c r="F28" s="682"/>
      <c r="G28" s="683"/>
      <c r="H28" s="682"/>
      <c r="I28" s="683"/>
      <c r="J28" s="682"/>
      <c r="K28" s="683"/>
      <c r="L28" s="682"/>
      <c r="M28" s="684"/>
      <c r="N28" s="673">
        <f t="shared" si="0"/>
        <v>0</v>
      </c>
      <c r="O28" s="674">
        <f t="shared" si="1"/>
        <v>0</v>
      </c>
      <c r="P28" s="686" t="e">
        <f>(O28/O112)*100</f>
        <v>#DIV/0!</v>
      </c>
      <c r="Q28" s="676"/>
      <c r="R28" s="677" t="e">
        <f t="shared" si="2"/>
        <v>#DIV/0!</v>
      </c>
      <c r="S28" s="688">
        <v>32400</v>
      </c>
      <c r="U28" s="679">
        <f t="shared" si="3"/>
        <v>0</v>
      </c>
      <c r="V28" s="679">
        <f t="shared" si="4"/>
        <v>0</v>
      </c>
      <c r="W28" s="679">
        <f t="shared" si="5"/>
        <v>0</v>
      </c>
      <c r="X28" s="679">
        <f t="shared" si="6"/>
        <v>0</v>
      </c>
      <c r="Y28" s="679">
        <f t="shared" si="7"/>
        <v>0</v>
      </c>
      <c r="Z28" s="679">
        <f t="shared" si="8"/>
        <v>0</v>
      </c>
      <c r="AA28" s="679">
        <f t="shared" si="9"/>
        <v>0</v>
      </c>
      <c r="AB28" s="679">
        <f t="shared" si="10"/>
        <v>0</v>
      </c>
      <c r="AC28" s="679">
        <f t="shared" si="11"/>
        <v>0</v>
      </c>
      <c r="AD28" s="679">
        <f t="shared" si="12"/>
        <v>0</v>
      </c>
      <c r="AE28" s="610"/>
    </row>
    <row r="29" spans="1:31" ht="24.95" customHeight="1" x14ac:dyDescent="0.2">
      <c r="A29" s="667">
        <v>22</v>
      </c>
      <c r="B29" s="680" t="s">
        <v>455</v>
      </c>
      <c r="C29" s="681" t="s">
        <v>456</v>
      </c>
      <c r="D29" s="682"/>
      <c r="E29" s="683"/>
      <c r="F29" s="682"/>
      <c r="G29" s="683"/>
      <c r="H29" s="682"/>
      <c r="I29" s="683"/>
      <c r="J29" s="682"/>
      <c r="K29" s="683"/>
      <c r="L29" s="682"/>
      <c r="M29" s="684"/>
      <c r="N29" s="673">
        <f t="shared" si="0"/>
        <v>0</v>
      </c>
      <c r="O29" s="674">
        <f t="shared" si="1"/>
        <v>0</v>
      </c>
      <c r="P29" s="686" t="e">
        <f>(O29/O112)*100</f>
        <v>#DIV/0!</v>
      </c>
      <c r="Q29" s="676"/>
      <c r="R29" s="677" t="e">
        <f t="shared" si="2"/>
        <v>#DIV/0!</v>
      </c>
      <c r="S29" s="688">
        <v>32400</v>
      </c>
      <c r="U29" s="679">
        <f t="shared" si="3"/>
        <v>0</v>
      </c>
      <c r="V29" s="679">
        <f t="shared" si="4"/>
        <v>0</v>
      </c>
      <c r="W29" s="679">
        <f t="shared" si="5"/>
        <v>0</v>
      </c>
      <c r="X29" s="679">
        <f t="shared" si="6"/>
        <v>0</v>
      </c>
      <c r="Y29" s="679">
        <f t="shared" si="7"/>
        <v>0</v>
      </c>
      <c r="Z29" s="679">
        <f t="shared" si="8"/>
        <v>0</v>
      </c>
      <c r="AA29" s="679">
        <f t="shared" si="9"/>
        <v>0</v>
      </c>
      <c r="AB29" s="679">
        <f t="shared" si="10"/>
        <v>0</v>
      </c>
      <c r="AC29" s="679">
        <f t="shared" si="11"/>
        <v>0</v>
      </c>
      <c r="AD29" s="679">
        <f t="shared" si="12"/>
        <v>0</v>
      </c>
      <c r="AE29" s="610"/>
    </row>
    <row r="30" spans="1:31" ht="24.95" customHeight="1" x14ac:dyDescent="0.2">
      <c r="A30" s="667">
        <v>23</v>
      </c>
      <c r="B30" s="680" t="s">
        <v>457</v>
      </c>
      <c r="C30" s="681" t="s">
        <v>458</v>
      </c>
      <c r="D30" s="682"/>
      <c r="E30" s="683"/>
      <c r="F30" s="682"/>
      <c r="G30" s="683"/>
      <c r="H30" s="682"/>
      <c r="I30" s="683"/>
      <c r="J30" s="682"/>
      <c r="K30" s="683"/>
      <c r="L30" s="682"/>
      <c r="M30" s="684"/>
      <c r="N30" s="673">
        <f t="shared" si="0"/>
        <v>0</v>
      </c>
      <c r="O30" s="674">
        <f t="shared" si="1"/>
        <v>0</v>
      </c>
      <c r="P30" s="686" t="e">
        <f>(O30/O112)*100</f>
        <v>#DIV/0!</v>
      </c>
      <c r="Q30" s="676"/>
      <c r="R30" s="677" t="e">
        <f t="shared" si="2"/>
        <v>#DIV/0!</v>
      </c>
      <c r="S30" s="688">
        <v>32400</v>
      </c>
      <c r="U30" s="679">
        <f t="shared" si="3"/>
        <v>0</v>
      </c>
      <c r="V30" s="679">
        <f t="shared" si="4"/>
        <v>0</v>
      </c>
      <c r="W30" s="679">
        <f t="shared" si="5"/>
        <v>0</v>
      </c>
      <c r="X30" s="679">
        <f t="shared" si="6"/>
        <v>0</v>
      </c>
      <c r="Y30" s="679">
        <f t="shared" si="7"/>
        <v>0</v>
      </c>
      <c r="Z30" s="679">
        <f t="shared" si="8"/>
        <v>0</v>
      </c>
      <c r="AA30" s="679">
        <f t="shared" si="9"/>
        <v>0</v>
      </c>
      <c r="AB30" s="679">
        <f t="shared" si="10"/>
        <v>0</v>
      </c>
      <c r="AC30" s="679">
        <f t="shared" si="11"/>
        <v>0</v>
      </c>
      <c r="AD30" s="679">
        <f t="shared" si="12"/>
        <v>0</v>
      </c>
      <c r="AE30" s="610"/>
    </row>
    <row r="31" spans="1:31" ht="24.95" customHeight="1" x14ac:dyDescent="0.2">
      <c r="A31" s="667">
        <v>24</v>
      </c>
      <c r="B31" s="680" t="s">
        <v>459</v>
      </c>
      <c r="C31" s="681" t="s">
        <v>460</v>
      </c>
      <c r="D31" s="682"/>
      <c r="E31" s="683"/>
      <c r="F31" s="682"/>
      <c r="G31" s="683"/>
      <c r="H31" s="682"/>
      <c r="I31" s="683"/>
      <c r="J31" s="682"/>
      <c r="K31" s="683"/>
      <c r="L31" s="682"/>
      <c r="M31" s="684"/>
      <c r="N31" s="673">
        <f t="shared" si="0"/>
        <v>0</v>
      </c>
      <c r="O31" s="674">
        <f t="shared" si="1"/>
        <v>0</v>
      </c>
      <c r="P31" s="686" t="e">
        <f>(O31/O112)*100</f>
        <v>#DIV/0!</v>
      </c>
      <c r="Q31" s="676"/>
      <c r="R31" s="677" t="e">
        <f t="shared" si="2"/>
        <v>#DIV/0!</v>
      </c>
      <c r="S31" s="688">
        <v>37800</v>
      </c>
      <c r="U31" s="679">
        <f t="shared" si="3"/>
        <v>0</v>
      </c>
      <c r="V31" s="679">
        <f t="shared" si="4"/>
        <v>0</v>
      </c>
      <c r="W31" s="679">
        <f t="shared" si="5"/>
        <v>0</v>
      </c>
      <c r="X31" s="679">
        <f t="shared" si="6"/>
        <v>0</v>
      </c>
      <c r="Y31" s="679">
        <f t="shared" si="7"/>
        <v>0</v>
      </c>
      <c r="Z31" s="679">
        <f t="shared" si="8"/>
        <v>0</v>
      </c>
      <c r="AA31" s="679">
        <f t="shared" si="9"/>
        <v>0</v>
      </c>
      <c r="AB31" s="679">
        <f t="shared" si="10"/>
        <v>0</v>
      </c>
      <c r="AC31" s="679">
        <f t="shared" si="11"/>
        <v>0</v>
      </c>
      <c r="AD31" s="679">
        <f t="shared" si="12"/>
        <v>0</v>
      </c>
      <c r="AE31" s="610"/>
    </row>
    <row r="32" spans="1:31" ht="24.95" customHeight="1" x14ac:dyDescent="0.2">
      <c r="A32" s="667">
        <v>25</v>
      </c>
      <c r="B32" s="680" t="s">
        <v>461</v>
      </c>
      <c r="C32" s="681" t="s">
        <v>462</v>
      </c>
      <c r="D32" s="682"/>
      <c r="E32" s="683"/>
      <c r="F32" s="682"/>
      <c r="G32" s="683"/>
      <c r="H32" s="682"/>
      <c r="I32" s="683"/>
      <c r="J32" s="682"/>
      <c r="K32" s="683"/>
      <c r="L32" s="682"/>
      <c r="M32" s="684"/>
      <c r="N32" s="673">
        <f t="shared" si="0"/>
        <v>0</v>
      </c>
      <c r="O32" s="674">
        <f t="shared" si="1"/>
        <v>0</v>
      </c>
      <c r="P32" s="686" t="e">
        <f>(O32/O112)*100</f>
        <v>#DIV/0!</v>
      </c>
      <c r="Q32" s="676"/>
      <c r="R32" s="677" t="e">
        <f t="shared" si="2"/>
        <v>#DIV/0!</v>
      </c>
      <c r="S32" s="688">
        <v>27000</v>
      </c>
      <c r="U32" s="679">
        <f t="shared" si="3"/>
        <v>0</v>
      </c>
      <c r="V32" s="679">
        <f t="shared" si="4"/>
        <v>0</v>
      </c>
      <c r="W32" s="679">
        <f t="shared" si="5"/>
        <v>0</v>
      </c>
      <c r="X32" s="679">
        <f t="shared" si="6"/>
        <v>0</v>
      </c>
      <c r="Y32" s="679">
        <f t="shared" si="7"/>
        <v>0</v>
      </c>
      <c r="Z32" s="679">
        <f t="shared" si="8"/>
        <v>0</v>
      </c>
      <c r="AA32" s="679">
        <f t="shared" si="9"/>
        <v>0</v>
      </c>
      <c r="AB32" s="679">
        <f t="shared" si="10"/>
        <v>0</v>
      </c>
      <c r="AC32" s="679">
        <f t="shared" si="11"/>
        <v>0</v>
      </c>
      <c r="AD32" s="679">
        <f t="shared" si="12"/>
        <v>0</v>
      </c>
      <c r="AE32" s="610"/>
    </row>
    <row r="33" spans="1:31" ht="24.95" customHeight="1" x14ac:dyDescent="0.2">
      <c r="A33" s="667">
        <v>26</v>
      </c>
      <c r="B33" s="680"/>
      <c r="C33" s="681" t="s">
        <v>867</v>
      </c>
      <c r="D33" s="682"/>
      <c r="E33" s="683"/>
      <c r="F33" s="682"/>
      <c r="G33" s="683"/>
      <c r="H33" s="682"/>
      <c r="I33" s="683"/>
      <c r="J33" s="682"/>
      <c r="K33" s="683"/>
      <c r="L33" s="682"/>
      <c r="M33" s="684"/>
      <c r="N33" s="673">
        <f t="shared" si="0"/>
        <v>0</v>
      </c>
      <c r="O33" s="674">
        <f t="shared" si="1"/>
        <v>0</v>
      </c>
      <c r="P33" s="686" t="e">
        <f>(O33/O112)*100</f>
        <v>#DIV/0!</v>
      </c>
      <c r="Q33" s="676"/>
      <c r="R33" s="677" t="e">
        <f t="shared" si="2"/>
        <v>#DIV/0!</v>
      </c>
      <c r="S33" s="688">
        <v>32400</v>
      </c>
      <c r="U33" s="679">
        <f t="shared" si="3"/>
        <v>0</v>
      </c>
      <c r="V33" s="679">
        <f t="shared" si="4"/>
        <v>0</v>
      </c>
      <c r="W33" s="679">
        <f t="shared" si="5"/>
        <v>0</v>
      </c>
      <c r="X33" s="679">
        <f t="shared" si="6"/>
        <v>0</v>
      </c>
      <c r="Y33" s="679">
        <f t="shared" si="7"/>
        <v>0</v>
      </c>
      <c r="Z33" s="679">
        <f t="shared" si="8"/>
        <v>0</v>
      </c>
      <c r="AA33" s="679">
        <f t="shared" si="9"/>
        <v>0</v>
      </c>
      <c r="AB33" s="679">
        <f t="shared" si="10"/>
        <v>0</v>
      </c>
      <c r="AC33" s="679">
        <f t="shared" si="11"/>
        <v>0</v>
      </c>
      <c r="AD33" s="679">
        <f t="shared" si="12"/>
        <v>0</v>
      </c>
      <c r="AE33" s="610"/>
    </row>
    <row r="34" spans="1:31" ht="24.95" customHeight="1" x14ac:dyDescent="0.2">
      <c r="A34" s="667">
        <v>27</v>
      </c>
      <c r="B34" s="680" t="s">
        <v>463</v>
      </c>
      <c r="C34" s="681" t="s">
        <v>857</v>
      </c>
      <c r="D34" s="682"/>
      <c r="E34" s="683"/>
      <c r="F34" s="682"/>
      <c r="G34" s="683"/>
      <c r="H34" s="682"/>
      <c r="I34" s="683"/>
      <c r="J34" s="682"/>
      <c r="K34" s="683"/>
      <c r="L34" s="682"/>
      <c r="M34" s="684"/>
      <c r="N34" s="673">
        <f t="shared" si="0"/>
        <v>0</v>
      </c>
      <c r="O34" s="674">
        <f t="shared" si="1"/>
        <v>0</v>
      </c>
      <c r="P34" s="686" t="e">
        <f>(O34/O112)*100</f>
        <v>#DIV/0!</v>
      </c>
      <c r="Q34" s="676"/>
      <c r="R34" s="677" t="e">
        <f t="shared" si="2"/>
        <v>#DIV/0!</v>
      </c>
      <c r="S34" s="688"/>
      <c r="U34" s="679">
        <f t="shared" si="3"/>
        <v>0</v>
      </c>
      <c r="V34" s="679">
        <f t="shared" si="4"/>
        <v>0</v>
      </c>
      <c r="W34" s="679">
        <f t="shared" si="5"/>
        <v>0</v>
      </c>
      <c r="X34" s="679">
        <f t="shared" si="6"/>
        <v>0</v>
      </c>
      <c r="Y34" s="679">
        <f t="shared" si="7"/>
        <v>0</v>
      </c>
      <c r="Z34" s="679">
        <f t="shared" si="8"/>
        <v>0</v>
      </c>
      <c r="AA34" s="679">
        <f t="shared" si="9"/>
        <v>0</v>
      </c>
      <c r="AB34" s="679">
        <f t="shared" si="10"/>
        <v>0</v>
      </c>
      <c r="AC34" s="679">
        <f t="shared" si="11"/>
        <v>0</v>
      </c>
      <c r="AD34" s="679">
        <f t="shared" si="12"/>
        <v>0</v>
      </c>
      <c r="AE34" s="610"/>
    </row>
    <row r="35" spans="1:31" ht="24.95" customHeight="1" x14ac:dyDescent="0.2">
      <c r="A35" s="667">
        <v>28</v>
      </c>
      <c r="B35" s="680"/>
      <c r="C35" s="681"/>
      <c r="D35" s="682"/>
      <c r="E35" s="683"/>
      <c r="F35" s="682"/>
      <c r="G35" s="683"/>
      <c r="H35" s="682"/>
      <c r="I35" s="683"/>
      <c r="J35" s="682"/>
      <c r="K35" s="683"/>
      <c r="L35" s="682"/>
      <c r="M35" s="684"/>
      <c r="N35" s="673"/>
      <c r="O35" s="674">
        <f t="shared" si="1"/>
        <v>0</v>
      </c>
      <c r="P35" s="686" t="e">
        <f>(O35/O112)*100</f>
        <v>#DIV/0!</v>
      </c>
      <c r="Q35" s="676"/>
      <c r="R35" s="677" t="e">
        <f t="shared" si="2"/>
        <v>#DIV/0!</v>
      </c>
      <c r="S35" s="688"/>
      <c r="U35" s="679">
        <f t="shared" si="3"/>
        <v>0</v>
      </c>
      <c r="V35" s="679">
        <f t="shared" si="4"/>
        <v>0</v>
      </c>
      <c r="W35" s="679">
        <f t="shared" si="5"/>
        <v>0</v>
      </c>
      <c r="X35" s="679">
        <f t="shared" si="6"/>
        <v>0</v>
      </c>
      <c r="Y35" s="679">
        <f t="shared" si="7"/>
        <v>0</v>
      </c>
      <c r="Z35" s="679">
        <f t="shared" si="8"/>
        <v>0</v>
      </c>
      <c r="AA35" s="679">
        <f t="shared" si="9"/>
        <v>0</v>
      </c>
      <c r="AB35" s="679">
        <f t="shared" si="10"/>
        <v>0</v>
      </c>
      <c r="AC35" s="679">
        <f t="shared" si="11"/>
        <v>0</v>
      </c>
      <c r="AD35" s="679">
        <f t="shared" si="12"/>
        <v>0</v>
      </c>
      <c r="AE35" s="610"/>
    </row>
    <row r="36" spans="1:31" ht="24.95" customHeight="1" x14ac:dyDescent="0.2">
      <c r="A36" s="667">
        <v>29</v>
      </c>
      <c r="B36" s="680" t="s">
        <v>464</v>
      </c>
      <c r="C36" s="681" t="s">
        <v>465</v>
      </c>
      <c r="D36" s="682"/>
      <c r="E36" s="683"/>
      <c r="F36" s="682"/>
      <c r="G36" s="683"/>
      <c r="H36" s="682"/>
      <c r="I36" s="683"/>
      <c r="J36" s="682"/>
      <c r="K36" s="683"/>
      <c r="L36" s="682"/>
      <c r="M36" s="684"/>
      <c r="N36" s="673">
        <f t="shared" si="0"/>
        <v>0</v>
      </c>
      <c r="O36" s="674">
        <f t="shared" si="1"/>
        <v>0</v>
      </c>
      <c r="P36" s="686" t="e">
        <f>(O36/O112)*100</f>
        <v>#DIV/0!</v>
      </c>
      <c r="Q36" s="676"/>
      <c r="R36" s="677" t="e">
        <f t="shared" si="2"/>
        <v>#DIV/0!</v>
      </c>
      <c r="S36" s="688">
        <v>28350</v>
      </c>
      <c r="U36" s="679">
        <f t="shared" si="3"/>
        <v>0</v>
      </c>
      <c r="V36" s="679">
        <f t="shared" si="4"/>
        <v>0</v>
      </c>
      <c r="W36" s="679">
        <f t="shared" si="5"/>
        <v>0</v>
      </c>
      <c r="X36" s="679">
        <f t="shared" si="6"/>
        <v>0</v>
      </c>
      <c r="Y36" s="679">
        <f t="shared" si="7"/>
        <v>0</v>
      </c>
      <c r="Z36" s="679">
        <f t="shared" si="8"/>
        <v>0</v>
      </c>
      <c r="AA36" s="679">
        <f t="shared" si="9"/>
        <v>0</v>
      </c>
      <c r="AB36" s="679">
        <f t="shared" si="10"/>
        <v>0</v>
      </c>
      <c r="AC36" s="679">
        <f t="shared" si="11"/>
        <v>0</v>
      </c>
      <c r="AD36" s="679">
        <f t="shared" si="12"/>
        <v>0</v>
      </c>
      <c r="AE36" s="610"/>
    </row>
    <row r="37" spans="1:31" ht="24.95" customHeight="1" x14ac:dyDescent="0.2">
      <c r="A37" s="667">
        <v>30</v>
      </c>
      <c r="B37" s="680" t="s">
        <v>466</v>
      </c>
      <c r="C37" s="681" t="s">
        <v>467</v>
      </c>
      <c r="D37" s="682"/>
      <c r="E37" s="683"/>
      <c r="F37" s="682"/>
      <c r="G37" s="683"/>
      <c r="H37" s="682"/>
      <c r="I37" s="683"/>
      <c r="J37" s="682"/>
      <c r="K37" s="683"/>
      <c r="L37" s="682"/>
      <c r="M37" s="684"/>
      <c r="N37" s="673">
        <f t="shared" si="0"/>
        <v>0</v>
      </c>
      <c r="O37" s="674">
        <f t="shared" si="1"/>
        <v>0</v>
      </c>
      <c r="P37" s="686" t="e">
        <f>(O37/O112)*100</f>
        <v>#DIV/0!</v>
      </c>
      <c r="Q37" s="676"/>
      <c r="R37" s="677" t="e">
        <f t="shared" si="2"/>
        <v>#DIV/0!</v>
      </c>
      <c r="S37" s="688">
        <v>31050</v>
      </c>
      <c r="U37" s="679">
        <f t="shared" si="3"/>
        <v>0</v>
      </c>
      <c r="V37" s="679">
        <f t="shared" si="4"/>
        <v>0</v>
      </c>
      <c r="W37" s="679">
        <f t="shared" si="5"/>
        <v>0</v>
      </c>
      <c r="X37" s="679">
        <f t="shared" si="6"/>
        <v>0</v>
      </c>
      <c r="Y37" s="679">
        <f t="shared" si="7"/>
        <v>0</v>
      </c>
      <c r="Z37" s="679">
        <f t="shared" si="8"/>
        <v>0</v>
      </c>
      <c r="AA37" s="679">
        <f t="shared" si="9"/>
        <v>0</v>
      </c>
      <c r="AB37" s="679">
        <f t="shared" si="10"/>
        <v>0</v>
      </c>
      <c r="AC37" s="679">
        <f t="shared" si="11"/>
        <v>0</v>
      </c>
      <c r="AD37" s="679">
        <f t="shared" si="12"/>
        <v>0</v>
      </c>
      <c r="AE37" s="610"/>
    </row>
    <row r="38" spans="1:31" ht="24.95" customHeight="1" x14ac:dyDescent="0.2">
      <c r="A38" s="667">
        <v>31</v>
      </c>
      <c r="B38" s="680"/>
      <c r="C38" s="680" t="s">
        <v>868</v>
      </c>
      <c r="D38" s="682"/>
      <c r="E38" s="683"/>
      <c r="F38" s="682"/>
      <c r="G38" s="683"/>
      <c r="H38" s="682"/>
      <c r="I38" s="683"/>
      <c r="J38" s="682"/>
      <c r="K38" s="683"/>
      <c r="L38" s="682"/>
      <c r="M38" s="684"/>
      <c r="N38" s="673">
        <f t="shared" si="0"/>
        <v>0</v>
      </c>
      <c r="O38" s="674">
        <f t="shared" si="1"/>
        <v>0</v>
      </c>
      <c r="P38" s="686" t="e">
        <f>(O38/O112)*100</f>
        <v>#DIV/0!</v>
      </c>
      <c r="Q38" s="676"/>
      <c r="R38" s="677" t="e">
        <f t="shared" si="2"/>
        <v>#DIV/0!</v>
      </c>
      <c r="S38" s="689">
        <v>33750</v>
      </c>
      <c r="U38" s="679">
        <f t="shared" si="3"/>
        <v>0</v>
      </c>
      <c r="V38" s="679">
        <f t="shared" si="4"/>
        <v>0</v>
      </c>
      <c r="W38" s="679">
        <f t="shared" si="5"/>
        <v>0</v>
      </c>
      <c r="X38" s="679">
        <f t="shared" si="6"/>
        <v>0</v>
      </c>
      <c r="Y38" s="679">
        <f t="shared" si="7"/>
        <v>0</v>
      </c>
      <c r="Z38" s="679">
        <f t="shared" si="8"/>
        <v>0</v>
      </c>
      <c r="AA38" s="679">
        <f t="shared" si="9"/>
        <v>0</v>
      </c>
      <c r="AB38" s="679">
        <f t="shared" si="10"/>
        <v>0</v>
      </c>
      <c r="AC38" s="679">
        <f t="shared" si="11"/>
        <v>0</v>
      </c>
      <c r="AD38" s="679">
        <f t="shared" si="12"/>
        <v>0</v>
      </c>
      <c r="AE38" s="610"/>
    </row>
    <row r="39" spans="1:31" ht="24.95" customHeight="1" x14ac:dyDescent="0.2">
      <c r="A39" s="667">
        <v>32</v>
      </c>
      <c r="B39" s="680"/>
      <c r="C39" s="680" t="s">
        <v>869</v>
      </c>
      <c r="D39" s="682"/>
      <c r="E39" s="683"/>
      <c r="F39" s="682"/>
      <c r="G39" s="683"/>
      <c r="H39" s="682"/>
      <c r="I39" s="683"/>
      <c r="J39" s="682"/>
      <c r="K39" s="683"/>
      <c r="L39" s="682"/>
      <c r="M39" s="684"/>
      <c r="N39" s="673">
        <f t="shared" si="0"/>
        <v>0</v>
      </c>
      <c r="O39" s="674">
        <f t="shared" si="1"/>
        <v>0</v>
      </c>
      <c r="P39" s="686" t="e">
        <f>(O39/O112)*100</f>
        <v>#DIV/0!</v>
      </c>
      <c r="Q39" s="676"/>
      <c r="R39" s="677" t="e">
        <f t="shared" si="2"/>
        <v>#DIV/0!</v>
      </c>
      <c r="S39" s="689">
        <v>33750</v>
      </c>
      <c r="U39" s="679">
        <f t="shared" si="3"/>
        <v>0</v>
      </c>
      <c r="V39" s="679">
        <f t="shared" si="4"/>
        <v>0</v>
      </c>
      <c r="W39" s="679">
        <f t="shared" si="5"/>
        <v>0</v>
      </c>
      <c r="X39" s="679">
        <f t="shared" si="6"/>
        <v>0</v>
      </c>
      <c r="Y39" s="679">
        <f t="shared" si="7"/>
        <v>0</v>
      </c>
      <c r="Z39" s="679">
        <f t="shared" si="8"/>
        <v>0</v>
      </c>
      <c r="AA39" s="679">
        <f t="shared" si="9"/>
        <v>0</v>
      </c>
      <c r="AB39" s="679">
        <f t="shared" si="10"/>
        <v>0</v>
      </c>
      <c r="AC39" s="679">
        <f t="shared" si="11"/>
        <v>0</v>
      </c>
      <c r="AD39" s="679">
        <f t="shared" si="12"/>
        <v>0</v>
      </c>
      <c r="AE39" s="610"/>
    </row>
    <row r="40" spans="1:31" ht="24.95" customHeight="1" x14ac:dyDescent="0.2">
      <c r="A40" s="667">
        <v>33</v>
      </c>
      <c r="B40" s="691" t="s">
        <v>468</v>
      </c>
      <c r="C40" s="681"/>
      <c r="D40" s="682"/>
      <c r="E40" s="683"/>
      <c r="F40" s="682"/>
      <c r="G40" s="683"/>
      <c r="H40" s="682"/>
      <c r="I40" s="683"/>
      <c r="J40" s="682"/>
      <c r="K40" s="683"/>
      <c r="L40" s="682"/>
      <c r="M40" s="684"/>
      <c r="N40" s="673"/>
      <c r="O40" s="674">
        <f t="shared" si="1"/>
        <v>0</v>
      </c>
      <c r="P40" s="686" t="e">
        <f>(O40/O112)*100</f>
        <v>#DIV/0!</v>
      </c>
      <c r="Q40" s="676"/>
      <c r="R40" s="677" t="e">
        <f t="shared" si="2"/>
        <v>#DIV/0!</v>
      </c>
      <c r="S40" s="688"/>
      <c r="U40" s="679">
        <f t="shared" si="3"/>
        <v>0</v>
      </c>
      <c r="V40" s="679">
        <f t="shared" si="4"/>
        <v>0</v>
      </c>
      <c r="W40" s="679">
        <f t="shared" si="5"/>
        <v>0</v>
      </c>
      <c r="X40" s="679">
        <f t="shared" si="6"/>
        <v>0</v>
      </c>
      <c r="Y40" s="679">
        <f t="shared" si="7"/>
        <v>0</v>
      </c>
      <c r="Z40" s="679">
        <f t="shared" si="8"/>
        <v>0</v>
      </c>
      <c r="AA40" s="679">
        <f t="shared" si="9"/>
        <v>0</v>
      </c>
      <c r="AB40" s="679">
        <f t="shared" si="10"/>
        <v>0</v>
      </c>
      <c r="AC40" s="679">
        <f t="shared" si="11"/>
        <v>0</v>
      </c>
      <c r="AD40" s="679">
        <f t="shared" si="12"/>
        <v>0</v>
      </c>
      <c r="AE40" s="610"/>
    </row>
    <row r="41" spans="1:31" ht="24.95" customHeight="1" x14ac:dyDescent="0.2">
      <c r="A41" s="667">
        <v>34</v>
      </c>
      <c r="B41" s="692" t="s">
        <v>469</v>
      </c>
      <c r="C41" s="681" t="s">
        <v>470</v>
      </c>
      <c r="D41" s="682"/>
      <c r="E41" s="683"/>
      <c r="F41" s="682"/>
      <c r="G41" s="683"/>
      <c r="H41" s="682"/>
      <c r="I41" s="683"/>
      <c r="J41" s="682"/>
      <c r="K41" s="683"/>
      <c r="L41" s="682"/>
      <c r="M41" s="684"/>
      <c r="N41" s="673">
        <f t="shared" si="0"/>
        <v>0</v>
      </c>
      <c r="O41" s="674">
        <f t="shared" si="1"/>
        <v>0</v>
      </c>
      <c r="P41" s="686" t="e">
        <f>(O41/O112)*100</f>
        <v>#DIV/0!</v>
      </c>
      <c r="Q41" s="676"/>
      <c r="R41" s="677" t="e">
        <f t="shared" si="2"/>
        <v>#DIV/0!</v>
      </c>
      <c r="S41" s="688">
        <v>32400</v>
      </c>
      <c r="U41" s="679">
        <f t="shared" si="3"/>
        <v>0</v>
      </c>
      <c r="V41" s="679">
        <f t="shared" si="4"/>
        <v>0</v>
      </c>
      <c r="W41" s="679">
        <f t="shared" si="5"/>
        <v>0</v>
      </c>
      <c r="X41" s="679">
        <f t="shared" si="6"/>
        <v>0</v>
      </c>
      <c r="Y41" s="679">
        <f t="shared" si="7"/>
        <v>0</v>
      </c>
      <c r="Z41" s="679">
        <f t="shared" si="8"/>
        <v>0</v>
      </c>
      <c r="AA41" s="679">
        <f t="shared" si="9"/>
        <v>0</v>
      </c>
      <c r="AB41" s="679">
        <f t="shared" si="10"/>
        <v>0</v>
      </c>
      <c r="AC41" s="679">
        <f t="shared" si="11"/>
        <v>0</v>
      </c>
      <c r="AD41" s="679">
        <f t="shared" si="12"/>
        <v>0</v>
      </c>
      <c r="AE41" s="610"/>
    </row>
    <row r="42" spans="1:31" ht="24.95" customHeight="1" x14ac:dyDescent="0.2">
      <c r="A42" s="667">
        <v>35</v>
      </c>
      <c r="B42" s="692" t="s">
        <v>471</v>
      </c>
      <c r="C42" s="681" t="s">
        <v>472</v>
      </c>
      <c r="D42" s="682"/>
      <c r="E42" s="683"/>
      <c r="F42" s="682"/>
      <c r="G42" s="683"/>
      <c r="H42" s="682"/>
      <c r="I42" s="683"/>
      <c r="J42" s="682"/>
      <c r="K42" s="683"/>
      <c r="L42" s="682"/>
      <c r="M42" s="684"/>
      <c r="N42" s="673">
        <f t="shared" si="0"/>
        <v>0</v>
      </c>
      <c r="O42" s="674">
        <f t="shared" si="1"/>
        <v>0</v>
      </c>
      <c r="P42" s="686" t="e">
        <f>(O42/O112)*100</f>
        <v>#DIV/0!</v>
      </c>
      <c r="Q42" s="676"/>
      <c r="R42" s="677" t="e">
        <f t="shared" si="2"/>
        <v>#DIV/0!</v>
      </c>
      <c r="S42" s="688">
        <v>33750</v>
      </c>
      <c r="U42" s="679">
        <f t="shared" si="3"/>
        <v>0</v>
      </c>
      <c r="V42" s="679">
        <f t="shared" si="4"/>
        <v>0</v>
      </c>
      <c r="W42" s="679">
        <f t="shared" si="5"/>
        <v>0</v>
      </c>
      <c r="X42" s="679">
        <f t="shared" si="6"/>
        <v>0</v>
      </c>
      <c r="Y42" s="679">
        <f t="shared" si="7"/>
        <v>0</v>
      </c>
      <c r="Z42" s="679">
        <f t="shared" si="8"/>
        <v>0</v>
      </c>
      <c r="AA42" s="679">
        <f t="shared" si="9"/>
        <v>0</v>
      </c>
      <c r="AB42" s="679">
        <f t="shared" si="10"/>
        <v>0</v>
      </c>
      <c r="AC42" s="679">
        <f t="shared" si="11"/>
        <v>0</v>
      </c>
      <c r="AD42" s="679">
        <f t="shared" si="12"/>
        <v>0</v>
      </c>
      <c r="AE42" s="610"/>
    </row>
    <row r="43" spans="1:31" ht="24.95" customHeight="1" x14ac:dyDescent="0.2">
      <c r="A43" s="667">
        <v>36</v>
      </c>
      <c r="B43" s="692" t="s">
        <v>473</v>
      </c>
      <c r="C43" s="681" t="s">
        <v>474</v>
      </c>
      <c r="D43" s="682"/>
      <c r="E43" s="683"/>
      <c r="F43" s="682"/>
      <c r="G43" s="683"/>
      <c r="H43" s="682"/>
      <c r="I43" s="683"/>
      <c r="J43" s="682"/>
      <c r="K43" s="683"/>
      <c r="L43" s="682"/>
      <c r="M43" s="684"/>
      <c r="N43" s="673">
        <f t="shared" si="0"/>
        <v>0</v>
      </c>
      <c r="O43" s="674">
        <f t="shared" si="1"/>
        <v>0</v>
      </c>
      <c r="P43" s="686" t="e">
        <f>(O43/O112)*100</f>
        <v>#DIV/0!</v>
      </c>
      <c r="Q43" s="676"/>
      <c r="R43" s="677" t="e">
        <f t="shared" si="2"/>
        <v>#DIV/0!</v>
      </c>
      <c r="S43" s="688">
        <v>32400</v>
      </c>
      <c r="U43" s="679">
        <f t="shared" si="3"/>
        <v>0</v>
      </c>
      <c r="V43" s="679">
        <f t="shared" si="4"/>
        <v>0</v>
      </c>
      <c r="W43" s="679">
        <f t="shared" si="5"/>
        <v>0</v>
      </c>
      <c r="X43" s="679">
        <f t="shared" si="6"/>
        <v>0</v>
      </c>
      <c r="Y43" s="679">
        <f t="shared" si="7"/>
        <v>0</v>
      </c>
      <c r="Z43" s="679">
        <f t="shared" si="8"/>
        <v>0</v>
      </c>
      <c r="AA43" s="679">
        <f t="shared" si="9"/>
        <v>0</v>
      </c>
      <c r="AB43" s="679">
        <f t="shared" si="10"/>
        <v>0</v>
      </c>
      <c r="AC43" s="679">
        <f t="shared" si="11"/>
        <v>0</v>
      </c>
      <c r="AD43" s="679">
        <f t="shared" si="12"/>
        <v>0</v>
      </c>
      <c r="AE43" s="610"/>
    </row>
    <row r="44" spans="1:31" ht="24.95" customHeight="1" x14ac:dyDescent="0.2">
      <c r="A44" s="667">
        <v>37</v>
      </c>
      <c r="B44" s="692" t="s">
        <v>475</v>
      </c>
      <c r="C44" s="681" t="s">
        <v>476</v>
      </c>
      <c r="D44" s="682"/>
      <c r="E44" s="683"/>
      <c r="F44" s="682"/>
      <c r="G44" s="683"/>
      <c r="H44" s="682"/>
      <c r="I44" s="683"/>
      <c r="J44" s="682"/>
      <c r="K44" s="683"/>
      <c r="L44" s="682"/>
      <c r="M44" s="684"/>
      <c r="N44" s="673">
        <f t="shared" si="0"/>
        <v>0</v>
      </c>
      <c r="O44" s="674">
        <f t="shared" si="1"/>
        <v>0</v>
      </c>
      <c r="P44" s="686" t="e">
        <f>(O44/O112)*100</f>
        <v>#DIV/0!</v>
      </c>
      <c r="Q44" s="676"/>
      <c r="R44" s="677" t="e">
        <f t="shared" si="2"/>
        <v>#DIV/0!</v>
      </c>
      <c r="S44" s="688">
        <v>29700.000000000004</v>
      </c>
      <c r="U44" s="679">
        <f t="shared" si="3"/>
        <v>0</v>
      </c>
      <c r="V44" s="679">
        <f t="shared" si="4"/>
        <v>0</v>
      </c>
      <c r="W44" s="679">
        <f t="shared" si="5"/>
        <v>0</v>
      </c>
      <c r="X44" s="679">
        <f t="shared" si="6"/>
        <v>0</v>
      </c>
      <c r="Y44" s="679">
        <f t="shared" si="7"/>
        <v>0</v>
      </c>
      <c r="Z44" s="679">
        <f t="shared" si="8"/>
        <v>0</v>
      </c>
      <c r="AA44" s="679">
        <f t="shared" si="9"/>
        <v>0</v>
      </c>
      <c r="AB44" s="679">
        <f t="shared" si="10"/>
        <v>0</v>
      </c>
      <c r="AC44" s="679">
        <f t="shared" si="11"/>
        <v>0</v>
      </c>
      <c r="AD44" s="679">
        <f t="shared" si="12"/>
        <v>0</v>
      </c>
      <c r="AE44" s="610"/>
    </row>
    <row r="45" spans="1:31" ht="24.95" customHeight="1" x14ac:dyDescent="0.2">
      <c r="A45" s="667">
        <v>38</v>
      </c>
      <c r="B45" s="692"/>
      <c r="C45" s="680"/>
      <c r="D45" s="682"/>
      <c r="E45" s="683"/>
      <c r="F45" s="682"/>
      <c r="G45" s="683"/>
      <c r="H45" s="682"/>
      <c r="I45" s="683"/>
      <c r="J45" s="682"/>
      <c r="K45" s="683"/>
      <c r="L45" s="682"/>
      <c r="M45" s="684"/>
      <c r="N45" s="673"/>
      <c r="O45" s="674">
        <f t="shared" si="1"/>
        <v>0</v>
      </c>
      <c r="P45" s="686" t="e">
        <f>(O45/O112)*100</f>
        <v>#DIV/0!</v>
      </c>
      <c r="Q45" s="676"/>
      <c r="R45" s="677" t="e">
        <f t="shared" si="2"/>
        <v>#DIV/0!</v>
      </c>
      <c r="S45" s="689"/>
      <c r="U45" s="679">
        <f t="shared" si="3"/>
        <v>0</v>
      </c>
      <c r="V45" s="679">
        <f t="shared" si="4"/>
        <v>0</v>
      </c>
      <c r="W45" s="679">
        <f t="shared" si="5"/>
        <v>0</v>
      </c>
      <c r="X45" s="679">
        <f t="shared" si="6"/>
        <v>0</v>
      </c>
      <c r="Y45" s="679">
        <f t="shared" si="7"/>
        <v>0</v>
      </c>
      <c r="Z45" s="679">
        <f t="shared" si="8"/>
        <v>0</v>
      </c>
      <c r="AA45" s="679">
        <f t="shared" si="9"/>
        <v>0</v>
      </c>
      <c r="AB45" s="679">
        <f t="shared" si="10"/>
        <v>0</v>
      </c>
      <c r="AC45" s="679">
        <f t="shared" si="11"/>
        <v>0</v>
      </c>
      <c r="AD45" s="679">
        <f t="shared" si="12"/>
        <v>0</v>
      </c>
      <c r="AE45" s="610"/>
    </row>
    <row r="46" spans="1:31" ht="24.95" customHeight="1" x14ac:dyDescent="0.2">
      <c r="A46" s="667">
        <v>39</v>
      </c>
      <c r="B46" s="692" t="s">
        <v>477</v>
      </c>
      <c r="C46" s="681" t="s">
        <v>478</v>
      </c>
      <c r="D46" s="682"/>
      <c r="E46" s="683"/>
      <c r="F46" s="682"/>
      <c r="G46" s="683"/>
      <c r="H46" s="682"/>
      <c r="I46" s="683"/>
      <c r="J46" s="682"/>
      <c r="K46" s="683"/>
      <c r="L46" s="682"/>
      <c r="M46" s="684"/>
      <c r="N46" s="673">
        <f t="shared" si="0"/>
        <v>0</v>
      </c>
      <c r="O46" s="674">
        <f t="shared" si="1"/>
        <v>0</v>
      </c>
      <c r="P46" s="686" t="e">
        <f>(O46/O112)*100</f>
        <v>#DIV/0!</v>
      </c>
      <c r="Q46" s="676"/>
      <c r="R46" s="677" t="e">
        <f t="shared" si="2"/>
        <v>#DIV/0!</v>
      </c>
      <c r="S46" s="688">
        <v>18900</v>
      </c>
      <c r="U46" s="679">
        <f t="shared" si="3"/>
        <v>0</v>
      </c>
      <c r="V46" s="679">
        <f t="shared" si="4"/>
        <v>0</v>
      </c>
      <c r="W46" s="679">
        <f t="shared" si="5"/>
        <v>0</v>
      </c>
      <c r="X46" s="679">
        <f t="shared" si="6"/>
        <v>0</v>
      </c>
      <c r="Y46" s="679">
        <f t="shared" si="7"/>
        <v>0</v>
      </c>
      <c r="Z46" s="679">
        <f t="shared" si="8"/>
        <v>0</v>
      </c>
      <c r="AA46" s="679">
        <f t="shared" si="9"/>
        <v>0</v>
      </c>
      <c r="AB46" s="679">
        <f t="shared" si="10"/>
        <v>0</v>
      </c>
      <c r="AC46" s="679">
        <f t="shared" si="11"/>
        <v>0</v>
      </c>
      <c r="AD46" s="679">
        <f t="shared" si="12"/>
        <v>0</v>
      </c>
      <c r="AE46" s="610"/>
    </row>
    <row r="47" spans="1:31" ht="24.95" customHeight="1" x14ac:dyDescent="0.2">
      <c r="A47" s="667">
        <v>40</v>
      </c>
      <c r="B47" s="692" t="s">
        <v>479</v>
      </c>
      <c r="C47" s="681" t="s">
        <v>480</v>
      </c>
      <c r="D47" s="682"/>
      <c r="E47" s="683"/>
      <c r="F47" s="682"/>
      <c r="G47" s="683"/>
      <c r="H47" s="682"/>
      <c r="I47" s="683"/>
      <c r="J47" s="682"/>
      <c r="K47" s="683"/>
      <c r="L47" s="682"/>
      <c r="M47" s="684"/>
      <c r="N47" s="673">
        <f t="shared" si="0"/>
        <v>0</v>
      </c>
      <c r="O47" s="674">
        <f t="shared" si="1"/>
        <v>0</v>
      </c>
      <c r="P47" s="686" t="e">
        <f>(O47/O112)*100</f>
        <v>#DIV/0!</v>
      </c>
      <c r="Q47" s="676"/>
      <c r="R47" s="677" t="e">
        <f t="shared" si="2"/>
        <v>#DIV/0!</v>
      </c>
      <c r="S47" s="688">
        <v>20250</v>
      </c>
      <c r="U47" s="679">
        <f t="shared" si="3"/>
        <v>0</v>
      </c>
      <c r="V47" s="679">
        <f t="shared" si="4"/>
        <v>0</v>
      </c>
      <c r="W47" s="679">
        <f t="shared" si="5"/>
        <v>0</v>
      </c>
      <c r="X47" s="679">
        <f t="shared" si="6"/>
        <v>0</v>
      </c>
      <c r="Y47" s="679">
        <f t="shared" si="7"/>
        <v>0</v>
      </c>
      <c r="Z47" s="679">
        <f t="shared" si="8"/>
        <v>0</v>
      </c>
      <c r="AA47" s="679">
        <f t="shared" si="9"/>
        <v>0</v>
      </c>
      <c r="AB47" s="679">
        <f t="shared" si="10"/>
        <v>0</v>
      </c>
      <c r="AC47" s="679">
        <f t="shared" si="11"/>
        <v>0</v>
      </c>
      <c r="AD47" s="679">
        <f t="shared" si="12"/>
        <v>0</v>
      </c>
      <c r="AE47" s="610"/>
    </row>
    <row r="48" spans="1:31" ht="24.95" customHeight="1" x14ac:dyDescent="0.2">
      <c r="A48" s="667">
        <v>41</v>
      </c>
      <c r="B48" s="692" t="s">
        <v>481</v>
      </c>
      <c r="C48" s="681" t="s">
        <v>482</v>
      </c>
      <c r="D48" s="682"/>
      <c r="E48" s="683"/>
      <c r="F48" s="682"/>
      <c r="G48" s="683"/>
      <c r="H48" s="682"/>
      <c r="I48" s="683"/>
      <c r="J48" s="682"/>
      <c r="K48" s="683"/>
      <c r="L48" s="682"/>
      <c r="M48" s="684"/>
      <c r="N48" s="673">
        <f t="shared" si="0"/>
        <v>0</v>
      </c>
      <c r="O48" s="674">
        <f t="shared" si="1"/>
        <v>0</v>
      </c>
      <c r="P48" s="686" t="e">
        <f>(O48/O112)*100</f>
        <v>#DIV/0!</v>
      </c>
      <c r="Q48" s="676"/>
      <c r="R48" s="677" t="e">
        <f t="shared" si="2"/>
        <v>#DIV/0!</v>
      </c>
      <c r="S48" s="688">
        <v>22950</v>
      </c>
      <c r="U48" s="679">
        <f t="shared" si="3"/>
        <v>0</v>
      </c>
      <c r="V48" s="679">
        <f t="shared" si="4"/>
        <v>0</v>
      </c>
      <c r="W48" s="679">
        <f t="shared" si="5"/>
        <v>0</v>
      </c>
      <c r="X48" s="679">
        <f t="shared" si="6"/>
        <v>0</v>
      </c>
      <c r="Y48" s="679">
        <f t="shared" si="7"/>
        <v>0</v>
      </c>
      <c r="Z48" s="679">
        <f t="shared" si="8"/>
        <v>0</v>
      </c>
      <c r="AA48" s="679">
        <f t="shared" si="9"/>
        <v>0</v>
      </c>
      <c r="AB48" s="679">
        <f t="shared" si="10"/>
        <v>0</v>
      </c>
      <c r="AC48" s="679">
        <f t="shared" si="11"/>
        <v>0</v>
      </c>
      <c r="AD48" s="679">
        <f t="shared" si="12"/>
        <v>0</v>
      </c>
      <c r="AE48" s="610"/>
    </row>
    <row r="49" spans="1:31" ht="24.95" customHeight="1" x14ac:dyDescent="0.2">
      <c r="A49" s="667">
        <v>42</v>
      </c>
      <c r="B49" s="692" t="s">
        <v>478</v>
      </c>
      <c r="C49" s="681" t="s">
        <v>483</v>
      </c>
      <c r="D49" s="682"/>
      <c r="E49" s="683"/>
      <c r="F49" s="682"/>
      <c r="G49" s="683"/>
      <c r="H49" s="682"/>
      <c r="I49" s="683"/>
      <c r="J49" s="682"/>
      <c r="K49" s="683"/>
      <c r="L49" s="682"/>
      <c r="M49" s="684"/>
      <c r="N49" s="673">
        <f t="shared" si="0"/>
        <v>0</v>
      </c>
      <c r="O49" s="674">
        <f t="shared" si="1"/>
        <v>0</v>
      </c>
      <c r="P49" s="686" t="e">
        <f>(O49/O112)*100</f>
        <v>#DIV/0!</v>
      </c>
      <c r="Q49" s="676"/>
      <c r="R49" s="677" t="e">
        <f t="shared" si="2"/>
        <v>#DIV/0!</v>
      </c>
      <c r="S49" s="688">
        <v>5400</v>
      </c>
      <c r="U49" s="679">
        <f t="shared" si="3"/>
        <v>0</v>
      </c>
      <c r="V49" s="679">
        <f t="shared" si="4"/>
        <v>0</v>
      </c>
      <c r="W49" s="679">
        <f t="shared" si="5"/>
        <v>0</v>
      </c>
      <c r="X49" s="679">
        <f t="shared" si="6"/>
        <v>0</v>
      </c>
      <c r="Y49" s="679">
        <f t="shared" si="7"/>
        <v>0</v>
      </c>
      <c r="Z49" s="679">
        <f t="shared" si="8"/>
        <v>0</v>
      </c>
      <c r="AA49" s="679">
        <f t="shared" si="9"/>
        <v>0</v>
      </c>
      <c r="AB49" s="679">
        <f t="shared" si="10"/>
        <v>0</v>
      </c>
      <c r="AC49" s="679">
        <f t="shared" si="11"/>
        <v>0</v>
      </c>
      <c r="AD49" s="679">
        <f t="shared" si="12"/>
        <v>0</v>
      </c>
      <c r="AE49" s="610"/>
    </row>
    <row r="50" spans="1:31" ht="24.95" customHeight="1" x14ac:dyDescent="0.2">
      <c r="A50" s="667">
        <v>43</v>
      </c>
      <c r="B50" s="692"/>
      <c r="C50" s="681"/>
      <c r="D50" s="682"/>
      <c r="E50" s="683"/>
      <c r="F50" s="682"/>
      <c r="G50" s="683"/>
      <c r="H50" s="682"/>
      <c r="I50" s="683"/>
      <c r="J50" s="682"/>
      <c r="K50" s="683"/>
      <c r="L50" s="682"/>
      <c r="M50" s="684"/>
      <c r="N50" s="673"/>
      <c r="O50" s="674">
        <f t="shared" si="1"/>
        <v>0</v>
      </c>
      <c r="P50" s="686" t="e">
        <f>(O50/O112)*100</f>
        <v>#DIV/0!</v>
      </c>
      <c r="Q50" s="676"/>
      <c r="R50" s="677" t="e">
        <f t="shared" si="2"/>
        <v>#DIV/0!</v>
      </c>
      <c r="S50" s="688"/>
      <c r="U50" s="679">
        <f t="shared" si="3"/>
        <v>0</v>
      </c>
      <c r="V50" s="679">
        <f t="shared" si="4"/>
        <v>0</v>
      </c>
      <c r="W50" s="679">
        <f t="shared" si="5"/>
        <v>0</v>
      </c>
      <c r="X50" s="679">
        <f t="shared" si="6"/>
        <v>0</v>
      </c>
      <c r="Y50" s="679">
        <f t="shared" si="7"/>
        <v>0</v>
      </c>
      <c r="Z50" s="679">
        <f t="shared" si="8"/>
        <v>0</v>
      </c>
      <c r="AA50" s="679">
        <f t="shared" si="9"/>
        <v>0</v>
      </c>
      <c r="AB50" s="679">
        <f t="shared" si="10"/>
        <v>0</v>
      </c>
      <c r="AC50" s="679">
        <f t="shared" si="11"/>
        <v>0</v>
      </c>
      <c r="AD50" s="679">
        <f t="shared" si="12"/>
        <v>0</v>
      </c>
      <c r="AE50" s="610"/>
    </row>
    <row r="51" spans="1:31" ht="24.95" customHeight="1" x14ac:dyDescent="0.2">
      <c r="A51" s="667">
        <v>44</v>
      </c>
      <c r="B51" s="692" t="s">
        <v>480</v>
      </c>
      <c r="C51" s="681" t="s">
        <v>484</v>
      </c>
      <c r="D51" s="682"/>
      <c r="E51" s="683"/>
      <c r="F51" s="682"/>
      <c r="G51" s="683"/>
      <c r="H51" s="682"/>
      <c r="I51" s="683"/>
      <c r="J51" s="682"/>
      <c r="K51" s="683"/>
      <c r="L51" s="682"/>
      <c r="M51" s="684"/>
      <c r="N51" s="673">
        <f t="shared" si="0"/>
        <v>0</v>
      </c>
      <c r="O51" s="674">
        <f t="shared" si="1"/>
        <v>0</v>
      </c>
      <c r="P51" s="686" t="e">
        <f>(O51/O112)*100</f>
        <v>#DIV/0!</v>
      </c>
      <c r="Q51" s="676"/>
      <c r="R51" s="677" t="e">
        <f t="shared" si="2"/>
        <v>#DIV/0!</v>
      </c>
      <c r="S51" s="688">
        <v>31050</v>
      </c>
      <c r="U51" s="679">
        <f t="shared" si="3"/>
        <v>0</v>
      </c>
      <c r="V51" s="679">
        <f t="shared" si="4"/>
        <v>0</v>
      </c>
      <c r="W51" s="679">
        <f t="shared" si="5"/>
        <v>0</v>
      </c>
      <c r="X51" s="679">
        <f t="shared" si="6"/>
        <v>0</v>
      </c>
      <c r="Y51" s="679">
        <f t="shared" si="7"/>
        <v>0</v>
      </c>
      <c r="Z51" s="679">
        <f t="shared" si="8"/>
        <v>0</v>
      </c>
      <c r="AA51" s="679">
        <f t="shared" si="9"/>
        <v>0</v>
      </c>
      <c r="AB51" s="679">
        <f t="shared" si="10"/>
        <v>0</v>
      </c>
      <c r="AC51" s="679">
        <f t="shared" si="11"/>
        <v>0</v>
      </c>
      <c r="AD51" s="679">
        <f t="shared" si="12"/>
        <v>0</v>
      </c>
      <c r="AE51" s="610"/>
    </row>
    <row r="52" spans="1:31" ht="24.95" customHeight="1" x14ac:dyDescent="0.2">
      <c r="A52" s="667">
        <v>45</v>
      </c>
      <c r="B52" s="692" t="s">
        <v>485</v>
      </c>
      <c r="C52" s="681" t="s">
        <v>486</v>
      </c>
      <c r="D52" s="682"/>
      <c r="E52" s="683"/>
      <c r="F52" s="682"/>
      <c r="G52" s="683"/>
      <c r="H52" s="682"/>
      <c r="I52" s="683"/>
      <c r="J52" s="682"/>
      <c r="K52" s="683"/>
      <c r="L52" s="682"/>
      <c r="M52" s="684"/>
      <c r="N52" s="673">
        <f t="shared" si="0"/>
        <v>0</v>
      </c>
      <c r="O52" s="674">
        <f t="shared" si="1"/>
        <v>0</v>
      </c>
      <c r="P52" s="686" t="e">
        <f>(O52/O112)*100</f>
        <v>#DIV/0!</v>
      </c>
      <c r="Q52" s="676"/>
      <c r="R52" s="677" t="e">
        <f t="shared" si="2"/>
        <v>#DIV/0!</v>
      </c>
      <c r="S52" s="688">
        <v>32400</v>
      </c>
      <c r="U52" s="679">
        <f t="shared" si="3"/>
        <v>0</v>
      </c>
      <c r="V52" s="679">
        <f t="shared" si="4"/>
        <v>0</v>
      </c>
      <c r="W52" s="679">
        <f t="shared" si="5"/>
        <v>0</v>
      </c>
      <c r="X52" s="679">
        <f t="shared" si="6"/>
        <v>0</v>
      </c>
      <c r="Y52" s="679">
        <f t="shared" si="7"/>
        <v>0</v>
      </c>
      <c r="Z52" s="679">
        <f t="shared" si="8"/>
        <v>0</v>
      </c>
      <c r="AA52" s="679">
        <f t="shared" si="9"/>
        <v>0</v>
      </c>
      <c r="AB52" s="679">
        <f t="shared" si="10"/>
        <v>0</v>
      </c>
      <c r="AC52" s="679">
        <f t="shared" si="11"/>
        <v>0</v>
      </c>
      <c r="AD52" s="679">
        <f t="shared" si="12"/>
        <v>0</v>
      </c>
      <c r="AE52" s="610"/>
    </row>
    <row r="53" spans="1:31" ht="24.95" customHeight="1" x14ac:dyDescent="0.2">
      <c r="A53" s="667">
        <v>46</v>
      </c>
      <c r="B53" s="692" t="s">
        <v>487</v>
      </c>
      <c r="C53" s="681" t="s">
        <v>488</v>
      </c>
      <c r="D53" s="682"/>
      <c r="E53" s="683"/>
      <c r="F53" s="682"/>
      <c r="G53" s="683"/>
      <c r="H53" s="682"/>
      <c r="I53" s="683"/>
      <c r="J53" s="682"/>
      <c r="K53" s="683"/>
      <c r="L53" s="682"/>
      <c r="M53" s="684"/>
      <c r="N53" s="673">
        <f t="shared" si="0"/>
        <v>0</v>
      </c>
      <c r="O53" s="674">
        <f t="shared" si="1"/>
        <v>0</v>
      </c>
      <c r="P53" s="686" t="e">
        <f>(O53/O112)*100</f>
        <v>#DIV/0!</v>
      </c>
      <c r="Q53" s="676"/>
      <c r="R53" s="677" t="e">
        <f t="shared" si="2"/>
        <v>#DIV/0!</v>
      </c>
      <c r="S53" s="689">
        <v>24300</v>
      </c>
      <c r="U53" s="679">
        <f t="shared" si="3"/>
        <v>0</v>
      </c>
      <c r="V53" s="679">
        <f t="shared" si="4"/>
        <v>0</v>
      </c>
      <c r="W53" s="679">
        <f t="shared" si="5"/>
        <v>0</v>
      </c>
      <c r="X53" s="679">
        <f t="shared" si="6"/>
        <v>0</v>
      </c>
      <c r="Y53" s="679">
        <f t="shared" si="7"/>
        <v>0</v>
      </c>
      <c r="Z53" s="679">
        <f t="shared" si="8"/>
        <v>0</v>
      </c>
      <c r="AA53" s="679">
        <f t="shared" si="9"/>
        <v>0</v>
      </c>
      <c r="AB53" s="679">
        <f t="shared" si="10"/>
        <v>0</v>
      </c>
      <c r="AC53" s="679">
        <f t="shared" si="11"/>
        <v>0</v>
      </c>
      <c r="AD53" s="679">
        <f t="shared" si="12"/>
        <v>0</v>
      </c>
      <c r="AE53" s="610"/>
    </row>
    <row r="54" spans="1:31" ht="24.95" customHeight="1" x14ac:dyDescent="0.2">
      <c r="A54" s="667">
        <v>47</v>
      </c>
      <c r="B54" s="692"/>
      <c r="C54" s="680" t="s">
        <v>489</v>
      </c>
      <c r="D54" s="682"/>
      <c r="E54" s="683"/>
      <c r="F54" s="682"/>
      <c r="G54" s="683"/>
      <c r="H54" s="682"/>
      <c r="I54" s="683"/>
      <c r="J54" s="682"/>
      <c r="K54" s="683"/>
      <c r="L54" s="682"/>
      <c r="M54" s="684"/>
      <c r="N54" s="673">
        <f t="shared" si="0"/>
        <v>0</v>
      </c>
      <c r="O54" s="674">
        <f t="shared" si="1"/>
        <v>0</v>
      </c>
      <c r="P54" s="686" t="e">
        <f>(O54/O112)*100</f>
        <v>#DIV/0!</v>
      </c>
      <c r="Q54" s="676"/>
      <c r="R54" s="677" t="e">
        <f t="shared" si="2"/>
        <v>#DIV/0!</v>
      </c>
      <c r="S54" s="689">
        <v>32400</v>
      </c>
      <c r="U54" s="679">
        <f t="shared" si="3"/>
        <v>0</v>
      </c>
      <c r="V54" s="679">
        <f t="shared" si="4"/>
        <v>0</v>
      </c>
      <c r="W54" s="679">
        <f t="shared" si="5"/>
        <v>0</v>
      </c>
      <c r="X54" s="679">
        <f t="shared" si="6"/>
        <v>0</v>
      </c>
      <c r="Y54" s="679">
        <f t="shared" si="7"/>
        <v>0</v>
      </c>
      <c r="Z54" s="679">
        <f t="shared" si="8"/>
        <v>0</v>
      </c>
      <c r="AA54" s="679">
        <f t="shared" si="9"/>
        <v>0</v>
      </c>
      <c r="AB54" s="679">
        <f t="shared" si="10"/>
        <v>0</v>
      </c>
      <c r="AC54" s="679">
        <f t="shared" si="11"/>
        <v>0</v>
      </c>
      <c r="AD54" s="679">
        <f t="shared" si="12"/>
        <v>0</v>
      </c>
      <c r="AE54" s="610"/>
    </row>
    <row r="55" spans="1:31" ht="24.95" customHeight="1" x14ac:dyDescent="0.2">
      <c r="A55" s="667">
        <v>48</v>
      </c>
      <c r="B55" s="692" t="s">
        <v>490</v>
      </c>
      <c r="C55" s="681"/>
      <c r="D55" s="682"/>
      <c r="E55" s="683"/>
      <c r="F55" s="682"/>
      <c r="G55" s="683"/>
      <c r="H55" s="682"/>
      <c r="I55" s="683"/>
      <c r="J55" s="682"/>
      <c r="K55" s="683"/>
      <c r="L55" s="682"/>
      <c r="M55" s="684"/>
      <c r="N55" s="673"/>
      <c r="O55" s="674">
        <f t="shared" si="1"/>
        <v>0</v>
      </c>
      <c r="P55" s="686" t="e">
        <f>(O55/O112)*100</f>
        <v>#DIV/0!</v>
      </c>
      <c r="Q55" s="676"/>
      <c r="R55" s="677" t="e">
        <f t="shared" si="2"/>
        <v>#DIV/0!</v>
      </c>
      <c r="S55" s="688"/>
      <c r="U55" s="679">
        <f t="shared" si="3"/>
        <v>0</v>
      </c>
      <c r="V55" s="679">
        <f t="shared" si="4"/>
        <v>0</v>
      </c>
      <c r="W55" s="679">
        <f t="shared" si="5"/>
        <v>0</v>
      </c>
      <c r="X55" s="679">
        <f t="shared" si="6"/>
        <v>0</v>
      </c>
      <c r="Y55" s="679">
        <f t="shared" si="7"/>
        <v>0</v>
      </c>
      <c r="Z55" s="679">
        <f t="shared" si="8"/>
        <v>0</v>
      </c>
      <c r="AA55" s="679">
        <f t="shared" si="9"/>
        <v>0</v>
      </c>
      <c r="AB55" s="679">
        <f t="shared" si="10"/>
        <v>0</v>
      </c>
      <c r="AC55" s="679">
        <f t="shared" si="11"/>
        <v>0</v>
      </c>
      <c r="AD55" s="679">
        <f t="shared" si="12"/>
        <v>0</v>
      </c>
      <c r="AE55" s="610"/>
    </row>
    <row r="56" spans="1:31" ht="24.95" customHeight="1" x14ac:dyDescent="0.2">
      <c r="A56" s="667">
        <v>49</v>
      </c>
      <c r="B56" s="692" t="s">
        <v>491</v>
      </c>
      <c r="C56" s="681" t="s">
        <v>492</v>
      </c>
      <c r="D56" s="682"/>
      <c r="E56" s="683"/>
      <c r="F56" s="682"/>
      <c r="G56" s="683"/>
      <c r="H56" s="682"/>
      <c r="I56" s="683"/>
      <c r="J56" s="682"/>
      <c r="K56" s="683"/>
      <c r="L56" s="682"/>
      <c r="M56" s="684"/>
      <c r="N56" s="673">
        <f t="shared" si="0"/>
        <v>0</v>
      </c>
      <c r="O56" s="674">
        <f t="shared" si="1"/>
        <v>0</v>
      </c>
      <c r="P56" s="686" t="e">
        <f>(O56/O112)*100</f>
        <v>#DIV/0!</v>
      </c>
      <c r="Q56" s="676"/>
      <c r="R56" s="677" t="e">
        <f t="shared" si="2"/>
        <v>#DIV/0!</v>
      </c>
      <c r="S56" s="688">
        <v>15525.000000000002</v>
      </c>
      <c r="U56" s="679">
        <f t="shared" si="3"/>
        <v>0</v>
      </c>
      <c r="V56" s="679">
        <f t="shared" si="4"/>
        <v>0</v>
      </c>
      <c r="W56" s="679">
        <f t="shared" si="5"/>
        <v>0</v>
      </c>
      <c r="X56" s="679">
        <f t="shared" si="6"/>
        <v>0</v>
      </c>
      <c r="Y56" s="679">
        <f t="shared" si="7"/>
        <v>0</v>
      </c>
      <c r="Z56" s="679">
        <f t="shared" si="8"/>
        <v>0</v>
      </c>
      <c r="AA56" s="679">
        <f t="shared" si="9"/>
        <v>0</v>
      </c>
      <c r="AB56" s="679">
        <f t="shared" si="10"/>
        <v>0</v>
      </c>
      <c r="AC56" s="679">
        <f t="shared" si="11"/>
        <v>0</v>
      </c>
      <c r="AD56" s="679">
        <f t="shared" si="12"/>
        <v>0</v>
      </c>
      <c r="AE56" s="610"/>
    </row>
    <row r="57" spans="1:31" ht="24.95" customHeight="1" x14ac:dyDescent="0.2">
      <c r="A57" s="667">
        <v>50</v>
      </c>
      <c r="B57" s="692" t="s">
        <v>493</v>
      </c>
      <c r="C57" s="681" t="s">
        <v>494</v>
      </c>
      <c r="D57" s="682"/>
      <c r="E57" s="683"/>
      <c r="F57" s="682"/>
      <c r="G57" s="683"/>
      <c r="H57" s="682"/>
      <c r="I57" s="683"/>
      <c r="J57" s="682"/>
      <c r="K57" s="683"/>
      <c r="L57" s="682"/>
      <c r="M57" s="684"/>
      <c r="N57" s="673">
        <f t="shared" si="0"/>
        <v>0</v>
      </c>
      <c r="O57" s="674">
        <f t="shared" si="1"/>
        <v>0</v>
      </c>
      <c r="P57" s="686" t="e">
        <f>(O57/O112)*100</f>
        <v>#DIV/0!</v>
      </c>
      <c r="Q57" s="676"/>
      <c r="R57" s="677" t="e">
        <f t="shared" si="2"/>
        <v>#DIV/0!</v>
      </c>
      <c r="S57" s="688">
        <v>17550</v>
      </c>
      <c r="U57" s="679">
        <f t="shared" si="3"/>
        <v>0</v>
      </c>
      <c r="V57" s="679">
        <f t="shared" si="4"/>
        <v>0</v>
      </c>
      <c r="W57" s="679">
        <f t="shared" si="5"/>
        <v>0</v>
      </c>
      <c r="X57" s="679">
        <f t="shared" si="6"/>
        <v>0</v>
      </c>
      <c r="Y57" s="679">
        <f t="shared" si="7"/>
        <v>0</v>
      </c>
      <c r="Z57" s="679">
        <f t="shared" si="8"/>
        <v>0</v>
      </c>
      <c r="AA57" s="679">
        <f t="shared" si="9"/>
        <v>0</v>
      </c>
      <c r="AB57" s="679">
        <f t="shared" si="10"/>
        <v>0</v>
      </c>
      <c r="AC57" s="679">
        <f t="shared" si="11"/>
        <v>0</v>
      </c>
      <c r="AD57" s="679">
        <f t="shared" si="12"/>
        <v>0</v>
      </c>
      <c r="AE57" s="610"/>
    </row>
    <row r="58" spans="1:31" ht="24.95" customHeight="1" x14ac:dyDescent="0.2">
      <c r="A58" s="667">
        <v>51</v>
      </c>
      <c r="B58" s="692" t="s">
        <v>495</v>
      </c>
      <c r="C58" s="681" t="s">
        <v>496</v>
      </c>
      <c r="D58" s="682"/>
      <c r="E58" s="683"/>
      <c r="F58" s="682"/>
      <c r="G58" s="683"/>
      <c r="H58" s="682"/>
      <c r="I58" s="683"/>
      <c r="J58" s="682"/>
      <c r="K58" s="683"/>
      <c r="L58" s="682"/>
      <c r="M58" s="684"/>
      <c r="N58" s="673">
        <f t="shared" si="0"/>
        <v>0</v>
      </c>
      <c r="O58" s="674">
        <f t="shared" si="1"/>
        <v>0</v>
      </c>
      <c r="P58" s="686" t="e">
        <f>(O58/O112)*100</f>
        <v>#DIV/0!</v>
      </c>
      <c r="Q58" s="676"/>
      <c r="R58" s="677" t="e">
        <f t="shared" si="2"/>
        <v>#DIV/0!</v>
      </c>
      <c r="S58" s="688">
        <v>21600</v>
      </c>
      <c r="U58" s="679">
        <f t="shared" si="3"/>
        <v>0</v>
      </c>
      <c r="V58" s="679">
        <f t="shared" si="4"/>
        <v>0</v>
      </c>
      <c r="W58" s="679">
        <f t="shared" si="5"/>
        <v>0</v>
      </c>
      <c r="X58" s="679">
        <f t="shared" si="6"/>
        <v>0</v>
      </c>
      <c r="Y58" s="679">
        <f t="shared" si="7"/>
        <v>0</v>
      </c>
      <c r="Z58" s="679">
        <f t="shared" si="8"/>
        <v>0</v>
      </c>
      <c r="AA58" s="679">
        <f t="shared" si="9"/>
        <v>0</v>
      </c>
      <c r="AB58" s="679">
        <f t="shared" si="10"/>
        <v>0</v>
      </c>
      <c r="AC58" s="679">
        <f t="shared" si="11"/>
        <v>0</v>
      </c>
      <c r="AD58" s="679">
        <f t="shared" si="12"/>
        <v>0</v>
      </c>
      <c r="AE58" s="610"/>
    </row>
    <row r="59" spans="1:31" ht="24.95" customHeight="1" x14ac:dyDescent="0.2">
      <c r="A59" s="667">
        <v>52</v>
      </c>
      <c r="B59" s="692" t="s">
        <v>497</v>
      </c>
      <c r="C59" s="681"/>
      <c r="D59" s="682"/>
      <c r="E59" s="683"/>
      <c r="F59" s="682"/>
      <c r="G59" s="683"/>
      <c r="H59" s="682"/>
      <c r="I59" s="683"/>
      <c r="J59" s="682"/>
      <c r="K59" s="683"/>
      <c r="L59" s="682"/>
      <c r="M59" s="684"/>
      <c r="N59" s="673"/>
      <c r="O59" s="674">
        <f t="shared" si="1"/>
        <v>0</v>
      </c>
      <c r="P59" s="686" t="e">
        <f>(O59/O112)*100</f>
        <v>#DIV/0!</v>
      </c>
      <c r="Q59" s="676"/>
      <c r="R59" s="677" t="e">
        <f t="shared" si="2"/>
        <v>#DIV/0!</v>
      </c>
      <c r="S59" s="688"/>
      <c r="U59" s="679">
        <f t="shared" si="3"/>
        <v>0</v>
      </c>
      <c r="V59" s="679">
        <f t="shared" si="4"/>
        <v>0</v>
      </c>
      <c r="W59" s="679">
        <f t="shared" si="5"/>
        <v>0</v>
      </c>
      <c r="X59" s="679">
        <f t="shared" si="6"/>
        <v>0</v>
      </c>
      <c r="Y59" s="679">
        <f t="shared" si="7"/>
        <v>0</v>
      </c>
      <c r="Z59" s="679">
        <f t="shared" si="8"/>
        <v>0</v>
      </c>
      <c r="AA59" s="679">
        <f t="shared" si="9"/>
        <v>0</v>
      </c>
      <c r="AB59" s="679">
        <f t="shared" si="10"/>
        <v>0</v>
      </c>
      <c r="AC59" s="679">
        <f t="shared" si="11"/>
        <v>0</v>
      </c>
      <c r="AD59" s="679">
        <f t="shared" si="12"/>
        <v>0</v>
      </c>
      <c r="AE59" s="610"/>
    </row>
    <row r="60" spans="1:31" ht="24.95" customHeight="1" x14ac:dyDescent="0.2">
      <c r="A60" s="667">
        <v>53</v>
      </c>
      <c r="B60" s="692" t="s">
        <v>498</v>
      </c>
      <c r="C60" s="681" t="s">
        <v>499</v>
      </c>
      <c r="D60" s="682"/>
      <c r="E60" s="683"/>
      <c r="F60" s="682"/>
      <c r="G60" s="683"/>
      <c r="H60" s="682"/>
      <c r="I60" s="683"/>
      <c r="J60" s="682"/>
      <c r="K60" s="683"/>
      <c r="L60" s="682"/>
      <c r="M60" s="684"/>
      <c r="N60" s="673">
        <f t="shared" si="0"/>
        <v>0</v>
      </c>
      <c r="O60" s="674">
        <f t="shared" si="1"/>
        <v>0</v>
      </c>
      <c r="P60" s="686" t="e">
        <f>(O60/O112)*100</f>
        <v>#DIV/0!</v>
      </c>
      <c r="Q60" s="676"/>
      <c r="R60" s="677" t="e">
        <f t="shared" si="2"/>
        <v>#DIV/0!</v>
      </c>
      <c r="S60" s="688">
        <v>101250</v>
      </c>
      <c r="U60" s="679">
        <f t="shared" si="3"/>
        <v>0</v>
      </c>
      <c r="V60" s="679">
        <f t="shared" si="4"/>
        <v>0</v>
      </c>
      <c r="W60" s="679">
        <f t="shared" si="5"/>
        <v>0</v>
      </c>
      <c r="X60" s="679">
        <f t="shared" si="6"/>
        <v>0</v>
      </c>
      <c r="Y60" s="679">
        <f t="shared" si="7"/>
        <v>0</v>
      </c>
      <c r="Z60" s="679">
        <f t="shared" si="8"/>
        <v>0</v>
      </c>
      <c r="AA60" s="679">
        <f t="shared" si="9"/>
        <v>0</v>
      </c>
      <c r="AB60" s="679">
        <f t="shared" si="10"/>
        <v>0</v>
      </c>
      <c r="AC60" s="679">
        <f t="shared" si="11"/>
        <v>0</v>
      </c>
      <c r="AD60" s="679">
        <f t="shared" si="12"/>
        <v>0</v>
      </c>
      <c r="AE60" s="610"/>
    </row>
    <row r="61" spans="1:31" ht="24.95" customHeight="1" x14ac:dyDescent="0.2">
      <c r="A61" s="667">
        <v>54</v>
      </c>
      <c r="B61" s="692" t="s">
        <v>500</v>
      </c>
      <c r="C61" s="681" t="s">
        <v>501</v>
      </c>
      <c r="D61" s="682"/>
      <c r="E61" s="683"/>
      <c r="F61" s="682"/>
      <c r="G61" s="683"/>
      <c r="H61" s="682"/>
      <c r="I61" s="683"/>
      <c r="J61" s="682"/>
      <c r="K61" s="683"/>
      <c r="L61" s="682"/>
      <c r="M61" s="684"/>
      <c r="N61" s="673">
        <f t="shared" si="0"/>
        <v>0</v>
      </c>
      <c r="O61" s="674">
        <f t="shared" si="1"/>
        <v>0</v>
      </c>
      <c r="P61" s="686" t="e">
        <f>(O61/O112)*100</f>
        <v>#DIV/0!</v>
      </c>
      <c r="Q61" s="676"/>
      <c r="R61" s="677" t="e">
        <f t="shared" si="2"/>
        <v>#DIV/0!</v>
      </c>
      <c r="S61" s="689">
        <v>114750.00000000001</v>
      </c>
      <c r="U61" s="679">
        <f t="shared" si="3"/>
        <v>0</v>
      </c>
      <c r="V61" s="679">
        <f t="shared" si="4"/>
        <v>0</v>
      </c>
      <c r="W61" s="679">
        <f t="shared" si="5"/>
        <v>0</v>
      </c>
      <c r="X61" s="679">
        <f t="shared" si="6"/>
        <v>0</v>
      </c>
      <c r="Y61" s="679">
        <f t="shared" si="7"/>
        <v>0</v>
      </c>
      <c r="Z61" s="679">
        <f t="shared" si="8"/>
        <v>0</v>
      </c>
      <c r="AA61" s="679">
        <f t="shared" si="9"/>
        <v>0</v>
      </c>
      <c r="AB61" s="679">
        <f t="shared" si="10"/>
        <v>0</v>
      </c>
      <c r="AC61" s="679">
        <f t="shared" si="11"/>
        <v>0</v>
      </c>
      <c r="AD61" s="679">
        <f t="shared" si="12"/>
        <v>0</v>
      </c>
      <c r="AE61" s="610"/>
    </row>
    <row r="62" spans="1:31" ht="24.95" customHeight="1" x14ac:dyDescent="0.2">
      <c r="A62" s="667">
        <v>55</v>
      </c>
      <c r="B62" s="692"/>
      <c r="C62" s="680" t="s">
        <v>502</v>
      </c>
      <c r="D62" s="682"/>
      <c r="E62" s="683"/>
      <c r="F62" s="682"/>
      <c r="G62" s="683"/>
      <c r="H62" s="682"/>
      <c r="I62" s="683"/>
      <c r="J62" s="682"/>
      <c r="K62" s="683"/>
      <c r="L62" s="682"/>
      <c r="M62" s="684"/>
      <c r="N62" s="673">
        <f t="shared" si="0"/>
        <v>0</v>
      </c>
      <c r="O62" s="674">
        <f t="shared" si="1"/>
        <v>0</v>
      </c>
      <c r="P62" s="686" t="e">
        <f>(O62/O112)*100</f>
        <v>#DIV/0!</v>
      </c>
      <c r="Q62" s="676"/>
      <c r="R62" s="677" t="e">
        <f t="shared" si="2"/>
        <v>#DIV/0!</v>
      </c>
      <c r="S62" s="689">
        <v>121500.00000000001</v>
      </c>
      <c r="U62" s="679">
        <f t="shared" si="3"/>
        <v>0</v>
      </c>
      <c r="V62" s="679">
        <f t="shared" si="4"/>
        <v>0</v>
      </c>
      <c r="W62" s="679">
        <f t="shared" si="5"/>
        <v>0</v>
      </c>
      <c r="X62" s="679">
        <f t="shared" si="6"/>
        <v>0</v>
      </c>
      <c r="Y62" s="679">
        <f t="shared" si="7"/>
        <v>0</v>
      </c>
      <c r="Z62" s="679">
        <f t="shared" si="8"/>
        <v>0</v>
      </c>
      <c r="AA62" s="679">
        <f t="shared" si="9"/>
        <v>0</v>
      </c>
      <c r="AB62" s="679">
        <f t="shared" si="10"/>
        <v>0</v>
      </c>
      <c r="AC62" s="679">
        <f t="shared" si="11"/>
        <v>0</v>
      </c>
      <c r="AD62" s="679">
        <f t="shared" si="12"/>
        <v>0</v>
      </c>
      <c r="AE62" s="610"/>
    </row>
    <row r="63" spans="1:31" ht="24.95" customHeight="1" x14ac:dyDescent="0.2">
      <c r="A63" s="667">
        <v>56</v>
      </c>
      <c r="B63" s="692" t="s">
        <v>503</v>
      </c>
      <c r="C63" s="681" t="s">
        <v>504</v>
      </c>
      <c r="D63" s="682"/>
      <c r="E63" s="683"/>
      <c r="F63" s="682"/>
      <c r="G63" s="683"/>
      <c r="H63" s="682"/>
      <c r="I63" s="683"/>
      <c r="J63" s="682"/>
      <c r="K63" s="683"/>
      <c r="L63" s="682"/>
      <c r="M63" s="684"/>
      <c r="N63" s="673">
        <f t="shared" si="0"/>
        <v>0</v>
      </c>
      <c r="O63" s="674">
        <f t="shared" si="1"/>
        <v>0</v>
      </c>
      <c r="P63" s="686" t="e">
        <f>(O63/O112)*100</f>
        <v>#DIV/0!</v>
      </c>
      <c r="Q63" s="676"/>
      <c r="R63" s="677" t="e">
        <f t="shared" si="2"/>
        <v>#DIV/0!</v>
      </c>
      <c r="S63" s="693">
        <v>135000</v>
      </c>
      <c r="U63" s="679">
        <f t="shared" si="3"/>
        <v>0</v>
      </c>
      <c r="V63" s="679">
        <f t="shared" si="4"/>
        <v>0</v>
      </c>
      <c r="W63" s="679">
        <f t="shared" si="5"/>
        <v>0</v>
      </c>
      <c r="X63" s="679">
        <f t="shared" si="6"/>
        <v>0</v>
      </c>
      <c r="Y63" s="679">
        <f t="shared" si="7"/>
        <v>0</v>
      </c>
      <c r="Z63" s="679">
        <f t="shared" si="8"/>
        <v>0</v>
      </c>
      <c r="AA63" s="679">
        <f t="shared" si="9"/>
        <v>0</v>
      </c>
      <c r="AB63" s="679">
        <f t="shared" si="10"/>
        <v>0</v>
      </c>
      <c r="AC63" s="679">
        <f t="shared" si="11"/>
        <v>0</v>
      </c>
      <c r="AD63" s="679">
        <f t="shared" si="12"/>
        <v>0</v>
      </c>
      <c r="AE63" s="610"/>
    </row>
    <row r="64" spans="1:31" ht="24.95" customHeight="1" x14ac:dyDescent="0.2">
      <c r="A64" s="667">
        <v>57</v>
      </c>
      <c r="B64" s="692" t="s">
        <v>505</v>
      </c>
      <c r="C64" s="681"/>
      <c r="D64" s="682"/>
      <c r="E64" s="683"/>
      <c r="F64" s="682"/>
      <c r="G64" s="683"/>
      <c r="H64" s="682"/>
      <c r="I64" s="683"/>
      <c r="J64" s="682"/>
      <c r="K64" s="683"/>
      <c r="L64" s="682"/>
      <c r="M64" s="684"/>
      <c r="N64" s="673"/>
      <c r="O64" s="674">
        <f t="shared" si="1"/>
        <v>0</v>
      </c>
      <c r="P64" s="686" t="e">
        <f>(O64/O112)*100</f>
        <v>#DIV/0!</v>
      </c>
      <c r="Q64" s="676"/>
      <c r="R64" s="677" t="e">
        <f t="shared" si="2"/>
        <v>#DIV/0!</v>
      </c>
      <c r="S64" s="688"/>
      <c r="U64" s="679">
        <f t="shared" si="3"/>
        <v>0</v>
      </c>
      <c r="V64" s="679">
        <f t="shared" si="4"/>
        <v>0</v>
      </c>
      <c r="W64" s="679">
        <f t="shared" si="5"/>
        <v>0</v>
      </c>
      <c r="X64" s="679">
        <f t="shared" si="6"/>
        <v>0</v>
      </c>
      <c r="Y64" s="679">
        <f t="shared" si="7"/>
        <v>0</v>
      </c>
      <c r="Z64" s="679">
        <f t="shared" si="8"/>
        <v>0</v>
      </c>
      <c r="AA64" s="679">
        <f t="shared" si="9"/>
        <v>0</v>
      </c>
      <c r="AB64" s="679">
        <f t="shared" si="10"/>
        <v>0</v>
      </c>
      <c r="AC64" s="679">
        <f t="shared" si="11"/>
        <v>0</v>
      </c>
      <c r="AD64" s="679">
        <f t="shared" si="12"/>
        <v>0</v>
      </c>
      <c r="AE64" s="610"/>
    </row>
    <row r="65" spans="1:33" ht="24.95" customHeight="1" x14ac:dyDescent="0.2">
      <c r="A65" s="667">
        <v>58</v>
      </c>
      <c r="B65" s="692" t="s">
        <v>506</v>
      </c>
      <c r="C65" s="681" t="s">
        <v>507</v>
      </c>
      <c r="D65" s="682"/>
      <c r="E65" s="683"/>
      <c r="F65" s="682"/>
      <c r="G65" s="683"/>
      <c r="H65" s="682"/>
      <c r="I65" s="683"/>
      <c r="J65" s="682"/>
      <c r="K65" s="683"/>
      <c r="L65" s="682"/>
      <c r="M65" s="684"/>
      <c r="N65" s="673">
        <f t="shared" si="0"/>
        <v>0</v>
      </c>
      <c r="O65" s="674">
        <f t="shared" si="1"/>
        <v>0</v>
      </c>
      <c r="P65" s="686" t="e">
        <f>(O65/O112)*100</f>
        <v>#DIV/0!</v>
      </c>
      <c r="Q65" s="676"/>
      <c r="R65" s="677" t="e">
        <f t="shared" si="2"/>
        <v>#DIV/0!</v>
      </c>
      <c r="S65" s="688">
        <v>14850.000000000002</v>
      </c>
      <c r="U65" s="679">
        <f t="shared" si="3"/>
        <v>0</v>
      </c>
      <c r="V65" s="679">
        <f t="shared" si="4"/>
        <v>0</v>
      </c>
      <c r="W65" s="679">
        <f t="shared" si="5"/>
        <v>0</v>
      </c>
      <c r="X65" s="679">
        <f t="shared" si="6"/>
        <v>0</v>
      </c>
      <c r="Y65" s="679">
        <f t="shared" si="7"/>
        <v>0</v>
      </c>
      <c r="Z65" s="679">
        <f t="shared" si="8"/>
        <v>0</v>
      </c>
      <c r="AA65" s="679">
        <f t="shared" si="9"/>
        <v>0</v>
      </c>
      <c r="AB65" s="679">
        <f t="shared" si="10"/>
        <v>0</v>
      </c>
      <c r="AC65" s="679">
        <f t="shared" si="11"/>
        <v>0</v>
      </c>
      <c r="AD65" s="679">
        <f t="shared" si="12"/>
        <v>0</v>
      </c>
      <c r="AE65" s="610"/>
    </row>
    <row r="66" spans="1:33" ht="24.95" customHeight="1" x14ac:dyDescent="0.2">
      <c r="A66" s="667">
        <v>59</v>
      </c>
      <c r="B66" s="692"/>
      <c r="C66" s="681" t="s">
        <v>508</v>
      </c>
      <c r="D66" s="682"/>
      <c r="E66" s="683"/>
      <c r="F66" s="682"/>
      <c r="G66" s="683"/>
      <c r="H66" s="682"/>
      <c r="I66" s="683"/>
      <c r="J66" s="682"/>
      <c r="K66" s="683"/>
      <c r="L66" s="682"/>
      <c r="M66" s="684"/>
      <c r="N66" s="673">
        <f t="shared" si="0"/>
        <v>0</v>
      </c>
      <c r="O66" s="674">
        <f t="shared" si="1"/>
        <v>0</v>
      </c>
      <c r="P66" s="686" t="e">
        <f>(O66/O112)*100</f>
        <v>#DIV/0!</v>
      </c>
      <c r="Q66" s="676"/>
      <c r="R66" s="677" t="e">
        <f t="shared" si="2"/>
        <v>#DIV/0!</v>
      </c>
      <c r="S66" s="688">
        <v>16200.000000000002</v>
      </c>
      <c r="U66" s="679">
        <f t="shared" si="3"/>
        <v>0</v>
      </c>
      <c r="V66" s="679">
        <f t="shared" si="4"/>
        <v>0</v>
      </c>
      <c r="W66" s="679">
        <f t="shared" si="5"/>
        <v>0</v>
      </c>
      <c r="X66" s="679">
        <f t="shared" si="6"/>
        <v>0</v>
      </c>
      <c r="Y66" s="679">
        <f t="shared" si="7"/>
        <v>0</v>
      </c>
      <c r="Z66" s="679">
        <f t="shared" si="8"/>
        <v>0</v>
      </c>
      <c r="AA66" s="679">
        <f t="shared" si="9"/>
        <v>0</v>
      </c>
      <c r="AB66" s="679">
        <f t="shared" si="10"/>
        <v>0</v>
      </c>
      <c r="AC66" s="679">
        <f t="shared" si="11"/>
        <v>0</v>
      </c>
      <c r="AD66" s="679">
        <f t="shared" si="12"/>
        <v>0</v>
      </c>
      <c r="AE66" s="610"/>
    </row>
    <row r="67" spans="1:33" ht="24.95" customHeight="1" x14ac:dyDescent="0.2">
      <c r="A67" s="667">
        <v>60</v>
      </c>
      <c r="B67" s="692"/>
      <c r="C67" s="681" t="s">
        <v>509</v>
      </c>
      <c r="D67" s="682"/>
      <c r="E67" s="683"/>
      <c r="F67" s="682"/>
      <c r="G67" s="683"/>
      <c r="H67" s="682"/>
      <c r="I67" s="683"/>
      <c r="J67" s="682"/>
      <c r="K67" s="683"/>
      <c r="L67" s="682"/>
      <c r="M67" s="684"/>
      <c r="N67" s="673">
        <f t="shared" si="0"/>
        <v>0</v>
      </c>
      <c r="O67" s="674">
        <f t="shared" si="1"/>
        <v>0</v>
      </c>
      <c r="P67" s="686" t="e">
        <f>(O67/O112)*100</f>
        <v>#DIV/0!</v>
      </c>
      <c r="Q67" s="676"/>
      <c r="R67" s="677" t="e">
        <f t="shared" si="2"/>
        <v>#DIV/0!</v>
      </c>
      <c r="S67" s="693">
        <v>17550</v>
      </c>
      <c r="U67" s="679">
        <f t="shared" si="3"/>
        <v>0</v>
      </c>
      <c r="V67" s="679">
        <f t="shared" si="4"/>
        <v>0</v>
      </c>
      <c r="W67" s="679">
        <f t="shared" si="5"/>
        <v>0</v>
      </c>
      <c r="X67" s="679">
        <f t="shared" si="6"/>
        <v>0</v>
      </c>
      <c r="Y67" s="679">
        <f t="shared" si="7"/>
        <v>0</v>
      </c>
      <c r="Z67" s="679">
        <f t="shared" si="8"/>
        <v>0</v>
      </c>
      <c r="AA67" s="679">
        <f t="shared" si="9"/>
        <v>0</v>
      </c>
      <c r="AB67" s="679">
        <f t="shared" si="10"/>
        <v>0</v>
      </c>
      <c r="AC67" s="679">
        <f t="shared" si="11"/>
        <v>0</v>
      </c>
      <c r="AD67" s="679">
        <f t="shared" si="12"/>
        <v>0</v>
      </c>
      <c r="AE67" s="610"/>
    </row>
    <row r="68" spans="1:33" ht="24.95" customHeight="1" x14ac:dyDescent="0.2">
      <c r="A68" s="667">
        <v>61</v>
      </c>
      <c r="B68" s="692"/>
      <c r="C68" s="681" t="s">
        <v>510</v>
      </c>
      <c r="D68" s="682"/>
      <c r="E68" s="683"/>
      <c r="F68" s="682"/>
      <c r="G68" s="683"/>
      <c r="H68" s="682"/>
      <c r="I68" s="683"/>
      <c r="J68" s="682"/>
      <c r="K68" s="683"/>
      <c r="L68" s="682"/>
      <c r="M68" s="684"/>
      <c r="N68" s="673">
        <f t="shared" si="0"/>
        <v>0</v>
      </c>
      <c r="O68" s="674">
        <f t="shared" si="1"/>
        <v>0</v>
      </c>
      <c r="P68" s="686" t="e">
        <f>(O68/O112)*100</f>
        <v>#DIV/0!</v>
      </c>
      <c r="Q68" s="676"/>
      <c r="R68" s="677" t="e">
        <f t="shared" si="2"/>
        <v>#DIV/0!</v>
      </c>
      <c r="S68" s="695">
        <v>20250</v>
      </c>
      <c r="U68" s="679">
        <f t="shared" si="3"/>
        <v>0</v>
      </c>
      <c r="V68" s="679">
        <f t="shared" si="4"/>
        <v>0</v>
      </c>
      <c r="W68" s="679">
        <f t="shared" si="5"/>
        <v>0</v>
      </c>
      <c r="X68" s="679">
        <f t="shared" si="6"/>
        <v>0</v>
      </c>
      <c r="Y68" s="679">
        <f t="shared" si="7"/>
        <v>0</v>
      </c>
      <c r="Z68" s="679">
        <f t="shared" si="8"/>
        <v>0</v>
      </c>
      <c r="AA68" s="679">
        <f t="shared" si="9"/>
        <v>0</v>
      </c>
      <c r="AB68" s="679">
        <f t="shared" si="10"/>
        <v>0</v>
      </c>
      <c r="AC68" s="679">
        <f t="shared" si="11"/>
        <v>0</v>
      </c>
      <c r="AD68" s="679">
        <f t="shared" si="12"/>
        <v>0</v>
      </c>
      <c r="AE68" s="610"/>
    </row>
    <row r="69" spans="1:33" ht="24.95" customHeight="1" thickBot="1" x14ac:dyDescent="0.25">
      <c r="A69" s="667">
        <v>62</v>
      </c>
      <c r="B69" s="696"/>
      <c r="C69" s="697"/>
      <c r="D69" s="698"/>
      <c r="E69" s="699"/>
      <c r="F69" s="698"/>
      <c r="G69" s="699"/>
      <c r="H69" s="698"/>
      <c r="I69" s="699"/>
      <c r="J69" s="698"/>
      <c r="K69" s="699"/>
      <c r="L69" s="698"/>
      <c r="M69" s="700"/>
      <c r="N69" s="701"/>
      <c r="O69" s="702">
        <f t="shared" si="1"/>
        <v>0</v>
      </c>
      <c r="P69" s="703" t="e">
        <f>(O69/O112)*100</f>
        <v>#DIV/0!</v>
      </c>
      <c r="Q69" s="1113"/>
      <c r="R69" s="1114" t="e">
        <f t="shared" si="2"/>
        <v>#DIV/0!</v>
      </c>
      <c r="S69" s="705"/>
      <c r="U69" s="679">
        <f t="shared" si="3"/>
        <v>0</v>
      </c>
      <c r="V69" s="679">
        <f t="shared" si="4"/>
        <v>0</v>
      </c>
      <c r="W69" s="679">
        <f t="shared" si="5"/>
        <v>0</v>
      </c>
      <c r="X69" s="679">
        <f t="shared" si="6"/>
        <v>0</v>
      </c>
      <c r="Y69" s="679">
        <f t="shared" si="7"/>
        <v>0</v>
      </c>
      <c r="Z69" s="679">
        <f t="shared" si="8"/>
        <v>0</v>
      </c>
      <c r="AA69" s="679">
        <f t="shared" si="9"/>
        <v>0</v>
      </c>
      <c r="AB69" s="679">
        <f t="shared" si="10"/>
        <v>0</v>
      </c>
      <c r="AC69" s="679">
        <f t="shared" si="11"/>
        <v>0</v>
      </c>
      <c r="AD69" s="679">
        <f t="shared" si="12"/>
        <v>0</v>
      </c>
      <c r="AE69" s="610"/>
      <c r="AF69" s="1458"/>
      <c r="AG69" s="1458"/>
    </row>
    <row r="70" spans="1:33" ht="24.95" customHeight="1" x14ac:dyDescent="0.2">
      <c r="A70" s="667">
        <v>63</v>
      </c>
      <c r="B70" s="706"/>
      <c r="C70" s="706" t="s">
        <v>847</v>
      </c>
      <c r="D70" s="670"/>
      <c r="E70" s="671"/>
      <c r="F70" s="670"/>
      <c r="G70" s="671"/>
      <c r="H70" s="670"/>
      <c r="I70" s="671"/>
      <c r="J70" s="670"/>
      <c r="K70" s="671"/>
      <c r="L70" s="670"/>
      <c r="M70" s="672"/>
      <c r="N70" s="673">
        <f t="shared" si="0"/>
        <v>0</v>
      </c>
      <c r="O70" s="674">
        <f t="shared" si="1"/>
        <v>0</v>
      </c>
      <c r="P70" s="675" t="e">
        <f>(O70/O112)*100</f>
        <v>#DIV/0!</v>
      </c>
      <c r="Q70" s="694"/>
      <c r="R70" s="675" t="e">
        <f t="shared" si="2"/>
        <v>#DIV/0!</v>
      </c>
      <c r="S70" s="708">
        <v>10800</v>
      </c>
      <c r="U70" s="679">
        <f t="shared" si="3"/>
        <v>0</v>
      </c>
      <c r="V70" s="679">
        <f t="shared" si="4"/>
        <v>0</v>
      </c>
      <c r="W70" s="679">
        <f t="shared" si="5"/>
        <v>0</v>
      </c>
      <c r="X70" s="679">
        <f t="shared" si="6"/>
        <v>0</v>
      </c>
      <c r="Y70" s="679">
        <f t="shared" si="7"/>
        <v>0</v>
      </c>
      <c r="Z70" s="679">
        <f t="shared" si="8"/>
        <v>0</v>
      </c>
      <c r="AA70" s="679">
        <f t="shared" si="9"/>
        <v>0</v>
      </c>
      <c r="AB70" s="679">
        <f t="shared" si="10"/>
        <v>0</v>
      </c>
      <c r="AC70" s="679">
        <f t="shared" si="11"/>
        <v>0</v>
      </c>
      <c r="AD70" s="679">
        <f t="shared" si="12"/>
        <v>0</v>
      </c>
      <c r="AE70" s="610"/>
    </row>
    <row r="71" spans="1:33" ht="24.95" customHeight="1" x14ac:dyDescent="0.2">
      <c r="A71" s="667">
        <v>64</v>
      </c>
      <c r="B71" s="692"/>
      <c r="C71" s="709" t="s">
        <v>848</v>
      </c>
      <c r="D71" s="682"/>
      <c r="E71" s="683"/>
      <c r="F71" s="682"/>
      <c r="G71" s="683"/>
      <c r="H71" s="682"/>
      <c r="I71" s="683"/>
      <c r="J71" s="682"/>
      <c r="K71" s="683"/>
      <c r="L71" s="682"/>
      <c r="M71" s="684"/>
      <c r="N71" s="673">
        <f t="shared" si="0"/>
        <v>0</v>
      </c>
      <c r="O71" s="674">
        <f t="shared" si="1"/>
        <v>0</v>
      </c>
      <c r="P71" s="686" t="e">
        <f>(O71/O112)*100</f>
        <v>#DIV/0!</v>
      </c>
      <c r="Q71" s="690"/>
      <c r="R71" s="677" t="e">
        <f t="shared" si="2"/>
        <v>#DIV/0!</v>
      </c>
      <c r="S71" s="695">
        <v>16200.000000000002</v>
      </c>
      <c r="U71" s="679">
        <f t="shared" si="3"/>
        <v>0</v>
      </c>
      <c r="V71" s="679">
        <f t="shared" si="4"/>
        <v>0</v>
      </c>
      <c r="W71" s="679">
        <f t="shared" si="5"/>
        <v>0</v>
      </c>
      <c r="X71" s="679">
        <f t="shared" si="6"/>
        <v>0</v>
      </c>
      <c r="Y71" s="679">
        <f t="shared" si="7"/>
        <v>0</v>
      </c>
      <c r="Z71" s="679">
        <f t="shared" si="8"/>
        <v>0</v>
      </c>
      <c r="AA71" s="679">
        <f t="shared" si="9"/>
        <v>0</v>
      </c>
      <c r="AB71" s="679">
        <f t="shared" si="10"/>
        <v>0</v>
      </c>
      <c r="AC71" s="679">
        <f t="shared" si="11"/>
        <v>0</v>
      </c>
      <c r="AD71" s="679">
        <f t="shared" si="12"/>
        <v>0</v>
      </c>
      <c r="AE71" s="610"/>
    </row>
    <row r="72" spans="1:33" ht="24.95" customHeight="1" x14ac:dyDescent="0.2">
      <c r="A72" s="667">
        <v>65</v>
      </c>
      <c r="B72" s="692"/>
      <c r="C72" s="709" t="s">
        <v>849</v>
      </c>
      <c r="D72" s="682"/>
      <c r="E72" s="683"/>
      <c r="F72" s="682"/>
      <c r="G72" s="683"/>
      <c r="H72" s="682"/>
      <c r="I72" s="683"/>
      <c r="J72" s="682"/>
      <c r="K72" s="683"/>
      <c r="L72" s="682"/>
      <c r="M72" s="684"/>
      <c r="N72" s="673">
        <f t="shared" si="0"/>
        <v>0</v>
      </c>
      <c r="O72" s="674">
        <f t="shared" si="1"/>
        <v>0</v>
      </c>
      <c r="P72" s="686" t="e">
        <f>(O72/O112)*100</f>
        <v>#DIV/0!</v>
      </c>
      <c r="Q72" s="690"/>
      <c r="R72" s="677" t="e">
        <f t="shared" si="2"/>
        <v>#DIV/0!</v>
      </c>
      <c r="S72" s="695">
        <v>20250</v>
      </c>
      <c r="U72" s="679">
        <f t="shared" si="3"/>
        <v>0</v>
      </c>
      <c r="V72" s="679">
        <f t="shared" si="4"/>
        <v>0</v>
      </c>
      <c r="W72" s="679">
        <f t="shared" si="5"/>
        <v>0</v>
      </c>
      <c r="X72" s="679">
        <f t="shared" si="6"/>
        <v>0</v>
      </c>
      <c r="Y72" s="679">
        <f t="shared" si="7"/>
        <v>0</v>
      </c>
      <c r="Z72" s="679">
        <f t="shared" si="8"/>
        <v>0</v>
      </c>
      <c r="AA72" s="679">
        <f t="shared" si="9"/>
        <v>0</v>
      </c>
      <c r="AB72" s="679">
        <f t="shared" si="10"/>
        <v>0</v>
      </c>
      <c r="AC72" s="679">
        <f t="shared" si="11"/>
        <v>0</v>
      </c>
      <c r="AD72" s="679">
        <f t="shared" si="12"/>
        <v>0</v>
      </c>
      <c r="AE72" s="610"/>
    </row>
    <row r="73" spans="1:33" ht="24.95" customHeight="1" x14ac:dyDescent="0.2">
      <c r="A73" s="667">
        <v>66</v>
      </c>
      <c r="B73" s="692"/>
      <c r="C73" s="709"/>
      <c r="D73" s="682"/>
      <c r="E73" s="683"/>
      <c r="F73" s="682"/>
      <c r="G73" s="683"/>
      <c r="H73" s="682"/>
      <c r="I73" s="683"/>
      <c r="J73" s="682"/>
      <c r="K73" s="683"/>
      <c r="L73" s="682"/>
      <c r="M73" s="684"/>
      <c r="N73" s="673">
        <f t="shared" si="0"/>
        <v>0</v>
      </c>
      <c r="O73" s="674">
        <f t="shared" si="1"/>
        <v>0</v>
      </c>
      <c r="P73" s="686" t="e">
        <f>(O73/O112)*100</f>
        <v>#DIV/0!</v>
      </c>
      <c r="Q73" s="690"/>
      <c r="R73" s="677" t="e">
        <f t="shared" si="2"/>
        <v>#DIV/0!</v>
      </c>
      <c r="S73" s="695"/>
      <c r="U73" s="679">
        <f t="shared" si="3"/>
        <v>0</v>
      </c>
      <c r="V73" s="679">
        <f t="shared" si="4"/>
        <v>0</v>
      </c>
      <c r="W73" s="679">
        <f t="shared" si="5"/>
        <v>0</v>
      </c>
      <c r="X73" s="679">
        <f t="shared" si="6"/>
        <v>0</v>
      </c>
      <c r="Y73" s="679">
        <f t="shared" si="7"/>
        <v>0</v>
      </c>
      <c r="Z73" s="679">
        <f t="shared" si="8"/>
        <v>0</v>
      </c>
      <c r="AA73" s="679">
        <f t="shared" si="9"/>
        <v>0</v>
      </c>
      <c r="AB73" s="679">
        <f t="shared" si="10"/>
        <v>0</v>
      </c>
      <c r="AC73" s="679">
        <f t="shared" si="11"/>
        <v>0</v>
      </c>
      <c r="AD73" s="679">
        <f t="shared" si="12"/>
        <v>0</v>
      </c>
      <c r="AE73" s="610"/>
    </row>
    <row r="74" spans="1:33" ht="24.95" customHeight="1" x14ac:dyDescent="0.2">
      <c r="A74" s="667">
        <v>67</v>
      </c>
      <c r="B74" s="692"/>
      <c r="C74" s="709" t="s">
        <v>444</v>
      </c>
      <c r="D74" s="682"/>
      <c r="E74" s="683"/>
      <c r="F74" s="682"/>
      <c r="G74" s="683"/>
      <c r="H74" s="682"/>
      <c r="I74" s="683"/>
      <c r="J74" s="682"/>
      <c r="K74" s="683"/>
      <c r="L74" s="682"/>
      <c r="M74" s="684"/>
      <c r="N74" s="673">
        <f t="shared" si="0"/>
        <v>0</v>
      </c>
      <c r="O74" s="674">
        <f t="shared" si="1"/>
        <v>0</v>
      </c>
      <c r="P74" s="686" t="e">
        <f>(O74/O112)*100</f>
        <v>#DIV/0!</v>
      </c>
      <c r="Q74" s="690"/>
      <c r="R74" s="677" t="e">
        <f t="shared" si="2"/>
        <v>#DIV/0!</v>
      </c>
      <c r="S74" s="688">
        <v>6750</v>
      </c>
      <c r="U74" s="679">
        <f t="shared" si="3"/>
        <v>0</v>
      </c>
      <c r="V74" s="679">
        <f t="shared" si="4"/>
        <v>0</v>
      </c>
      <c r="W74" s="679">
        <f t="shared" si="5"/>
        <v>0</v>
      </c>
      <c r="X74" s="679">
        <f t="shared" si="6"/>
        <v>0</v>
      </c>
      <c r="Y74" s="679">
        <f t="shared" si="7"/>
        <v>0</v>
      </c>
      <c r="Z74" s="679">
        <f t="shared" si="8"/>
        <v>0</v>
      </c>
      <c r="AA74" s="679">
        <f t="shared" si="9"/>
        <v>0</v>
      </c>
      <c r="AB74" s="679">
        <f t="shared" si="10"/>
        <v>0</v>
      </c>
      <c r="AC74" s="679">
        <f t="shared" si="11"/>
        <v>0</v>
      </c>
      <c r="AD74" s="679">
        <f t="shared" si="12"/>
        <v>0</v>
      </c>
      <c r="AE74" s="610"/>
    </row>
    <row r="75" spans="1:33" ht="24.95" customHeight="1" x14ac:dyDescent="0.2">
      <c r="A75" s="667">
        <v>68</v>
      </c>
      <c r="B75" s="692"/>
      <c r="C75" s="709"/>
      <c r="D75" s="682"/>
      <c r="E75" s="683"/>
      <c r="F75" s="682"/>
      <c r="G75" s="683"/>
      <c r="H75" s="682"/>
      <c r="I75" s="683"/>
      <c r="J75" s="682"/>
      <c r="K75" s="683"/>
      <c r="L75" s="682"/>
      <c r="M75" s="684"/>
      <c r="N75" s="673">
        <f t="shared" si="0"/>
        <v>0</v>
      </c>
      <c r="O75" s="674">
        <f t="shared" si="1"/>
        <v>0</v>
      </c>
      <c r="P75" s="686" t="e">
        <f>(O75/O112)*100</f>
        <v>#DIV/0!</v>
      </c>
      <c r="Q75" s="690"/>
      <c r="R75" s="677" t="e">
        <f t="shared" si="2"/>
        <v>#DIV/0!</v>
      </c>
      <c r="S75" s="688"/>
      <c r="U75" s="679">
        <f t="shared" si="3"/>
        <v>0</v>
      </c>
      <c r="V75" s="679">
        <f t="shared" si="4"/>
        <v>0</v>
      </c>
      <c r="W75" s="679">
        <f t="shared" si="5"/>
        <v>0</v>
      </c>
      <c r="X75" s="679">
        <f t="shared" si="6"/>
        <v>0</v>
      </c>
      <c r="Y75" s="679">
        <f t="shared" si="7"/>
        <v>0</v>
      </c>
      <c r="Z75" s="679">
        <f t="shared" si="8"/>
        <v>0</v>
      </c>
      <c r="AA75" s="679">
        <f t="shared" si="9"/>
        <v>0</v>
      </c>
      <c r="AB75" s="679">
        <f t="shared" si="10"/>
        <v>0</v>
      </c>
      <c r="AC75" s="679">
        <f t="shared" si="11"/>
        <v>0</v>
      </c>
      <c r="AD75" s="679">
        <f t="shared" si="12"/>
        <v>0</v>
      </c>
      <c r="AE75" s="610"/>
    </row>
    <row r="76" spans="1:33" ht="24.95" customHeight="1" x14ac:dyDescent="0.2">
      <c r="A76" s="667">
        <v>69</v>
      </c>
      <c r="B76" s="692"/>
      <c r="C76" s="709"/>
      <c r="D76" s="682"/>
      <c r="E76" s="683"/>
      <c r="F76" s="682"/>
      <c r="G76" s="683"/>
      <c r="H76" s="682"/>
      <c r="I76" s="683"/>
      <c r="J76" s="682"/>
      <c r="K76" s="683"/>
      <c r="L76" s="682"/>
      <c r="M76" s="684"/>
      <c r="N76" s="673">
        <f t="shared" si="0"/>
        <v>0</v>
      </c>
      <c r="O76" s="674">
        <f t="shared" si="1"/>
        <v>0</v>
      </c>
      <c r="P76" s="686" t="e">
        <f>(O76/O112)*100</f>
        <v>#DIV/0!</v>
      </c>
      <c r="Q76" s="690"/>
      <c r="R76" s="677" t="e">
        <f t="shared" si="2"/>
        <v>#DIV/0!</v>
      </c>
      <c r="S76" s="688">
        <v>31050</v>
      </c>
      <c r="U76" s="679">
        <f t="shared" ref="U76:U82" si="15">D76*S76</f>
        <v>0</v>
      </c>
      <c r="V76" s="679">
        <f t="shared" ref="V76:V82" si="16">E76*S76</f>
        <v>0</v>
      </c>
      <c r="W76" s="679">
        <f t="shared" ref="W76:W82" si="17">F76*S76</f>
        <v>0</v>
      </c>
      <c r="X76" s="679">
        <f t="shared" ref="X76:X82" si="18">G76*S76</f>
        <v>0</v>
      </c>
      <c r="Y76" s="679">
        <f t="shared" ref="Y76:Y82" si="19">H76*S76</f>
        <v>0</v>
      </c>
      <c r="Z76" s="679">
        <f t="shared" ref="Z76:Z82" si="20">I76*S76</f>
        <v>0</v>
      </c>
      <c r="AA76" s="679">
        <f t="shared" ref="AA76:AA82" si="21">J76*S76</f>
        <v>0</v>
      </c>
      <c r="AB76" s="679">
        <f t="shared" ref="AB76:AB82" si="22">K76*S76</f>
        <v>0</v>
      </c>
      <c r="AC76" s="679">
        <f t="shared" ref="AC76:AC82" si="23">L76*S76</f>
        <v>0</v>
      </c>
      <c r="AD76" s="679">
        <f t="shared" ref="AD76:AD82" si="24">M76*S76</f>
        <v>0</v>
      </c>
      <c r="AE76" s="610"/>
    </row>
    <row r="77" spans="1:33" ht="24.95" customHeight="1" x14ac:dyDescent="0.2">
      <c r="A77" s="667">
        <v>70</v>
      </c>
      <c r="B77" s="692"/>
      <c r="C77" s="709"/>
      <c r="D77" s="682"/>
      <c r="E77" s="683"/>
      <c r="F77" s="682"/>
      <c r="G77" s="683"/>
      <c r="H77" s="682"/>
      <c r="I77" s="683"/>
      <c r="J77" s="682"/>
      <c r="K77" s="683"/>
      <c r="L77" s="682"/>
      <c r="M77" s="684"/>
      <c r="N77" s="673">
        <f t="shared" si="0"/>
        <v>0</v>
      </c>
      <c r="O77" s="674">
        <f t="shared" si="1"/>
        <v>0</v>
      </c>
      <c r="P77" s="686" t="e">
        <f>(O77/O112)*100</f>
        <v>#DIV/0!</v>
      </c>
      <c r="Q77" s="690"/>
      <c r="R77" s="677" t="e">
        <f t="shared" si="2"/>
        <v>#DIV/0!</v>
      </c>
      <c r="S77" s="688">
        <v>28350.000000000004</v>
      </c>
      <c r="U77" s="679">
        <f t="shared" si="15"/>
        <v>0</v>
      </c>
      <c r="V77" s="679">
        <f t="shared" si="16"/>
        <v>0</v>
      </c>
      <c r="W77" s="679">
        <f t="shared" si="17"/>
        <v>0</v>
      </c>
      <c r="X77" s="679">
        <f t="shared" si="18"/>
        <v>0</v>
      </c>
      <c r="Y77" s="679">
        <f t="shared" si="19"/>
        <v>0</v>
      </c>
      <c r="Z77" s="679">
        <f t="shared" si="20"/>
        <v>0</v>
      </c>
      <c r="AA77" s="679">
        <f t="shared" si="21"/>
        <v>0</v>
      </c>
      <c r="AB77" s="679">
        <f t="shared" si="22"/>
        <v>0</v>
      </c>
      <c r="AC77" s="679">
        <f t="shared" si="23"/>
        <v>0</v>
      </c>
      <c r="AD77" s="679">
        <f t="shared" si="24"/>
        <v>0</v>
      </c>
      <c r="AE77" s="610"/>
    </row>
    <row r="78" spans="1:33" ht="24.95" customHeight="1" x14ac:dyDescent="0.2">
      <c r="A78" s="667">
        <v>71</v>
      </c>
      <c r="B78" s="692"/>
      <c r="C78" s="709"/>
      <c r="D78" s="682"/>
      <c r="E78" s="683"/>
      <c r="F78" s="682"/>
      <c r="G78" s="683"/>
      <c r="H78" s="682"/>
      <c r="I78" s="683"/>
      <c r="J78" s="682"/>
      <c r="K78" s="683"/>
      <c r="L78" s="682"/>
      <c r="M78" s="684"/>
      <c r="N78" s="673">
        <f t="shared" si="0"/>
        <v>0</v>
      </c>
      <c r="O78" s="674">
        <f t="shared" si="1"/>
        <v>0</v>
      </c>
      <c r="P78" s="686" t="e">
        <f>(O78/O112)*100</f>
        <v>#DIV/0!</v>
      </c>
      <c r="Q78" s="690"/>
      <c r="R78" s="677" t="e">
        <f t="shared" si="2"/>
        <v>#DIV/0!</v>
      </c>
      <c r="S78" s="688"/>
      <c r="U78" s="679">
        <f t="shared" si="15"/>
        <v>0</v>
      </c>
      <c r="V78" s="679">
        <f t="shared" si="16"/>
        <v>0</v>
      </c>
      <c r="W78" s="679">
        <f t="shared" si="17"/>
        <v>0</v>
      </c>
      <c r="X78" s="679">
        <f t="shared" si="18"/>
        <v>0</v>
      </c>
      <c r="Y78" s="679">
        <f t="shared" si="19"/>
        <v>0</v>
      </c>
      <c r="Z78" s="679">
        <f t="shared" si="20"/>
        <v>0</v>
      </c>
      <c r="AA78" s="679">
        <f t="shared" si="21"/>
        <v>0</v>
      </c>
      <c r="AB78" s="679">
        <f t="shared" si="22"/>
        <v>0</v>
      </c>
      <c r="AC78" s="679">
        <f t="shared" si="23"/>
        <v>0</v>
      </c>
      <c r="AD78" s="679">
        <f t="shared" si="24"/>
        <v>0</v>
      </c>
      <c r="AE78" s="610"/>
    </row>
    <row r="79" spans="1:33" ht="24.95" customHeight="1" x14ac:dyDescent="0.2">
      <c r="A79" s="667">
        <v>72</v>
      </c>
      <c r="B79" s="692"/>
      <c r="C79" s="709"/>
      <c r="D79" s="682"/>
      <c r="E79" s="683"/>
      <c r="F79" s="682"/>
      <c r="G79" s="683"/>
      <c r="H79" s="682"/>
      <c r="I79" s="683"/>
      <c r="J79" s="682"/>
      <c r="K79" s="683"/>
      <c r="L79" s="682"/>
      <c r="M79" s="684"/>
      <c r="N79" s="673">
        <f>SUM(D79:M79)</f>
        <v>0</v>
      </c>
      <c r="O79" s="674">
        <f t="shared" ref="O79:O82" si="25">N79*S79</f>
        <v>0</v>
      </c>
      <c r="P79" s="686" t="e">
        <f>(O79/O112)*100</f>
        <v>#DIV/0!</v>
      </c>
      <c r="Q79" s="690"/>
      <c r="R79" s="677" t="e">
        <f>P79*Q79</f>
        <v>#DIV/0!</v>
      </c>
      <c r="S79" s="688">
        <v>16200</v>
      </c>
      <c r="U79" s="679">
        <f t="shared" si="15"/>
        <v>0</v>
      </c>
      <c r="V79" s="679">
        <f t="shared" si="16"/>
        <v>0</v>
      </c>
      <c r="W79" s="679">
        <f t="shared" si="17"/>
        <v>0</v>
      </c>
      <c r="X79" s="679">
        <f t="shared" si="18"/>
        <v>0</v>
      </c>
      <c r="Y79" s="679">
        <f t="shared" si="19"/>
        <v>0</v>
      </c>
      <c r="Z79" s="679">
        <f t="shared" si="20"/>
        <v>0</v>
      </c>
      <c r="AA79" s="679">
        <f t="shared" si="21"/>
        <v>0</v>
      </c>
      <c r="AB79" s="679">
        <f t="shared" si="22"/>
        <v>0</v>
      </c>
      <c r="AC79" s="679">
        <f t="shared" si="23"/>
        <v>0</v>
      </c>
      <c r="AD79" s="679">
        <f t="shared" si="24"/>
        <v>0</v>
      </c>
      <c r="AE79" s="610"/>
    </row>
    <row r="80" spans="1:33" ht="24.95" customHeight="1" x14ac:dyDescent="0.2">
      <c r="A80" s="667">
        <v>73</v>
      </c>
      <c r="B80" s="692"/>
      <c r="C80" s="709"/>
      <c r="D80" s="682"/>
      <c r="E80" s="710"/>
      <c r="F80" s="687"/>
      <c r="G80" s="710"/>
      <c r="H80" s="687"/>
      <c r="I80" s="710"/>
      <c r="J80" s="687"/>
      <c r="K80" s="710"/>
      <c r="L80" s="687"/>
      <c r="M80" s="711"/>
      <c r="N80" s="712">
        <f>SUM(D80:M80)</f>
        <v>0</v>
      </c>
      <c r="O80" s="674">
        <f t="shared" si="25"/>
        <v>0</v>
      </c>
      <c r="P80" s="686" t="e">
        <f>(O80/O112)*100</f>
        <v>#DIV/0!</v>
      </c>
      <c r="Q80" s="694"/>
      <c r="R80" s="677" t="e">
        <f>P80*Q80</f>
        <v>#DIV/0!</v>
      </c>
      <c r="S80" s="713">
        <v>20250</v>
      </c>
      <c r="U80" s="679">
        <f t="shared" si="15"/>
        <v>0</v>
      </c>
      <c r="V80" s="679">
        <f t="shared" si="16"/>
        <v>0</v>
      </c>
      <c r="W80" s="679">
        <f t="shared" si="17"/>
        <v>0</v>
      </c>
      <c r="X80" s="679">
        <f t="shared" si="18"/>
        <v>0</v>
      </c>
      <c r="Y80" s="679">
        <f t="shared" si="19"/>
        <v>0</v>
      </c>
      <c r="Z80" s="679">
        <f t="shared" si="20"/>
        <v>0</v>
      </c>
      <c r="AA80" s="679">
        <f t="shared" si="21"/>
        <v>0</v>
      </c>
      <c r="AB80" s="679">
        <f t="shared" si="22"/>
        <v>0</v>
      </c>
      <c r="AC80" s="679">
        <f t="shared" si="23"/>
        <v>0</v>
      </c>
      <c r="AD80" s="679">
        <f t="shared" si="24"/>
        <v>0</v>
      </c>
      <c r="AE80" s="610"/>
    </row>
    <row r="81" spans="1:31" ht="24.95" customHeight="1" x14ac:dyDescent="0.2">
      <c r="A81" s="667">
        <v>74</v>
      </c>
      <c r="B81" s="706"/>
      <c r="C81" s="714"/>
      <c r="D81" s="670"/>
      <c r="E81" s="683"/>
      <c r="F81" s="682"/>
      <c r="G81" s="683"/>
      <c r="H81" s="682"/>
      <c r="I81" s="683"/>
      <c r="J81" s="682"/>
      <c r="K81" s="683"/>
      <c r="L81" s="682"/>
      <c r="M81" s="684"/>
      <c r="N81" s="715">
        <f>SUM(D81:M81)</f>
        <v>0</v>
      </c>
      <c r="O81" s="674">
        <f t="shared" si="25"/>
        <v>0</v>
      </c>
      <c r="P81" s="686" t="e">
        <f>(O81/O112)*100</f>
        <v>#DIV/0!</v>
      </c>
      <c r="Q81" s="690"/>
      <c r="R81" s="677" t="e">
        <f>P81*Q81</f>
        <v>#DIV/0!</v>
      </c>
      <c r="S81" s="716"/>
      <c r="U81" s="679">
        <f t="shared" si="15"/>
        <v>0</v>
      </c>
      <c r="V81" s="679">
        <f t="shared" si="16"/>
        <v>0</v>
      </c>
      <c r="W81" s="679">
        <f t="shared" si="17"/>
        <v>0</v>
      </c>
      <c r="X81" s="679">
        <f t="shared" si="18"/>
        <v>0</v>
      </c>
      <c r="Y81" s="679">
        <f t="shared" si="19"/>
        <v>0</v>
      </c>
      <c r="Z81" s="679">
        <f t="shared" si="20"/>
        <v>0</v>
      </c>
      <c r="AA81" s="679">
        <f t="shared" si="21"/>
        <v>0</v>
      </c>
      <c r="AB81" s="679">
        <f t="shared" si="22"/>
        <v>0</v>
      </c>
      <c r="AC81" s="679">
        <f t="shared" si="23"/>
        <v>0</v>
      </c>
      <c r="AD81" s="679">
        <f t="shared" si="24"/>
        <v>0</v>
      </c>
      <c r="AE81" s="610"/>
    </row>
    <row r="82" spans="1:31" ht="24.95" customHeight="1" thickBot="1" x14ac:dyDescent="0.25">
      <c r="A82" s="667">
        <v>75</v>
      </c>
      <c r="B82" s="692"/>
      <c r="C82" s="692"/>
      <c r="D82" s="682"/>
      <c r="E82" s="683"/>
      <c r="F82" s="682"/>
      <c r="G82" s="683"/>
      <c r="H82" s="682"/>
      <c r="I82" s="683"/>
      <c r="J82" s="682"/>
      <c r="K82" s="683"/>
      <c r="L82" s="682"/>
      <c r="M82" s="684"/>
      <c r="N82" s="673">
        <f>SUM(D82:M82)</f>
        <v>0</v>
      </c>
      <c r="O82" s="674">
        <f t="shared" si="25"/>
        <v>0</v>
      </c>
      <c r="P82" s="686" t="e">
        <f>(O82/O112)*100</f>
        <v>#DIV/0!</v>
      </c>
      <c r="Q82" s="717"/>
      <c r="R82" s="704" t="e">
        <f>P82*Q82</f>
        <v>#DIV/0!</v>
      </c>
      <c r="S82" s="689"/>
      <c r="U82" s="679">
        <f t="shared" si="15"/>
        <v>0</v>
      </c>
      <c r="V82" s="679">
        <f t="shared" si="16"/>
        <v>0</v>
      </c>
      <c r="W82" s="679">
        <f t="shared" si="17"/>
        <v>0</v>
      </c>
      <c r="X82" s="679">
        <f t="shared" si="18"/>
        <v>0</v>
      </c>
      <c r="Y82" s="679">
        <f t="shared" si="19"/>
        <v>0</v>
      </c>
      <c r="Z82" s="679">
        <f t="shared" si="20"/>
        <v>0</v>
      </c>
      <c r="AA82" s="679">
        <f t="shared" si="21"/>
        <v>0</v>
      </c>
      <c r="AB82" s="679">
        <f t="shared" si="22"/>
        <v>0</v>
      </c>
      <c r="AC82" s="679">
        <f t="shared" si="23"/>
        <v>0</v>
      </c>
      <c r="AD82" s="679">
        <f t="shared" si="24"/>
        <v>0</v>
      </c>
      <c r="AE82" s="610"/>
    </row>
    <row r="83" spans="1:31" ht="99.95" customHeight="1" thickBot="1" x14ac:dyDescent="0.25">
      <c r="A83" s="718"/>
      <c r="B83" s="459" t="s">
        <v>340</v>
      </c>
      <c r="C83" s="719" t="str">
        <f>B83</f>
        <v>TOTAL FOOD</v>
      </c>
      <c r="D83" s="720">
        <f t="shared" ref="D83:M83" si="26">U83</f>
        <v>0</v>
      </c>
      <c r="E83" s="720">
        <f t="shared" si="26"/>
        <v>0</v>
      </c>
      <c r="F83" s="720">
        <f>W83</f>
        <v>0</v>
      </c>
      <c r="G83" s="720">
        <f t="shared" si="26"/>
        <v>0</v>
      </c>
      <c r="H83" s="720">
        <f t="shared" si="26"/>
        <v>0</v>
      </c>
      <c r="I83" s="720">
        <f t="shared" si="26"/>
        <v>0</v>
      </c>
      <c r="J83" s="720">
        <f t="shared" si="26"/>
        <v>0</v>
      </c>
      <c r="K83" s="720">
        <f t="shared" si="26"/>
        <v>0</v>
      </c>
      <c r="L83" s="720">
        <f t="shared" si="26"/>
        <v>0</v>
      </c>
      <c r="M83" s="720">
        <f t="shared" si="26"/>
        <v>0</v>
      </c>
      <c r="N83" s="721"/>
      <c r="O83" s="722">
        <f>SUM(D83:M83)</f>
        <v>0</v>
      </c>
      <c r="P83" s="723" t="e">
        <f>SUM(P8:P82)/100</f>
        <v>#DIV/0!</v>
      </c>
      <c r="Q83" s="724"/>
      <c r="R83" s="725" t="e">
        <f>SUM(R8:R82)/100</f>
        <v>#DIV/0!</v>
      </c>
      <c r="S83" s="726"/>
      <c r="U83" s="727">
        <f t="shared" ref="U83:AD83" si="27">SUM(U8:U82)</f>
        <v>0</v>
      </c>
      <c r="V83" s="727">
        <f t="shared" si="27"/>
        <v>0</v>
      </c>
      <c r="W83" s="727">
        <f t="shared" si="27"/>
        <v>0</v>
      </c>
      <c r="X83" s="727">
        <f t="shared" si="27"/>
        <v>0</v>
      </c>
      <c r="Y83" s="727">
        <f t="shared" si="27"/>
        <v>0</v>
      </c>
      <c r="Z83" s="727">
        <f t="shared" si="27"/>
        <v>0</v>
      </c>
      <c r="AA83" s="727">
        <f t="shared" si="27"/>
        <v>0</v>
      </c>
      <c r="AB83" s="727">
        <f t="shared" si="27"/>
        <v>0</v>
      </c>
      <c r="AC83" s="727">
        <f t="shared" si="27"/>
        <v>0</v>
      </c>
      <c r="AD83" s="727">
        <f t="shared" si="27"/>
        <v>0</v>
      </c>
      <c r="AE83" s="610"/>
    </row>
    <row r="84" spans="1:31" ht="45" customHeight="1" thickBot="1" x14ac:dyDescent="0.25">
      <c r="A84" s="162"/>
      <c r="B84" s="162"/>
      <c r="C84" s="162"/>
      <c r="D84" s="728"/>
      <c r="E84" s="728"/>
      <c r="F84" s="728"/>
      <c r="G84" s="728"/>
      <c r="H84" s="728"/>
      <c r="I84" s="728"/>
      <c r="J84" s="728"/>
      <c r="K84" s="729"/>
      <c r="L84" s="729"/>
      <c r="M84" s="729"/>
      <c r="N84" s="729"/>
      <c r="O84" s="729"/>
      <c r="P84" s="658"/>
      <c r="Q84" s="730"/>
      <c r="R84" s="731"/>
      <c r="S84" s="729"/>
      <c r="U84" s="732"/>
      <c r="V84" s="732"/>
      <c r="W84" s="732"/>
      <c r="X84" s="732"/>
      <c r="Y84" s="732"/>
      <c r="Z84" s="732"/>
      <c r="AA84" s="732"/>
      <c r="AB84" s="610"/>
      <c r="AC84" s="610"/>
      <c r="AD84" s="610"/>
      <c r="AE84" s="610"/>
    </row>
    <row r="85" spans="1:31" ht="45" customHeight="1" thickBot="1" x14ac:dyDescent="0.35">
      <c r="A85" s="459" t="s">
        <v>89</v>
      </c>
      <c r="B85" s="459" t="s">
        <v>511</v>
      </c>
      <c r="C85" s="719" t="str">
        <f>B85</f>
        <v>BEVERAGES</v>
      </c>
      <c r="D85" s="733"/>
      <c r="E85" s="733"/>
      <c r="F85" s="733"/>
      <c r="G85" s="733"/>
      <c r="H85" s="733"/>
      <c r="I85" s="733"/>
      <c r="J85" s="733"/>
      <c r="K85" s="733"/>
      <c r="L85" s="733"/>
      <c r="M85" s="733"/>
      <c r="N85" s="734"/>
      <c r="O85" s="734"/>
      <c r="P85" s="735"/>
      <c r="Q85" s="736"/>
      <c r="R85" s="737"/>
      <c r="S85" s="734"/>
      <c r="U85" s="732"/>
      <c r="V85" s="732"/>
      <c r="W85" s="732"/>
      <c r="X85" s="732"/>
      <c r="Y85" s="732"/>
      <c r="Z85" s="732"/>
      <c r="AA85" s="732"/>
      <c r="AB85" s="732"/>
      <c r="AC85" s="610"/>
      <c r="AD85" s="610"/>
      <c r="AE85" s="610"/>
    </row>
    <row r="86" spans="1:31" ht="24.95" customHeight="1" x14ac:dyDescent="0.3">
      <c r="A86" s="738">
        <v>1</v>
      </c>
      <c r="B86" s="739" t="s">
        <v>512</v>
      </c>
      <c r="C86" s="740" t="str">
        <f>B86</f>
        <v xml:space="preserve">Air Mineral Botol </v>
      </c>
      <c r="D86" s="741"/>
      <c r="E86" s="742"/>
      <c r="F86" s="743"/>
      <c r="G86" s="742"/>
      <c r="H86" s="743"/>
      <c r="I86" s="742"/>
      <c r="J86" s="743"/>
      <c r="K86" s="742"/>
      <c r="L86" s="743"/>
      <c r="M86" s="742"/>
      <c r="N86" s="744">
        <f>SUM(D86:M86)</f>
        <v>0</v>
      </c>
      <c r="O86" s="745">
        <f t="shared" ref="O86:O110" si="28">N86*S86</f>
        <v>0</v>
      </c>
      <c r="P86" s="746" t="e">
        <f>(O86/O112)*100</f>
        <v>#DIV/0!</v>
      </c>
      <c r="Q86" s="747"/>
      <c r="R86" s="707" t="e">
        <f>P86*Q86</f>
        <v>#DIV/0!</v>
      </c>
      <c r="S86" s="741">
        <v>5400</v>
      </c>
      <c r="U86" s="679">
        <f>D86*S86</f>
        <v>0</v>
      </c>
      <c r="V86" s="679">
        <f>E86*S86</f>
        <v>0</v>
      </c>
      <c r="W86" s="679">
        <f>F86*S86</f>
        <v>0</v>
      </c>
      <c r="X86" s="679">
        <f>G86*S86</f>
        <v>0</v>
      </c>
      <c r="Y86" s="679">
        <f>H86*S86</f>
        <v>0</v>
      </c>
      <c r="Z86" s="679">
        <f>I86*S86</f>
        <v>0</v>
      </c>
      <c r="AA86" s="679">
        <f>J86*S86</f>
        <v>0</v>
      </c>
      <c r="AB86" s="748">
        <f>K86*S86</f>
        <v>0</v>
      </c>
      <c r="AC86" s="679">
        <f>L86*S86</f>
        <v>0</v>
      </c>
      <c r="AD86" s="679">
        <f>M86*S86</f>
        <v>0</v>
      </c>
      <c r="AE86" s="610"/>
    </row>
    <row r="87" spans="1:31" ht="24.95" customHeight="1" x14ac:dyDescent="0.3">
      <c r="A87" s="749">
        <v>2</v>
      </c>
      <c r="B87" s="750" t="s">
        <v>513</v>
      </c>
      <c r="C87" s="740" t="str">
        <f>B87</f>
        <v>Air Mineral Cup</v>
      </c>
      <c r="D87" s="741"/>
      <c r="E87" s="742"/>
      <c r="F87" s="743"/>
      <c r="G87" s="742"/>
      <c r="H87" s="743"/>
      <c r="I87" s="742"/>
      <c r="J87" s="743"/>
      <c r="K87" s="742"/>
      <c r="L87" s="743"/>
      <c r="M87" s="742"/>
      <c r="N87" s="744">
        <f t="shared" ref="N87:N110" si="29">SUM(D87:M87)</f>
        <v>0</v>
      </c>
      <c r="O87" s="745">
        <f t="shared" si="28"/>
        <v>0</v>
      </c>
      <c r="P87" s="746" t="e">
        <f>(O87/O112)*100</f>
        <v>#DIV/0!</v>
      </c>
      <c r="Q87" s="747"/>
      <c r="R87" s="677" t="e">
        <f>P87*Q87</f>
        <v>#DIV/0!</v>
      </c>
      <c r="S87" s="752">
        <v>2700</v>
      </c>
      <c r="T87" s="63" t="s">
        <v>112</v>
      </c>
      <c r="U87" s="679">
        <f t="shared" ref="U87:U110" si="30">D87*S87</f>
        <v>0</v>
      </c>
      <c r="V87" s="679">
        <f t="shared" ref="V87:V110" si="31">E87*S87</f>
        <v>0</v>
      </c>
      <c r="W87" s="679">
        <f t="shared" ref="W87:W110" si="32">F87*S87</f>
        <v>0</v>
      </c>
      <c r="X87" s="679">
        <f t="shared" ref="X87:X110" si="33">G87*S87</f>
        <v>0</v>
      </c>
      <c r="Y87" s="679">
        <f t="shared" ref="Y87:Y110" si="34">H87*S87</f>
        <v>0</v>
      </c>
      <c r="Z87" s="679">
        <f t="shared" ref="Z87:Z110" si="35">I87*S87</f>
        <v>0</v>
      </c>
      <c r="AA87" s="679">
        <f t="shared" ref="AA87:AA110" si="36">J87*S87</f>
        <v>0</v>
      </c>
      <c r="AB87" s="679">
        <f t="shared" ref="AB87:AB110" si="37">K87*S87</f>
        <v>0</v>
      </c>
      <c r="AC87" s="679">
        <f t="shared" ref="AC87:AC110" si="38">L87*S87</f>
        <v>0</v>
      </c>
      <c r="AD87" s="679">
        <f t="shared" ref="AD87:AD110" si="39">M87*S87</f>
        <v>0</v>
      </c>
      <c r="AE87" s="610"/>
    </row>
    <row r="88" spans="1:31" ht="24.95" customHeight="1" x14ac:dyDescent="0.3">
      <c r="A88" s="749">
        <v>3</v>
      </c>
      <c r="B88" s="750" t="s">
        <v>514</v>
      </c>
      <c r="C88" s="740" t="str">
        <f>B88</f>
        <v>Teh Botol</v>
      </c>
      <c r="D88" s="741"/>
      <c r="E88" s="742"/>
      <c r="F88" s="743"/>
      <c r="G88" s="742"/>
      <c r="H88" s="743"/>
      <c r="I88" s="742"/>
      <c r="J88" s="743"/>
      <c r="K88" s="742"/>
      <c r="L88" s="743"/>
      <c r="M88" s="742"/>
      <c r="N88" s="744">
        <f t="shared" si="29"/>
        <v>0</v>
      </c>
      <c r="O88" s="745">
        <f t="shared" si="28"/>
        <v>0</v>
      </c>
      <c r="P88" s="746" t="e">
        <f>(O88/O112)*100</f>
        <v>#DIV/0!</v>
      </c>
      <c r="Q88" s="747"/>
      <c r="R88" s="677" t="e">
        <f t="shared" ref="R88:R110" si="40">P88*Q88</f>
        <v>#DIV/0!</v>
      </c>
      <c r="S88" s="753">
        <v>8100.0000000000009</v>
      </c>
      <c r="U88" s="679">
        <f t="shared" si="30"/>
        <v>0</v>
      </c>
      <c r="V88" s="679">
        <f t="shared" si="31"/>
        <v>0</v>
      </c>
      <c r="W88" s="679">
        <f t="shared" si="32"/>
        <v>0</v>
      </c>
      <c r="X88" s="679">
        <f t="shared" si="33"/>
        <v>0</v>
      </c>
      <c r="Y88" s="679">
        <f t="shared" si="34"/>
        <v>0</v>
      </c>
      <c r="Z88" s="679">
        <f t="shared" si="35"/>
        <v>0</v>
      </c>
      <c r="AA88" s="679">
        <f t="shared" si="36"/>
        <v>0</v>
      </c>
      <c r="AB88" s="679">
        <f t="shared" si="37"/>
        <v>0</v>
      </c>
      <c r="AC88" s="679">
        <f t="shared" si="38"/>
        <v>0</v>
      </c>
      <c r="AD88" s="679">
        <f t="shared" si="39"/>
        <v>0</v>
      </c>
      <c r="AE88" s="610"/>
    </row>
    <row r="89" spans="1:31" ht="24.95" customHeight="1" x14ac:dyDescent="0.3">
      <c r="A89" s="749">
        <v>4</v>
      </c>
      <c r="B89" s="750" t="s">
        <v>515</v>
      </c>
      <c r="C89" s="740" t="str">
        <f>B89</f>
        <v>Teh Sosro Genggam</v>
      </c>
      <c r="D89" s="741"/>
      <c r="E89" s="742"/>
      <c r="F89" s="743"/>
      <c r="G89" s="742"/>
      <c r="H89" s="743"/>
      <c r="I89" s="742"/>
      <c r="J89" s="743"/>
      <c r="K89" s="742"/>
      <c r="L89" s="743"/>
      <c r="M89" s="742"/>
      <c r="N89" s="744">
        <f t="shared" si="29"/>
        <v>0</v>
      </c>
      <c r="O89" s="745">
        <f t="shared" si="28"/>
        <v>0</v>
      </c>
      <c r="P89" s="746" t="e">
        <f>(O89/O112)*100</f>
        <v>#DIV/0!</v>
      </c>
      <c r="Q89" s="747"/>
      <c r="R89" s="677" t="e">
        <f t="shared" si="40"/>
        <v>#DIV/0!</v>
      </c>
      <c r="S89" s="753">
        <v>8100</v>
      </c>
      <c r="U89" s="679">
        <f t="shared" si="30"/>
        <v>0</v>
      </c>
      <c r="V89" s="679">
        <f t="shared" si="31"/>
        <v>0</v>
      </c>
      <c r="W89" s="679">
        <f t="shared" si="32"/>
        <v>0</v>
      </c>
      <c r="X89" s="679">
        <f t="shared" si="33"/>
        <v>0</v>
      </c>
      <c r="Y89" s="679">
        <f t="shared" si="34"/>
        <v>0</v>
      </c>
      <c r="Z89" s="679">
        <f t="shared" si="35"/>
        <v>0</v>
      </c>
      <c r="AA89" s="679">
        <f t="shared" si="36"/>
        <v>0</v>
      </c>
      <c r="AB89" s="679">
        <f t="shared" si="37"/>
        <v>0</v>
      </c>
      <c r="AC89" s="679">
        <f t="shared" si="38"/>
        <v>0</v>
      </c>
      <c r="AD89" s="679">
        <f t="shared" si="39"/>
        <v>0</v>
      </c>
      <c r="AE89" s="610"/>
    </row>
    <row r="90" spans="1:31" ht="24.95" customHeight="1" x14ac:dyDescent="0.3">
      <c r="A90" s="749">
        <v>5</v>
      </c>
      <c r="B90" s="750" t="s">
        <v>516</v>
      </c>
      <c r="C90" s="740"/>
      <c r="D90" s="754"/>
      <c r="E90" s="755"/>
      <c r="F90" s="753"/>
      <c r="G90" s="755"/>
      <c r="H90" s="753"/>
      <c r="I90" s="755"/>
      <c r="J90" s="753"/>
      <c r="K90" s="755"/>
      <c r="L90" s="753"/>
      <c r="M90" s="755"/>
      <c r="N90" s="744">
        <f t="shared" si="29"/>
        <v>0</v>
      </c>
      <c r="O90" s="745">
        <f t="shared" si="28"/>
        <v>0</v>
      </c>
      <c r="P90" s="756" t="e">
        <f>(O90/O112)*100</f>
        <v>#DIV/0!</v>
      </c>
      <c r="Q90" s="747"/>
      <c r="R90" s="677" t="e">
        <f t="shared" si="40"/>
        <v>#DIV/0!</v>
      </c>
      <c r="S90" s="743"/>
      <c r="U90" s="679">
        <f t="shared" si="30"/>
        <v>0</v>
      </c>
      <c r="V90" s="679">
        <f t="shared" si="31"/>
        <v>0</v>
      </c>
      <c r="W90" s="679">
        <f t="shared" si="32"/>
        <v>0</v>
      </c>
      <c r="X90" s="679">
        <f t="shared" si="33"/>
        <v>0</v>
      </c>
      <c r="Y90" s="679">
        <f t="shared" si="34"/>
        <v>0</v>
      </c>
      <c r="Z90" s="679">
        <f t="shared" si="35"/>
        <v>0</v>
      </c>
      <c r="AA90" s="679">
        <f t="shared" si="36"/>
        <v>0</v>
      </c>
      <c r="AB90" s="679">
        <f t="shared" si="37"/>
        <v>0</v>
      </c>
      <c r="AC90" s="679">
        <f t="shared" si="38"/>
        <v>0</v>
      </c>
      <c r="AD90" s="679">
        <f t="shared" si="39"/>
        <v>0</v>
      </c>
      <c r="AE90" s="610"/>
    </row>
    <row r="91" spans="1:31" ht="24.95" customHeight="1" x14ac:dyDescent="0.3">
      <c r="A91" s="749">
        <v>6</v>
      </c>
      <c r="B91" s="750" t="s">
        <v>518</v>
      </c>
      <c r="C91" s="740" t="s">
        <v>519</v>
      </c>
      <c r="D91" s="754"/>
      <c r="E91" s="755"/>
      <c r="F91" s="753"/>
      <c r="G91" s="755"/>
      <c r="H91" s="753"/>
      <c r="I91" s="755"/>
      <c r="J91" s="753"/>
      <c r="K91" s="755"/>
      <c r="L91" s="753"/>
      <c r="M91" s="755"/>
      <c r="N91" s="744">
        <f t="shared" si="29"/>
        <v>0</v>
      </c>
      <c r="O91" s="745">
        <f t="shared" si="28"/>
        <v>0</v>
      </c>
      <c r="P91" s="756" t="e">
        <f>(O91/O112)*100</f>
        <v>#DIV/0!</v>
      </c>
      <c r="Q91" s="747"/>
      <c r="R91" s="677" t="e">
        <f t="shared" si="40"/>
        <v>#DIV/0!</v>
      </c>
      <c r="S91" s="743">
        <v>4050.0000000000005</v>
      </c>
      <c r="U91" s="679">
        <f t="shared" si="30"/>
        <v>0</v>
      </c>
      <c r="V91" s="679">
        <f t="shared" si="31"/>
        <v>0</v>
      </c>
      <c r="W91" s="679">
        <f t="shared" si="32"/>
        <v>0</v>
      </c>
      <c r="X91" s="679">
        <f t="shared" si="33"/>
        <v>0</v>
      </c>
      <c r="Y91" s="679">
        <f t="shared" si="34"/>
        <v>0</v>
      </c>
      <c r="Z91" s="679">
        <f t="shared" si="35"/>
        <v>0</v>
      </c>
      <c r="AA91" s="679">
        <f t="shared" si="36"/>
        <v>0</v>
      </c>
      <c r="AB91" s="679">
        <f t="shared" si="37"/>
        <v>0</v>
      </c>
      <c r="AC91" s="679">
        <f t="shared" si="38"/>
        <v>0</v>
      </c>
      <c r="AD91" s="679">
        <f t="shared" si="39"/>
        <v>0</v>
      </c>
      <c r="AE91" s="610"/>
    </row>
    <row r="92" spans="1:31" ht="24.95" customHeight="1" x14ac:dyDescent="0.3">
      <c r="A92" s="749"/>
      <c r="B92" s="750" t="s">
        <v>520</v>
      </c>
      <c r="C92" s="740"/>
      <c r="D92" s="754"/>
      <c r="E92" s="755"/>
      <c r="F92" s="753"/>
      <c r="G92" s="755"/>
      <c r="H92" s="753"/>
      <c r="I92" s="755"/>
      <c r="J92" s="753"/>
      <c r="K92" s="755"/>
      <c r="L92" s="753"/>
      <c r="M92" s="755"/>
      <c r="N92" s="744"/>
      <c r="O92" s="745">
        <f t="shared" si="28"/>
        <v>0</v>
      </c>
      <c r="P92" s="756" t="e">
        <f>(O92/O112)*100</f>
        <v>#DIV/0!</v>
      </c>
      <c r="Q92" s="747"/>
      <c r="R92" s="677" t="e">
        <f t="shared" si="40"/>
        <v>#DIV/0!</v>
      </c>
      <c r="S92" s="757"/>
      <c r="U92" s="679">
        <f t="shared" si="30"/>
        <v>0</v>
      </c>
      <c r="V92" s="679">
        <f t="shared" si="31"/>
        <v>0</v>
      </c>
      <c r="W92" s="679">
        <f t="shared" si="32"/>
        <v>0</v>
      </c>
      <c r="X92" s="679">
        <f t="shared" si="33"/>
        <v>0</v>
      </c>
      <c r="Y92" s="679">
        <f t="shared" si="34"/>
        <v>0</v>
      </c>
      <c r="Z92" s="679">
        <f t="shared" si="35"/>
        <v>0</v>
      </c>
      <c r="AA92" s="679">
        <f t="shared" si="36"/>
        <v>0</v>
      </c>
      <c r="AB92" s="679">
        <f t="shared" si="37"/>
        <v>0</v>
      </c>
      <c r="AC92" s="679">
        <f t="shared" si="38"/>
        <v>0</v>
      </c>
      <c r="AD92" s="679">
        <f t="shared" si="39"/>
        <v>0</v>
      </c>
      <c r="AE92" s="610"/>
    </row>
    <row r="93" spans="1:31" ht="24.95" customHeight="1" x14ac:dyDescent="0.3">
      <c r="A93" s="749">
        <v>7</v>
      </c>
      <c r="B93" s="750" t="s">
        <v>521</v>
      </c>
      <c r="C93" s="740" t="s">
        <v>522</v>
      </c>
      <c r="D93" s="754"/>
      <c r="E93" s="755"/>
      <c r="F93" s="753"/>
      <c r="G93" s="755"/>
      <c r="H93" s="753"/>
      <c r="I93" s="755"/>
      <c r="J93" s="753"/>
      <c r="K93" s="755"/>
      <c r="L93" s="753"/>
      <c r="M93" s="755"/>
      <c r="N93" s="744">
        <f t="shared" si="29"/>
        <v>0</v>
      </c>
      <c r="O93" s="745">
        <f t="shared" si="28"/>
        <v>0</v>
      </c>
      <c r="P93" s="756" t="e">
        <f>(O93/O112)*100</f>
        <v>#DIV/0!</v>
      </c>
      <c r="Q93" s="747"/>
      <c r="R93" s="677" t="e">
        <f t="shared" si="40"/>
        <v>#DIV/0!</v>
      </c>
      <c r="S93" s="753">
        <v>12150</v>
      </c>
      <c r="U93" s="679">
        <f t="shared" si="30"/>
        <v>0</v>
      </c>
      <c r="V93" s="679">
        <f t="shared" si="31"/>
        <v>0</v>
      </c>
      <c r="W93" s="679">
        <f t="shared" si="32"/>
        <v>0</v>
      </c>
      <c r="X93" s="679">
        <f t="shared" si="33"/>
        <v>0</v>
      </c>
      <c r="Y93" s="679">
        <f t="shared" si="34"/>
        <v>0</v>
      </c>
      <c r="Z93" s="679">
        <f t="shared" si="35"/>
        <v>0</v>
      </c>
      <c r="AA93" s="679">
        <f t="shared" si="36"/>
        <v>0</v>
      </c>
      <c r="AB93" s="679">
        <f t="shared" si="37"/>
        <v>0</v>
      </c>
      <c r="AC93" s="679">
        <f t="shared" si="38"/>
        <v>0</v>
      </c>
      <c r="AD93" s="679">
        <f t="shared" si="39"/>
        <v>0</v>
      </c>
      <c r="AE93" s="610"/>
    </row>
    <row r="94" spans="1:31" ht="24.95" customHeight="1" x14ac:dyDescent="0.3">
      <c r="A94" s="749">
        <v>8</v>
      </c>
      <c r="B94" s="750"/>
      <c r="C94" s="739" t="s">
        <v>523</v>
      </c>
      <c r="D94" s="754"/>
      <c r="E94" s="755"/>
      <c r="F94" s="753"/>
      <c r="G94" s="755"/>
      <c r="H94" s="753"/>
      <c r="I94" s="755"/>
      <c r="J94" s="753"/>
      <c r="K94" s="755"/>
      <c r="L94" s="753"/>
      <c r="M94" s="755"/>
      <c r="N94" s="744">
        <f t="shared" si="29"/>
        <v>0</v>
      </c>
      <c r="O94" s="745">
        <f t="shared" si="28"/>
        <v>0</v>
      </c>
      <c r="P94" s="756" t="e">
        <f>(O94/O112)*100</f>
        <v>#DIV/0!</v>
      </c>
      <c r="Q94" s="747"/>
      <c r="R94" s="677" t="e">
        <f t="shared" si="40"/>
        <v>#DIV/0!</v>
      </c>
      <c r="S94" s="753">
        <v>10800</v>
      </c>
      <c r="U94" s="679">
        <f t="shared" si="30"/>
        <v>0</v>
      </c>
      <c r="V94" s="679">
        <f t="shared" si="31"/>
        <v>0</v>
      </c>
      <c r="W94" s="679">
        <f t="shared" si="32"/>
        <v>0</v>
      </c>
      <c r="X94" s="679">
        <f t="shared" si="33"/>
        <v>0</v>
      </c>
      <c r="Y94" s="679">
        <f t="shared" si="34"/>
        <v>0</v>
      </c>
      <c r="Z94" s="679">
        <f t="shared" si="35"/>
        <v>0</v>
      </c>
      <c r="AA94" s="679">
        <f t="shared" si="36"/>
        <v>0</v>
      </c>
      <c r="AB94" s="679">
        <f t="shared" si="37"/>
        <v>0</v>
      </c>
      <c r="AC94" s="679">
        <f t="shared" si="38"/>
        <v>0</v>
      </c>
      <c r="AD94" s="679">
        <f t="shared" si="39"/>
        <v>0</v>
      </c>
      <c r="AE94" s="610"/>
    </row>
    <row r="95" spans="1:31" ht="24.95" customHeight="1" x14ac:dyDescent="0.3">
      <c r="A95" s="749">
        <v>9</v>
      </c>
      <c r="B95" s="750" t="s">
        <v>524</v>
      </c>
      <c r="C95" s="740" t="s">
        <v>525</v>
      </c>
      <c r="D95" s="754"/>
      <c r="E95" s="755"/>
      <c r="F95" s="753"/>
      <c r="G95" s="755"/>
      <c r="H95" s="753"/>
      <c r="I95" s="755"/>
      <c r="J95" s="753"/>
      <c r="K95" s="755"/>
      <c r="L95" s="753"/>
      <c r="M95" s="755"/>
      <c r="N95" s="744">
        <f t="shared" si="29"/>
        <v>0</v>
      </c>
      <c r="O95" s="745">
        <f t="shared" si="28"/>
        <v>0</v>
      </c>
      <c r="P95" s="756" t="e">
        <f>(O95/O112)*100</f>
        <v>#DIV/0!</v>
      </c>
      <c r="Q95" s="747"/>
      <c r="R95" s="677" t="e">
        <f t="shared" si="40"/>
        <v>#DIV/0!</v>
      </c>
      <c r="S95" s="753">
        <v>9450</v>
      </c>
      <c r="U95" s="679">
        <f t="shared" si="30"/>
        <v>0</v>
      </c>
      <c r="V95" s="679">
        <f t="shared" si="31"/>
        <v>0</v>
      </c>
      <c r="W95" s="679">
        <f t="shared" si="32"/>
        <v>0</v>
      </c>
      <c r="X95" s="679">
        <f t="shared" si="33"/>
        <v>0</v>
      </c>
      <c r="Y95" s="679">
        <f t="shared" si="34"/>
        <v>0</v>
      </c>
      <c r="Z95" s="679">
        <f t="shared" si="35"/>
        <v>0</v>
      </c>
      <c r="AA95" s="679">
        <f t="shared" si="36"/>
        <v>0</v>
      </c>
      <c r="AB95" s="679">
        <f t="shared" si="37"/>
        <v>0</v>
      </c>
      <c r="AC95" s="679">
        <f t="shared" si="38"/>
        <v>0</v>
      </c>
      <c r="AD95" s="679">
        <f t="shared" si="39"/>
        <v>0</v>
      </c>
      <c r="AE95" s="610"/>
    </row>
    <row r="96" spans="1:31" ht="24.95" customHeight="1" x14ac:dyDescent="0.3">
      <c r="A96" s="749">
        <v>10</v>
      </c>
      <c r="B96" s="750" t="s">
        <v>526</v>
      </c>
      <c r="C96" s="740" t="s">
        <v>527</v>
      </c>
      <c r="D96" s="754"/>
      <c r="E96" s="755"/>
      <c r="F96" s="753"/>
      <c r="G96" s="755"/>
      <c r="H96" s="753"/>
      <c r="I96" s="755"/>
      <c r="J96" s="753"/>
      <c r="K96" s="755"/>
      <c r="L96" s="753"/>
      <c r="M96" s="755"/>
      <c r="N96" s="744">
        <f t="shared" si="29"/>
        <v>0</v>
      </c>
      <c r="O96" s="745">
        <f t="shared" si="28"/>
        <v>0</v>
      </c>
      <c r="P96" s="756" t="e">
        <f>(O96/O112)*100</f>
        <v>#DIV/0!</v>
      </c>
      <c r="Q96" s="747"/>
      <c r="R96" s="677" t="e">
        <f t="shared" si="40"/>
        <v>#DIV/0!</v>
      </c>
      <c r="S96" s="753">
        <v>12150</v>
      </c>
      <c r="U96" s="679">
        <f t="shared" si="30"/>
        <v>0</v>
      </c>
      <c r="V96" s="679">
        <f t="shared" si="31"/>
        <v>0</v>
      </c>
      <c r="W96" s="679">
        <f t="shared" si="32"/>
        <v>0</v>
      </c>
      <c r="X96" s="679">
        <f t="shared" si="33"/>
        <v>0</v>
      </c>
      <c r="Y96" s="679">
        <f t="shared" si="34"/>
        <v>0</v>
      </c>
      <c r="Z96" s="679">
        <f t="shared" si="35"/>
        <v>0</v>
      </c>
      <c r="AA96" s="679">
        <f t="shared" si="36"/>
        <v>0</v>
      </c>
      <c r="AB96" s="679">
        <f t="shared" si="37"/>
        <v>0</v>
      </c>
      <c r="AC96" s="679">
        <f t="shared" si="38"/>
        <v>0</v>
      </c>
      <c r="AD96" s="679">
        <f t="shared" si="39"/>
        <v>0</v>
      </c>
      <c r="AE96" s="610"/>
    </row>
    <row r="97" spans="1:31" ht="24.95" customHeight="1" x14ac:dyDescent="0.3">
      <c r="A97" s="749">
        <v>11</v>
      </c>
      <c r="B97" s="750" t="s">
        <v>528</v>
      </c>
      <c r="C97" s="740" t="s">
        <v>529</v>
      </c>
      <c r="D97" s="754"/>
      <c r="E97" s="755"/>
      <c r="F97" s="753"/>
      <c r="G97" s="755"/>
      <c r="H97" s="753"/>
      <c r="I97" s="755"/>
      <c r="J97" s="753"/>
      <c r="K97" s="755"/>
      <c r="L97" s="753"/>
      <c r="M97" s="755"/>
      <c r="N97" s="744">
        <f t="shared" si="29"/>
        <v>0</v>
      </c>
      <c r="O97" s="745">
        <f t="shared" si="28"/>
        <v>0</v>
      </c>
      <c r="P97" s="756" t="e">
        <f>(O97/O112)*100</f>
        <v>#DIV/0!</v>
      </c>
      <c r="Q97" s="747"/>
      <c r="R97" s="677" t="e">
        <f t="shared" si="40"/>
        <v>#DIV/0!</v>
      </c>
      <c r="S97" s="753">
        <v>20250</v>
      </c>
      <c r="U97" s="679">
        <f t="shared" si="30"/>
        <v>0</v>
      </c>
      <c r="V97" s="679">
        <f t="shared" si="31"/>
        <v>0</v>
      </c>
      <c r="W97" s="679">
        <f t="shared" si="32"/>
        <v>0</v>
      </c>
      <c r="X97" s="679">
        <f t="shared" si="33"/>
        <v>0</v>
      </c>
      <c r="Y97" s="679">
        <f t="shared" si="34"/>
        <v>0</v>
      </c>
      <c r="Z97" s="679">
        <f t="shared" si="35"/>
        <v>0</v>
      </c>
      <c r="AA97" s="679">
        <f t="shared" si="36"/>
        <v>0</v>
      </c>
      <c r="AB97" s="679">
        <f t="shared" si="37"/>
        <v>0</v>
      </c>
      <c r="AC97" s="679">
        <f t="shared" si="38"/>
        <v>0</v>
      </c>
      <c r="AD97" s="679">
        <f t="shared" si="39"/>
        <v>0</v>
      </c>
      <c r="AE97" s="610"/>
    </row>
    <row r="98" spans="1:31" ht="24.95" customHeight="1" x14ac:dyDescent="0.3">
      <c r="A98" s="749">
        <v>12</v>
      </c>
      <c r="B98" s="750" t="s">
        <v>530</v>
      </c>
      <c r="C98" s="740"/>
      <c r="D98" s="754"/>
      <c r="E98" s="755"/>
      <c r="F98" s="753"/>
      <c r="G98" s="755"/>
      <c r="H98" s="753"/>
      <c r="I98" s="755"/>
      <c r="J98" s="753"/>
      <c r="K98" s="755"/>
      <c r="L98" s="753"/>
      <c r="M98" s="755"/>
      <c r="N98" s="744">
        <f t="shared" si="29"/>
        <v>0</v>
      </c>
      <c r="O98" s="745">
        <f t="shared" si="28"/>
        <v>0</v>
      </c>
      <c r="P98" s="756" t="e">
        <f>(O98/O112)*100</f>
        <v>#DIV/0!</v>
      </c>
      <c r="Q98" s="747"/>
      <c r="R98" s="677" t="e">
        <f t="shared" si="40"/>
        <v>#DIV/0!</v>
      </c>
      <c r="S98" s="753"/>
      <c r="U98" s="679">
        <f t="shared" si="30"/>
        <v>0</v>
      </c>
      <c r="V98" s="679">
        <f t="shared" si="31"/>
        <v>0</v>
      </c>
      <c r="W98" s="679">
        <f t="shared" si="32"/>
        <v>0</v>
      </c>
      <c r="X98" s="679">
        <f t="shared" si="33"/>
        <v>0</v>
      </c>
      <c r="Y98" s="679">
        <f t="shared" si="34"/>
        <v>0</v>
      </c>
      <c r="Z98" s="679">
        <f t="shared" si="35"/>
        <v>0</v>
      </c>
      <c r="AA98" s="679">
        <f t="shared" si="36"/>
        <v>0</v>
      </c>
      <c r="AB98" s="679">
        <f t="shared" si="37"/>
        <v>0</v>
      </c>
      <c r="AC98" s="679">
        <f t="shared" si="38"/>
        <v>0</v>
      </c>
      <c r="AD98" s="679">
        <f t="shared" si="39"/>
        <v>0</v>
      </c>
      <c r="AE98" s="610"/>
    </row>
    <row r="99" spans="1:31" ht="24.95" customHeight="1" x14ac:dyDescent="0.3">
      <c r="A99" s="749">
        <v>13</v>
      </c>
      <c r="B99" s="750" t="s">
        <v>532</v>
      </c>
      <c r="C99" s="740" t="s">
        <v>870</v>
      </c>
      <c r="D99" s="754"/>
      <c r="E99" s="755"/>
      <c r="F99" s="753"/>
      <c r="G99" s="755"/>
      <c r="H99" s="753"/>
      <c r="I99" s="755"/>
      <c r="J99" s="753"/>
      <c r="K99" s="755"/>
      <c r="L99" s="753"/>
      <c r="M99" s="755"/>
      <c r="N99" s="744">
        <f t="shared" si="29"/>
        <v>0</v>
      </c>
      <c r="O99" s="745">
        <f t="shared" si="28"/>
        <v>0</v>
      </c>
      <c r="P99" s="756" t="e">
        <f>(O99/O112)*100</f>
        <v>#DIV/0!</v>
      </c>
      <c r="Q99" s="747"/>
      <c r="R99" s="677" t="e">
        <f t="shared" si="40"/>
        <v>#DIV/0!</v>
      </c>
      <c r="S99" s="753">
        <v>6740</v>
      </c>
      <c r="U99" s="679">
        <f t="shared" si="30"/>
        <v>0</v>
      </c>
      <c r="V99" s="679">
        <f t="shared" si="31"/>
        <v>0</v>
      </c>
      <c r="W99" s="679">
        <f t="shared" si="32"/>
        <v>0</v>
      </c>
      <c r="X99" s="679">
        <f t="shared" si="33"/>
        <v>0</v>
      </c>
      <c r="Y99" s="679">
        <f t="shared" si="34"/>
        <v>0</v>
      </c>
      <c r="Z99" s="679">
        <f t="shared" si="35"/>
        <v>0</v>
      </c>
      <c r="AA99" s="679">
        <f t="shared" si="36"/>
        <v>0</v>
      </c>
      <c r="AB99" s="679">
        <f t="shared" si="37"/>
        <v>0</v>
      </c>
      <c r="AC99" s="679">
        <f t="shared" si="38"/>
        <v>0</v>
      </c>
      <c r="AD99" s="679">
        <f t="shared" si="39"/>
        <v>0</v>
      </c>
      <c r="AE99" s="610"/>
    </row>
    <row r="100" spans="1:31" ht="24.95" customHeight="1" x14ac:dyDescent="0.3">
      <c r="A100" s="749">
        <v>14</v>
      </c>
      <c r="B100" s="750" t="s">
        <v>534</v>
      </c>
      <c r="C100" s="740"/>
      <c r="D100" s="754"/>
      <c r="E100" s="755"/>
      <c r="F100" s="753"/>
      <c r="G100" s="755"/>
      <c r="H100" s="753"/>
      <c r="I100" s="755"/>
      <c r="J100" s="753"/>
      <c r="K100" s="755"/>
      <c r="L100" s="753"/>
      <c r="M100" s="755"/>
      <c r="N100" s="744">
        <f t="shared" si="29"/>
        <v>0</v>
      </c>
      <c r="O100" s="745">
        <f t="shared" si="28"/>
        <v>0</v>
      </c>
      <c r="P100" s="756" t="e">
        <f>(O100/O112)*100</f>
        <v>#DIV/0!</v>
      </c>
      <c r="Q100" s="747"/>
      <c r="R100" s="677" t="e">
        <f t="shared" si="40"/>
        <v>#DIV/0!</v>
      </c>
      <c r="S100" s="753"/>
      <c r="U100" s="679">
        <f t="shared" si="30"/>
        <v>0</v>
      </c>
      <c r="V100" s="679">
        <f t="shared" si="31"/>
        <v>0</v>
      </c>
      <c r="W100" s="679">
        <f t="shared" si="32"/>
        <v>0</v>
      </c>
      <c r="X100" s="679">
        <f t="shared" si="33"/>
        <v>0</v>
      </c>
      <c r="Y100" s="679">
        <f t="shared" si="34"/>
        <v>0</v>
      </c>
      <c r="Z100" s="679">
        <f t="shared" si="35"/>
        <v>0</v>
      </c>
      <c r="AA100" s="679">
        <f t="shared" si="36"/>
        <v>0</v>
      </c>
      <c r="AB100" s="679">
        <f t="shared" si="37"/>
        <v>0</v>
      </c>
      <c r="AC100" s="679">
        <f t="shared" si="38"/>
        <v>0</v>
      </c>
      <c r="AD100" s="679">
        <f t="shared" si="39"/>
        <v>0</v>
      </c>
      <c r="AE100" s="610"/>
    </row>
    <row r="101" spans="1:31" ht="24.95" customHeight="1" x14ac:dyDescent="0.3">
      <c r="A101" s="749">
        <v>15</v>
      </c>
      <c r="B101" s="750" t="s">
        <v>536</v>
      </c>
      <c r="C101" s="740"/>
      <c r="D101" s="758"/>
      <c r="E101" s="759"/>
      <c r="F101" s="752"/>
      <c r="G101" s="759"/>
      <c r="H101" s="752"/>
      <c r="I101" s="759"/>
      <c r="J101" s="752"/>
      <c r="K101" s="759"/>
      <c r="L101" s="752"/>
      <c r="M101" s="759"/>
      <c r="N101" s="744">
        <f t="shared" si="29"/>
        <v>0</v>
      </c>
      <c r="O101" s="745">
        <f t="shared" si="28"/>
        <v>0</v>
      </c>
      <c r="P101" s="760" t="e">
        <f>(O101/O112)*100</f>
        <v>#DIV/0!</v>
      </c>
      <c r="Q101" s="761"/>
      <c r="R101" s="677" t="e">
        <f t="shared" si="40"/>
        <v>#DIV/0!</v>
      </c>
      <c r="S101" s="753"/>
      <c r="U101" s="679">
        <f t="shared" si="30"/>
        <v>0</v>
      </c>
      <c r="V101" s="679">
        <f t="shared" si="31"/>
        <v>0</v>
      </c>
      <c r="W101" s="679">
        <f t="shared" si="32"/>
        <v>0</v>
      </c>
      <c r="X101" s="679">
        <f t="shared" si="33"/>
        <v>0</v>
      </c>
      <c r="Y101" s="679">
        <f t="shared" si="34"/>
        <v>0</v>
      </c>
      <c r="Z101" s="679">
        <f t="shared" si="35"/>
        <v>0</v>
      </c>
      <c r="AA101" s="679">
        <f t="shared" si="36"/>
        <v>0</v>
      </c>
      <c r="AB101" s="679">
        <f t="shared" si="37"/>
        <v>0</v>
      </c>
      <c r="AC101" s="679">
        <f t="shared" si="38"/>
        <v>0</v>
      </c>
      <c r="AD101" s="679">
        <f t="shared" si="39"/>
        <v>0</v>
      </c>
      <c r="AE101" s="610"/>
    </row>
    <row r="102" spans="1:31" ht="24.95" customHeight="1" x14ac:dyDescent="0.3">
      <c r="A102" s="749">
        <v>16</v>
      </c>
      <c r="B102" s="750" t="s">
        <v>537</v>
      </c>
      <c r="C102" s="740"/>
      <c r="D102" s="758"/>
      <c r="E102" s="759"/>
      <c r="F102" s="752"/>
      <c r="G102" s="759"/>
      <c r="H102" s="752"/>
      <c r="I102" s="759"/>
      <c r="J102" s="752"/>
      <c r="K102" s="759"/>
      <c r="L102" s="752"/>
      <c r="M102" s="759"/>
      <c r="N102" s="744">
        <f t="shared" si="29"/>
        <v>0</v>
      </c>
      <c r="O102" s="745">
        <f t="shared" si="28"/>
        <v>0</v>
      </c>
      <c r="P102" s="760" t="e">
        <f>(O102/O112)*100</f>
        <v>#DIV/0!</v>
      </c>
      <c r="Q102" s="761"/>
      <c r="R102" s="677" t="e">
        <f t="shared" si="40"/>
        <v>#DIV/0!</v>
      </c>
      <c r="S102" s="753"/>
      <c r="U102" s="679">
        <f t="shared" si="30"/>
        <v>0</v>
      </c>
      <c r="V102" s="679">
        <f t="shared" si="31"/>
        <v>0</v>
      </c>
      <c r="W102" s="679">
        <f t="shared" si="32"/>
        <v>0</v>
      </c>
      <c r="X102" s="679">
        <f t="shared" si="33"/>
        <v>0</v>
      </c>
      <c r="Y102" s="679">
        <f t="shared" si="34"/>
        <v>0</v>
      </c>
      <c r="Z102" s="679">
        <f t="shared" si="35"/>
        <v>0</v>
      </c>
      <c r="AA102" s="679">
        <f t="shared" si="36"/>
        <v>0</v>
      </c>
      <c r="AB102" s="679">
        <f t="shared" si="37"/>
        <v>0</v>
      </c>
      <c r="AC102" s="679">
        <f t="shared" si="38"/>
        <v>0</v>
      </c>
      <c r="AD102" s="679">
        <f t="shared" si="39"/>
        <v>0</v>
      </c>
      <c r="AE102" s="610"/>
    </row>
    <row r="103" spans="1:31" ht="24.95" customHeight="1" x14ac:dyDescent="0.3">
      <c r="A103" s="749"/>
      <c r="B103" s="750" t="s">
        <v>538</v>
      </c>
      <c r="C103" s="740"/>
      <c r="D103" s="758"/>
      <c r="E103" s="759"/>
      <c r="F103" s="752"/>
      <c r="G103" s="759"/>
      <c r="H103" s="752"/>
      <c r="I103" s="759"/>
      <c r="J103" s="752"/>
      <c r="K103" s="759"/>
      <c r="L103" s="752"/>
      <c r="M103" s="759"/>
      <c r="N103" s="744">
        <f t="shared" si="29"/>
        <v>0</v>
      </c>
      <c r="O103" s="745">
        <f t="shared" si="28"/>
        <v>0</v>
      </c>
      <c r="P103" s="760" t="e">
        <f>(O103/O112)*100</f>
        <v>#DIV/0!</v>
      </c>
      <c r="Q103" s="761"/>
      <c r="R103" s="677" t="e">
        <f t="shared" si="40"/>
        <v>#DIV/0!</v>
      </c>
      <c r="S103" s="753"/>
      <c r="U103" s="679">
        <f t="shared" si="30"/>
        <v>0</v>
      </c>
      <c r="V103" s="679">
        <f t="shared" si="31"/>
        <v>0</v>
      </c>
      <c r="W103" s="679">
        <f t="shared" si="32"/>
        <v>0</v>
      </c>
      <c r="X103" s="679">
        <f t="shared" si="33"/>
        <v>0</v>
      </c>
      <c r="Y103" s="679">
        <f t="shared" si="34"/>
        <v>0</v>
      </c>
      <c r="Z103" s="679">
        <f t="shared" si="35"/>
        <v>0</v>
      </c>
      <c r="AA103" s="679">
        <f t="shared" si="36"/>
        <v>0</v>
      </c>
      <c r="AB103" s="679">
        <f t="shared" si="37"/>
        <v>0</v>
      </c>
      <c r="AC103" s="679">
        <f t="shared" si="38"/>
        <v>0</v>
      </c>
      <c r="AD103" s="679">
        <f t="shared" si="39"/>
        <v>0</v>
      </c>
      <c r="AE103" s="610"/>
    </row>
    <row r="104" spans="1:31" ht="24.95" customHeight="1" x14ac:dyDescent="0.3">
      <c r="A104" s="749"/>
      <c r="B104" s="750" t="s">
        <v>539</v>
      </c>
      <c r="C104" s="740"/>
      <c r="D104" s="754"/>
      <c r="E104" s="755"/>
      <c r="F104" s="753"/>
      <c r="G104" s="755"/>
      <c r="H104" s="753"/>
      <c r="I104" s="755"/>
      <c r="J104" s="753"/>
      <c r="K104" s="755"/>
      <c r="L104" s="753"/>
      <c r="M104" s="755"/>
      <c r="N104" s="744">
        <f t="shared" si="29"/>
        <v>0</v>
      </c>
      <c r="O104" s="745">
        <f t="shared" si="28"/>
        <v>0</v>
      </c>
      <c r="P104" s="756" t="e">
        <f>(O104/O112)*100</f>
        <v>#DIV/0!</v>
      </c>
      <c r="Q104" s="751"/>
      <c r="R104" s="677" t="e">
        <f t="shared" si="40"/>
        <v>#DIV/0!</v>
      </c>
      <c r="S104" s="753"/>
      <c r="U104" s="679">
        <f t="shared" si="30"/>
        <v>0</v>
      </c>
      <c r="V104" s="679">
        <f t="shared" si="31"/>
        <v>0</v>
      </c>
      <c r="W104" s="679">
        <f t="shared" si="32"/>
        <v>0</v>
      </c>
      <c r="X104" s="679">
        <f t="shared" si="33"/>
        <v>0</v>
      </c>
      <c r="Y104" s="679">
        <f t="shared" si="34"/>
        <v>0</v>
      </c>
      <c r="Z104" s="679">
        <f t="shared" si="35"/>
        <v>0</v>
      </c>
      <c r="AA104" s="679">
        <f t="shared" si="36"/>
        <v>0</v>
      </c>
      <c r="AB104" s="679">
        <f t="shared" si="37"/>
        <v>0</v>
      </c>
      <c r="AC104" s="679">
        <f t="shared" si="38"/>
        <v>0</v>
      </c>
      <c r="AD104" s="679">
        <f t="shared" si="39"/>
        <v>0</v>
      </c>
      <c r="AE104" s="610"/>
    </row>
    <row r="105" spans="1:31" ht="24.95" customHeight="1" x14ac:dyDescent="0.3">
      <c r="A105" s="749"/>
      <c r="B105" s="750" t="s">
        <v>540</v>
      </c>
      <c r="C105" s="740"/>
      <c r="D105" s="754"/>
      <c r="E105" s="755"/>
      <c r="F105" s="753"/>
      <c r="G105" s="755"/>
      <c r="H105" s="753"/>
      <c r="I105" s="755"/>
      <c r="J105" s="753"/>
      <c r="K105" s="755"/>
      <c r="L105" s="753"/>
      <c r="M105" s="755"/>
      <c r="N105" s="744">
        <f t="shared" si="29"/>
        <v>0</v>
      </c>
      <c r="O105" s="745">
        <f t="shared" si="28"/>
        <v>0</v>
      </c>
      <c r="P105" s="756" t="e">
        <f>(O105/O112)*100</f>
        <v>#DIV/0!</v>
      </c>
      <c r="Q105" s="751"/>
      <c r="R105" s="677" t="e">
        <f t="shared" si="40"/>
        <v>#DIV/0!</v>
      </c>
      <c r="S105" s="753"/>
      <c r="U105" s="679">
        <f t="shared" si="30"/>
        <v>0</v>
      </c>
      <c r="V105" s="679">
        <f t="shared" si="31"/>
        <v>0</v>
      </c>
      <c r="W105" s="679">
        <f t="shared" si="32"/>
        <v>0</v>
      </c>
      <c r="X105" s="679">
        <f t="shared" si="33"/>
        <v>0</v>
      </c>
      <c r="Y105" s="679">
        <f t="shared" si="34"/>
        <v>0</v>
      </c>
      <c r="Z105" s="679">
        <f t="shared" si="35"/>
        <v>0</v>
      </c>
      <c r="AA105" s="679">
        <f t="shared" si="36"/>
        <v>0</v>
      </c>
      <c r="AB105" s="679">
        <f t="shared" si="37"/>
        <v>0</v>
      </c>
      <c r="AC105" s="679">
        <f t="shared" si="38"/>
        <v>0</v>
      </c>
      <c r="AD105" s="679">
        <f t="shared" si="39"/>
        <v>0</v>
      </c>
      <c r="AE105" s="610"/>
    </row>
    <row r="106" spans="1:31" ht="24.95" customHeight="1" x14ac:dyDescent="0.3">
      <c r="A106" s="749"/>
      <c r="B106" s="750" t="s">
        <v>541</v>
      </c>
      <c r="C106" s="740"/>
      <c r="D106" s="754"/>
      <c r="E106" s="755"/>
      <c r="F106" s="753"/>
      <c r="G106" s="755"/>
      <c r="H106" s="753"/>
      <c r="I106" s="755"/>
      <c r="J106" s="753"/>
      <c r="K106" s="755"/>
      <c r="L106" s="753"/>
      <c r="M106" s="755"/>
      <c r="N106" s="744">
        <f t="shared" si="29"/>
        <v>0</v>
      </c>
      <c r="O106" s="745">
        <f t="shared" si="28"/>
        <v>0</v>
      </c>
      <c r="P106" s="756" t="e">
        <f>(O106/O112)*100</f>
        <v>#DIV/0!</v>
      </c>
      <c r="Q106" s="751"/>
      <c r="R106" s="677" t="e">
        <f t="shared" si="40"/>
        <v>#DIV/0!</v>
      </c>
      <c r="S106" s="753"/>
      <c r="U106" s="679">
        <f t="shared" si="30"/>
        <v>0</v>
      </c>
      <c r="V106" s="679">
        <f t="shared" si="31"/>
        <v>0</v>
      </c>
      <c r="W106" s="679">
        <f t="shared" si="32"/>
        <v>0</v>
      </c>
      <c r="X106" s="679">
        <f t="shared" si="33"/>
        <v>0</v>
      </c>
      <c r="Y106" s="679">
        <f t="shared" si="34"/>
        <v>0</v>
      </c>
      <c r="Z106" s="679">
        <f t="shared" si="35"/>
        <v>0</v>
      </c>
      <c r="AA106" s="679">
        <f t="shared" si="36"/>
        <v>0</v>
      </c>
      <c r="AB106" s="679">
        <f t="shared" si="37"/>
        <v>0</v>
      </c>
      <c r="AC106" s="679">
        <f t="shared" si="38"/>
        <v>0</v>
      </c>
      <c r="AD106" s="679">
        <f t="shared" si="39"/>
        <v>0</v>
      </c>
      <c r="AE106" s="610"/>
    </row>
    <row r="107" spans="1:31" ht="24.95" customHeight="1" x14ac:dyDescent="0.3">
      <c r="A107" s="749"/>
      <c r="B107" s="750"/>
      <c r="C107" s="739"/>
      <c r="D107" s="754"/>
      <c r="E107" s="755"/>
      <c r="F107" s="753"/>
      <c r="G107" s="755"/>
      <c r="H107" s="753"/>
      <c r="I107" s="755"/>
      <c r="J107" s="753"/>
      <c r="K107" s="755"/>
      <c r="L107" s="753"/>
      <c r="M107" s="755"/>
      <c r="N107" s="744">
        <f t="shared" si="29"/>
        <v>0</v>
      </c>
      <c r="O107" s="745">
        <f t="shared" si="28"/>
        <v>0</v>
      </c>
      <c r="P107" s="756" t="e">
        <f>(O107/O112)*100</f>
        <v>#DIV/0!</v>
      </c>
      <c r="Q107" s="751"/>
      <c r="R107" s="677" t="e">
        <f t="shared" si="40"/>
        <v>#DIV/0!</v>
      </c>
      <c r="S107" s="753"/>
      <c r="U107" s="679">
        <f t="shared" si="30"/>
        <v>0</v>
      </c>
      <c r="V107" s="679">
        <f t="shared" si="31"/>
        <v>0</v>
      </c>
      <c r="W107" s="679">
        <f t="shared" si="32"/>
        <v>0</v>
      </c>
      <c r="X107" s="679">
        <f t="shared" si="33"/>
        <v>0</v>
      </c>
      <c r="Y107" s="679">
        <f t="shared" si="34"/>
        <v>0</v>
      </c>
      <c r="Z107" s="679">
        <f t="shared" si="35"/>
        <v>0</v>
      </c>
      <c r="AA107" s="679">
        <f t="shared" si="36"/>
        <v>0</v>
      </c>
      <c r="AB107" s="679">
        <f t="shared" si="37"/>
        <v>0</v>
      </c>
      <c r="AC107" s="679">
        <f t="shared" si="38"/>
        <v>0</v>
      </c>
      <c r="AD107" s="679">
        <f t="shared" si="39"/>
        <v>0</v>
      </c>
      <c r="AE107" s="610"/>
    </row>
    <row r="108" spans="1:31" ht="24.95" customHeight="1" x14ac:dyDescent="0.3">
      <c r="A108" s="749"/>
      <c r="B108" s="750" t="s">
        <v>542</v>
      </c>
      <c r="C108" s="740"/>
      <c r="D108" s="754"/>
      <c r="E108" s="755"/>
      <c r="F108" s="753"/>
      <c r="G108" s="755"/>
      <c r="H108" s="753"/>
      <c r="I108" s="755"/>
      <c r="J108" s="753"/>
      <c r="K108" s="755"/>
      <c r="L108" s="753"/>
      <c r="M108" s="755"/>
      <c r="N108" s="744">
        <f t="shared" si="29"/>
        <v>0</v>
      </c>
      <c r="O108" s="745">
        <f t="shared" si="28"/>
        <v>0</v>
      </c>
      <c r="P108" s="756" t="e">
        <f>(O108/O112)*100</f>
        <v>#DIV/0!</v>
      </c>
      <c r="Q108" s="751"/>
      <c r="R108" s="677" t="e">
        <f t="shared" si="40"/>
        <v>#DIV/0!</v>
      </c>
      <c r="S108" s="753"/>
      <c r="U108" s="679">
        <f t="shared" si="30"/>
        <v>0</v>
      </c>
      <c r="V108" s="679">
        <f t="shared" si="31"/>
        <v>0</v>
      </c>
      <c r="W108" s="679">
        <f t="shared" si="32"/>
        <v>0</v>
      </c>
      <c r="X108" s="679">
        <f t="shared" si="33"/>
        <v>0</v>
      </c>
      <c r="Y108" s="679">
        <f t="shared" si="34"/>
        <v>0</v>
      </c>
      <c r="Z108" s="679">
        <f t="shared" si="35"/>
        <v>0</v>
      </c>
      <c r="AA108" s="679">
        <f t="shared" si="36"/>
        <v>0</v>
      </c>
      <c r="AB108" s="679">
        <f t="shared" si="37"/>
        <v>0</v>
      </c>
      <c r="AC108" s="679">
        <f t="shared" si="38"/>
        <v>0</v>
      </c>
      <c r="AD108" s="679">
        <f t="shared" si="39"/>
        <v>0</v>
      </c>
      <c r="AE108" s="610"/>
    </row>
    <row r="109" spans="1:31" ht="24.95" customHeight="1" x14ac:dyDescent="0.3">
      <c r="A109" s="749"/>
      <c r="B109" s="750" t="s">
        <v>543</v>
      </c>
      <c r="C109" s="740"/>
      <c r="D109" s="754"/>
      <c r="E109" s="755"/>
      <c r="F109" s="753"/>
      <c r="G109" s="755"/>
      <c r="H109" s="753"/>
      <c r="I109" s="755"/>
      <c r="J109" s="753"/>
      <c r="K109" s="755"/>
      <c r="L109" s="753"/>
      <c r="M109" s="755"/>
      <c r="N109" s="744">
        <f t="shared" si="29"/>
        <v>0</v>
      </c>
      <c r="O109" s="745">
        <f t="shared" si="28"/>
        <v>0</v>
      </c>
      <c r="P109" s="756" t="e">
        <f>(O109/O112)*100</f>
        <v>#DIV/0!</v>
      </c>
      <c r="Q109" s="751"/>
      <c r="R109" s="677" t="e">
        <f t="shared" si="40"/>
        <v>#DIV/0!</v>
      </c>
      <c r="S109" s="753"/>
      <c r="U109" s="679">
        <f t="shared" si="30"/>
        <v>0</v>
      </c>
      <c r="V109" s="679">
        <f t="shared" si="31"/>
        <v>0</v>
      </c>
      <c r="W109" s="679">
        <f t="shared" si="32"/>
        <v>0</v>
      </c>
      <c r="X109" s="679">
        <f t="shared" si="33"/>
        <v>0</v>
      </c>
      <c r="Y109" s="679">
        <f t="shared" si="34"/>
        <v>0</v>
      </c>
      <c r="Z109" s="679">
        <f t="shared" si="35"/>
        <v>0</v>
      </c>
      <c r="AA109" s="679">
        <f t="shared" si="36"/>
        <v>0</v>
      </c>
      <c r="AB109" s="679">
        <f t="shared" si="37"/>
        <v>0</v>
      </c>
      <c r="AC109" s="679">
        <f t="shared" si="38"/>
        <v>0</v>
      </c>
      <c r="AD109" s="679">
        <f t="shared" si="39"/>
        <v>0</v>
      </c>
      <c r="AE109" s="610"/>
    </row>
    <row r="110" spans="1:31" ht="24.95" customHeight="1" thickBot="1" x14ac:dyDescent="0.35">
      <c r="A110" s="762"/>
      <c r="B110" s="763"/>
      <c r="C110" s="763"/>
      <c r="D110" s="764"/>
      <c r="E110" s="765"/>
      <c r="F110" s="766"/>
      <c r="G110" s="765"/>
      <c r="H110" s="767"/>
      <c r="I110" s="765"/>
      <c r="J110" s="766"/>
      <c r="K110" s="765"/>
      <c r="L110" s="766"/>
      <c r="M110" s="768"/>
      <c r="N110" s="744">
        <f t="shared" si="29"/>
        <v>0</v>
      </c>
      <c r="O110" s="745">
        <f t="shared" si="28"/>
        <v>0</v>
      </c>
      <c r="P110" s="769" t="e">
        <f>(O110/O112)*100</f>
        <v>#DIV/0!</v>
      </c>
      <c r="Q110" s="770"/>
      <c r="R110" s="677" t="e">
        <f t="shared" si="40"/>
        <v>#DIV/0!</v>
      </c>
      <c r="S110" s="767"/>
      <c r="U110" s="679">
        <f t="shared" si="30"/>
        <v>0</v>
      </c>
      <c r="V110" s="679">
        <f t="shared" si="31"/>
        <v>0</v>
      </c>
      <c r="W110" s="679">
        <f t="shared" si="32"/>
        <v>0</v>
      </c>
      <c r="X110" s="679">
        <f t="shared" si="33"/>
        <v>0</v>
      </c>
      <c r="Y110" s="679">
        <f t="shared" si="34"/>
        <v>0</v>
      </c>
      <c r="Z110" s="679">
        <f t="shared" si="35"/>
        <v>0</v>
      </c>
      <c r="AA110" s="679">
        <f t="shared" si="36"/>
        <v>0</v>
      </c>
      <c r="AB110" s="679">
        <f t="shared" si="37"/>
        <v>0</v>
      </c>
      <c r="AC110" s="679">
        <f t="shared" si="38"/>
        <v>0</v>
      </c>
      <c r="AD110" s="679">
        <f t="shared" si="39"/>
        <v>0</v>
      </c>
      <c r="AE110" s="610"/>
    </row>
    <row r="111" spans="1:31" ht="99.95" customHeight="1" thickBot="1" x14ac:dyDescent="0.25">
      <c r="A111" s="1459" t="s">
        <v>544</v>
      </c>
      <c r="B111" s="1460"/>
      <c r="C111" s="771" t="str">
        <f>A111</f>
        <v>TOTAL BEVERAGES</v>
      </c>
      <c r="D111" s="772">
        <f>U111</f>
        <v>0</v>
      </c>
      <c r="E111" s="773">
        <f>V111</f>
        <v>0</v>
      </c>
      <c r="F111" s="774">
        <f>W111</f>
        <v>0</v>
      </c>
      <c r="G111" s="775">
        <f t="shared" ref="G111:M111" si="41">X111</f>
        <v>0</v>
      </c>
      <c r="H111" s="774">
        <f t="shared" si="41"/>
        <v>0</v>
      </c>
      <c r="I111" s="775">
        <f t="shared" si="41"/>
        <v>0</v>
      </c>
      <c r="J111" s="774">
        <f t="shared" si="41"/>
        <v>0</v>
      </c>
      <c r="K111" s="774">
        <f t="shared" si="41"/>
        <v>0</v>
      </c>
      <c r="L111" s="774">
        <f t="shared" si="41"/>
        <v>0</v>
      </c>
      <c r="M111" s="775">
        <f t="shared" si="41"/>
        <v>0</v>
      </c>
      <c r="N111" s="776"/>
      <c r="O111" s="777">
        <f>SUM(D111:M111)</f>
        <v>0</v>
      </c>
      <c r="P111" s="778" t="e">
        <f>SUM(P86:P110)/100</f>
        <v>#DIV/0!</v>
      </c>
      <c r="Q111" s="779"/>
      <c r="R111" s="780" t="e">
        <f>SUM(R86:R110)/100</f>
        <v>#DIV/0!</v>
      </c>
      <c r="S111" s="781"/>
      <c r="U111" s="679">
        <f t="shared" ref="U111:AD111" si="42">SUM(U86:U110)</f>
        <v>0</v>
      </c>
      <c r="V111" s="679">
        <f t="shared" si="42"/>
        <v>0</v>
      </c>
      <c r="W111" s="679">
        <f t="shared" si="42"/>
        <v>0</v>
      </c>
      <c r="X111" s="679">
        <f t="shared" si="42"/>
        <v>0</v>
      </c>
      <c r="Y111" s="679">
        <f t="shared" si="42"/>
        <v>0</v>
      </c>
      <c r="Z111" s="679">
        <f t="shared" si="42"/>
        <v>0</v>
      </c>
      <c r="AA111" s="679">
        <f t="shared" si="42"/>
        <v>0</v>
      </c>
      <c r="AB111" s="679">
        <f t="shared" si="42"/>
        <v>0</v>
      </c>
      <c r="AC111" s="679">
        <f t="shared" si="42"/>
        <v>0</v>
      </c>
      <c r="AD111" s="679">
        <f t="shared" si="42"/>
        <v>0</v>
      </c>
      <c r="AE111" s="610"/>
    </row>
    <row r="112" spans="1:31" ht="99.95" customHeight="1" thickBot="1" x14ac:dyDescent="0.25">
      <c r="A112" s="1459" t="s">
        <v>545</v>
      </c>
      <c r="B112" s="1460"/>
      <c r="C112" s="771" t="str">
        <f>A112</f>
        <v>TOTAL SALES</v>
      </c>
      <c r="D112" s="782">
        <f t="shared" ref="D112:P112" si="43">D83+D111</f>
        <v>0</v>
      </c>
      <c r="E112" s="782">
        <f t="shared" si="43"/>
        <v>0</v>
      </c>
      <c r="F112" s="782">
        <f>F83+F111</f>
        <v>0</v>
      </c>
      <c r="G112" s="782">
        <f t="shared" si="43"/>
        <v>0</v>
      </c>
      <c r="H112" s="782">
        <f t="shared" si="43"/>
        <v>0</v>
      </c>
      <c r="I112" s="782">
        <f t="shared" si="43"/>
        <v>0</v>
      </c>
      <c r="J112" s="782">
        <f t="shared" si="43"/>
        <v>0</v>
      </c>
      <c r="K112" s="782">
        <f t="shared" si="43"/>
        <v>0</v>
      </c>
      <c r="L112" s="782">
        <f t="shared" si="43"/>
        <v>0</v>
      </c>
      <c r="M112" s="772">
        <f t="shared" si="43"/>
        <v>0</v>
      </c>
      <c r="N112" s="772">
        <f t="shared" si="43"/>
        <v>0</v>
      </c>
      <c r="O112" s="783">
        <f t="shared" si="43"/>
        <v>0</v>
      </c>
      <c r="P112" s="778" t="e">
        <f t="shared" si="43"/>
        <v>#DIV/0!</v>
      </c>
      <c r="Q112" s="779"/>
      <c r="R112" s="784" t="e">
        <f>R83+R111</f>
        <v>#DIV/0!</v>
      </c>
      <c r="S112" s="781"/>
      <c r="U112" s="610"/>
      <c r="V112" s="610"/>
      <c r="W112" s="610"/>
      <c r="X112" s="610"/>
      <c r="Y112" s="610"/>
      <c r="Z112" s="610"/>
      <c r="AA112" s="610"/>
      <c r="AB112" s="610"/>
      <c r="AC112" s="610"/>
      <c r="AD112" s="610"/>
      <c r="AE112" s="610"/>
    </row>
    <row r="113" spans="1:31" ht="30" customHeight="1" thickBot="1" x14ac:dyDescent="0.25">
      <c r="A113" s="1461" t="s">
        <v>546</v>
      </c>
      <c r="B113" s="1462"/>
      <c r="C113" s="785" t="str">
        <f>A113</f>
        <v>TOTAL CUSTOMER</v>
      </c>
      <c r="D113" s="786"/>
      <c r="E113" s="787"/>
      <c r="F113" s="787"/>
      <c r="G113" s="787"/>
      <c r="H113" s="788"/>
      <c r="I113" s="789"/>
      <c r="J113" s="790"/>
      <c r="K113" s="787"/>
      <c r="L113" s="787"/>
      <c r="M113" s="789"/>
      <c r="N113" s="791">
        <f>SUM(D113:M113)</f>
        <v>0</v>
      </c>
      <c r="O113" s="792"/>
      <c r="P113" s="793"/>
      <c r="Q113" s="794"/>
      <c r="R113" s="795"/>
      <c r="S113" s="792"/>
      <c r="U113" s="729"/>
      <c r="V113" s="729"/>
      <c r="W113" s="729"/>
      <c r="X113" s="729"/>
      <c r="Y113" s="729"/>
      <c r="Z113" s="610"/>
      <c r="AA113" s="610"/>
      <c r="AB113" s="610"/>
      <c r="AC113" s="610"/>
      <c r="AD113" s="610"/>
      <c r="AE113" s="610"/>
    </row>
    <row r="114" spans="1:31" ht="18" customHeight="1" x14ac:dyDescent="0.25">
      <c r="A114" s="77"/>
      <c r="N114" s="1463" t="s">
        <v>20</v>
      </c>
      <c r="O114" s="1463"/>
      <c r="U114" s="148"/>
    </row>
    <row r="115" spans="1:31" ht="32.25" customHeight="1" x14ac:dyDescent="0.2">
      <c r="A115" s="1464"/>
      <c r="B115" s="1465"/>
      <c r="C115" s="1465"/>
      <c r="D115" s="1465"/>
      <c r="E115" s="1465"/>
      <c r="F115" s="1465"/>
      <c r="G115" s="1465"/>
      <c r="H115" s="1465"/>
      <c r="I115" s="1465"/>
      <c r="J115" s="567"/>
      <c r="K115" s="567"/>
      <c r="L115" s="567"/>
      <c r="M115" s="567"/>
      <c r="U115" s="148"/>
      <c r="V115" s="796"/>
      <c r="W115" s="796"/>
      <c r="X115" s="796"/>
    </row>
    <row r="116" spans="1:31" ht="18" customHeight="1" x14ac:dyDescent="0.2">
      <c r="A116" s="1464"/>
      <c r="B116" s="1465"/>
      <c r="C116" s="1465"/>
      <c r="D116" s="1465"/>
      <c r="E116" s="1465"/>
      <c r="F116" s="1465"/>
      <c r="G116" s="1465"/>
      <c r="H116" s="1465"/>
      <c r="I116" s="1465"/>
      <c r="J116" s="567"/>
      <c r="K116" s="567"/>
      <c r="L116" s="567"/>
      <c r="M116" s="567"/>
      <c r="U116" s="148"/>
    </row>
    <row r="117" spans="1:31" ht="18" customHeight="1" x14ac:dyDescent="0.2">
      <c r="A117" s="1466"/>
      <c r="B117" s="1466"/>
      <c r="C117" s="1466"/>
      <c r="D117" s="1466"/>
      <c r="E117" s="1466"/>
      <c r="F117" s="1466"/>
      <c r="G117" s="1466"/>
      <c r="H117" s="1466"/>
      <c r="I117" s="1466"/>
      <c r="J117" s="567"/>
      <c r="K117" s="567"/>
      <c r="L117" s="567"/>
      <c r="M117" s="567"/>
      <c r="V117" s="656"/>
      <c r="W117" s="796"/>
      <c r="X117" s="796"/>
    </row>
    <row r="118" spans="1:31" ht="18" customHeight="1" x14ac:dyDescent="0.2">
      <c r="A118" s="1467"/>
      <c r="B118" s="1467"/>
      <c r="C118" s="1467"/>
      <c r="D118" s="1467"/>
      <c r="E118" s="1467"/>
      <c r="F118" s="1467"/>
      <c r="G118" s="1467"/>
      <c r="H118" s="1467"/>
      <c r="I118" s="1467"/>
      <c r="J118" s="567"/>
      <c r="K118" s="567"/>
      <c r="L118" s="567"/>
      <c r="M118" s="567"/>
      <c r="P118" s="797"/>
    </row>
    <row r="119" spans="1:31" ht="18" customHeight="1" x14ac:dyDescent="0.2">
      <c r="A119" s="1468"/>
      <c r="B119" s="1468"/>
      <c r="C119" s="1468"/>
      <c r="D119" s="1468"/>
      <c r="E119" s="1468"/>
      <c r="F119" s="1468"/>
      <c r="G119" s="1468"/>
      <c r="H119" s="1468"/>
      <c r="I119" s="1468"/>
      <c r="J119" s="567"/>
      <c r="K119" s="567"/>
      <c r="L119" s="567"/>
      <c r="M119" s="567"/>
      <c r="N119" s="1413"/>
      <c r="O119" s="1413"/>
      <c r="P119" s="798"/>
    </row>
    <row r="120" spans="1:31" ht="18" customHeight="1" x14ac:dyDescent="0.2">
      <c r="B120" s="567"/>
      <c r="C120" s="567"/>
      <c r="D120" s="567"/>
      <c r="E120" s="567"/>
      <c r="F120" s="567"/>
      <c r="G120" s="567"/>
      <c r="H120" s="567"/>
      <c r="I120" s="567"/>
      <c r="J120" s="567"/>
      <c r="K120" s="567"/>
      <c r="L120" s="567"/>
      <c r="M120" s="567"/>
      <c r="N120" s="64"/>
      <c r="O120" s="64"/>
      <c r="P120" s="798"/>
    </row>
    <row r="121" spans="1:31" ht="18" customHeight="1" x14ac:dyDescent="0.2">
      <c r="A121" s="513"/>
      <c r="B121" s="513"/>
      <c r="C121" s="513"/>
    </row>
    <row r="122" spans="1:31" ht="18" customHeight="1" x14ac:dyDescent="0.2">
      <c r="A122" s="148"/>
      <c r="B122" s="148"/>
      <c r="C122" s="148"/>
    </row>
    <row r="123" spans="1:31" ht="18" customHeight="1" x14ac:dyDescent="0.2">
      <c r="A123" s="148"/>
      <c r="B123" s="148"/>
      <c r="C123" s="148"/>
    </row>
    <row r="124" spans="1:31" ht="18" customHeight="1" x14ac:dyDescent="0.2">
      <c r="A124" s="148"/>
      <c r="B124" s="148"/>
      <c r="C124" s="148"/>
    </row>
    <row r="125" spans="1:31" ht="18" customHeight="1" x14ac:dyDescent="0.2">
      <c r="A125" s="148"/>
      <c r="B125" s="148"/>
      <c r="C125" s="148"/>
    </row>
    <row r="126" spans="1:31" ht="18" customHeight="1" x14ac:dyDescent="0.2">
      <c r="A126" s="148"/>
      <c r="B126" s="148"/>
      <c r="C126" s="148"/>
    </row>
    <row r="127" spans="1:31" ht="18" customHeight="1" x14ac:dyDescent="0.2">
      <c r="A127" s="148"/>
      <c r="B127" s="148"/>
      <c r="C127" s="148"/>
    </row>
    <row r="128" spans="1:31" ht="18" customHeight="1" x14ac:dyDescent="0.2">
      <c r="A128" s="148"/>
      <c r="B128" s="148"/>
      <c r="C128" s="148"/>
    </row>
    <row r="129" spans="1:3" ht="18" customHeight="1" x14ac:dyDescent="0.2">
      <c r="A129" s="799"/>
      <c r="B129" s="799"/>
      <c r="C129" s="799"/>
    </row>
    <row r="130" spans="1:3" ht="18" customHeight="1" x14ac:dyDescent="0.2">
      <c r="A130" s="799"/>
      <c r="B130" s="799"/>
      <c r="C130" s="799"/>
    </row>
    <row r="131" spans="1:3" ht="18" customHeight="1" x14ac:dyDescent="0.2">
      <c r="A131" s="799"/>
      <c r="B131" s="799"/>
      <c r="C131" s="799"/>
    </row>
    <row r="132" spans="1:3" ht="18" customHeight="1" x14ac:dyDescent="0.2">
      <c r="A132" s="799"/>
      <c r="B132" s="799"/>
      <c r="C132" s="799"/>
    </row>
    <row r="133" spans="1:3" ht="18" customHeight="1" x14ac:dyDescent="0.2">
      <c r="A133" s="148"/>
      <c r="B133" s="148"/>
      <c r="C133" s="148"/>
    </row>
    <row r="134" spans="1:3" ht="18" customHeight="1" x14ac:dyDescent="0.2">
      <c r="A134" s="148"/>
      <c r="B134" s="148"/>
      <c r="C134" s="148"/>
    </row>
    <row r="135" spans="1:3" ht="18" customHeight="1" x14ac:dyDescent="0.2">
      <c r="A135" s="148"/>
      <c r="B135" s="148"/>
      <c r="C135" s="148"/>
    </row>
    <row r="136" spans="1:3" ht="18" customHeight="1" x14ac:dyDescent="0.2">
      <c r="A136" s="148"/>
      <c r="B136" s="148"/>
      <c r="C136" s="148"/>
    </row>
    <row r="137" spans="1:3" ht="18" customHeight="1" x14ac:dyDescent="0.2">
      <c r="A137" s="148"/>
      <c r="B137" s="148"/>
      <c r="C137" s="148"/>
    </row>
    <row r="138" spans="1:3" ht="18" customHeight="1" x14ac:dyDescent="0.2">
      <c r="A138" s="148"/>
      <c r="B138" s="148"/>
      <c r="C138" s="148"/>
    </row>
    <row r="139" spans="1:3" ht="18" customHeight="1" x14ac:dyDescent="0.2">
      <c r="A139" s="148"/>
      <c r="B139" s="148"/>
      <c r="C139" s="148"/>
    </row>
    <row r="140" spans="1:3" ht="18" customHeight="1" x14ac:dyDescent="0.2">
      <c r="A140" s="148"/>
      <c r="B140" s="148"/>
      <c r="C140" s="148"/>
    </row>
    <row r="141" spans="1:3" ht="18" customHeight="1" x14ac:dyDescent="0.2">
      <c r="A141" s="148"/>
      <c r="B141" s="148"/>
      <c r="C141" s="148"/>
    </row>
    <row r="142" spans="1:3" ht="18" customHeight="1" x14ac:dyDescent="0.2">
      <c r="A142" s="148"/>
      <c r="B142" s="148"/>
      <c r="C142" s="148"/>
    </row>
    <row r="143" spans="1:3" ht="18" customHeight="1" x14ac:dyDescent="0.2">
      <c r="A143" s="148"/>
      <c r="B143" s="148"/>
      <c r="C143" s="148"/>
    </row>
    <row r="144" spans="1:3" ht="18" customHeight="1" x14ac:dyDescent="0.2">
      <c r="A144" s="148"/>
      <c r="B144" s="148"/>
      <c r="C144" s="148"/>
    </row>
    <row r="145" spans="1:3" ht="18" customHeight="1" x14ac:dyDescent="0.2">
      <c r="A145" s="148"/>
      <c r="B145" s="148"/>
      <c r="C145" s="148"/>
    </row>
    <row r="146" spans="1:3" ht="18" customHeight="1" x14ac:dyDescent="0.2">
      <c r="A146" s="148"/>
      <c r="B146" s="148"/>
      <c r="C146" s="148"/>
    </row>
    <row r="147" spans="1:3" ht="18" customHeight="1" x14ac:dyDescent="0.2">
      <c r="A147" s="148"/>
      <c r="B147" s="148"/>
      <c r="C147" s="148"/>
    </row>
    <row r="148" spans="1:3" ht="18" customHeight="1" x14ac:dyDescent="0.2">
      <c r="A148" s="148"/>
      <c r="B148" s="148"/>
      <c r="C148" s="148"/>
    </row>
    <row r="149" spans="1:3" ht="18" customHeight="1" x14ac:dyDescent="0.2">
      <c r="A149" s="148"/>
      <c r="B149" s="148"/>
      <c r="C149" s="148"/>
    </row>
    <row r="150" spans="1:3" ht="18" customHeight="1" x14ac:dyDescent="0.2">
      <c r="A150" s="148"/>
      <c r="B150" s="148"/>
      <c r="C150" s="148"/>
    </row>
    <row r="151" spans="1:3" ht="18" customHeight="1" x14ac:dyDescent="0.2">
      <c r="A151" s="148"/>
      <c r="B151" s="148"/>
      <c r="C151" s="148"/>
    </row>
    <row r="152" spans="1:3" ht="18" customHeight="1" x14ac:dyDescent="0.2">
      <c r="A152" s="148"/>
      <c r="B152" s="148"/>
      <c r="C152" s="148"/>
    </row>
    <row r="153" spans="1:3" ht="18" customHeight="1" x14ac:dyDescent="0.2">
      <c r="A153" s="148"/>
      <c r="B153" s="148"/>
      <c r="C153" s="148"/>
    </row>
    <row r="154" spans="1:3" ht="32.25" customHeight="1" x14ac:dyDescent="0.2">
      <c r="A154" s="800"/>
      <c r="B154" s="148"/>
      <c r="C154" s="148"/>
    </row>
    <row r="155" spans="1:3" ht="18" customHeight="1" x14ac:dyDescent="0.2">
      <c r="A155" s="148"/>
      <c r="B155" s="148"/>
      <c r="C155" s="148"/>
    </row>
    <row r="156" spans="1:3" ht="18" customHeight="1" x14ac:dyDescent="0.2">
      <c r="A156" s="148"/>
      <c r="B156" s="148"/>
      <c r="C156" s="148"/>
    </row>
    <row r="157" spans="1:3" ht="18" customHeight="1" x14ac:dyDescent="0.2">
      <c r="A157" s="148"/>
      <c r="B157" s="148"/>
      <c r="C157" s="148"/>
    </row>
    <row r="158" spans="1:3" ht="18" customHeight="1" x14ac:dyDescent="0.2">
      <c r="A158" s="148"/>
      <c r="B158" s="148"/>
      <c r="C158" s="148"/>
    </row>
    <row r="159" spans="1:3" ht="18" customHeight="1" x14ac:dyDescent="0.2">
      <c r="A159" s="148"/>
      <c r="B159" s="148"/>
      <c r="C159" s="148"/>
    </row>
    <row r="160" spans="1:3" ht="18" customHeight="1" x14ac:dyDescent="0.2">
      <c r="A160" s="148"/>
      <c r="B160" s="148"/>
      <c r="C160" s="148"/>
    </row>
    <row r="161" ht="18" customHeight="1" x14ac:dyDescent="0.2"/>
    <row r="162" ht="18" customHeight="1" x14ac:dyDescent="0.2"/>
    <row r="163" ht="18" customHeight="1" x14ac:dyDescent="0.2"/>
    <row r="164" ht="18" customHeight="1" x14ac:dyDescent="0.2"/>
    <row r="165" ht="18" customHeight="1" x14ac:dyDescent="0.2"/>
    <row r="166" ht="18" customHeight="1" x14ac:dyDescent="0.2"/>
    <row r="167" ht="18" customHeight="1" x14ac:dyDescent="0.2"/>
    <row r="168" ht="18" customHeight="1" x14ac:dyDescent="0.2"/>
    <row r="169" ht="18" customHeight="1" x14ac:dyDescent="0.2"/>
    <row r="170" ht="18" customHeight="1" x14ac:dyDescent="0.2"/>
    <row r="171" ht="18" customHeight="1" x14ac:dyDescent="0.2"/>
    <row r="172" ht="18" customHeight="1" x14ac:dyDescent="0.2"/>
    <row r="173" ht="18" customHeight="1" x14ac:dyDescent="0.2"/>
    <row r="174" ht="18" customHeight="1" x14ac:dyDescent="0.2"/>
    <row r="175" ht="18" customHeight="1" x14ac:dyDescent="0.2"/>
    <row r="176" ht="18" customHeight="1" x14ac:dyDescent="0.2"/>
    <row r="177" ht="18" customHeight="1" x14ac:dyDescent="0.2"/>
    <row r="178" ht="18" customHeight="1" x14ac:dyDescent="0.2"/>
    <row r="179" ht="18" customHeight="1" x14ac:dyDescent="0.2"/>
    <row r="180" ht="18" customHeight="1" x14ac:dyDescent="0.2"/>
    <row r="181" ht="18" customHeight="1" x14ac:dyDescent="0.2"/>
    <row r="182" ht="18" customHeight="1" x14ac:dyDescent="0.2"/>
    <row r="183" ht="18" customHeight="1" x14ac:dyDescent="0.2"/>
    <row r="184" ht="18" customHeight="1" x14ac:dyDescent="0.2"/>
    <row r="185" ht="18" customHeight="1" x14ac:dyDescent="0.2"/>
    <row r="186" ht="18" customHeight="1" x14ac:dyDescent="0.2"/>
    <row r="187" ht="18" customHeight="1" x14ac:dyDescent="0.2"/>
    <row r="188" ht="18" customHeight="1" x14ac:dyDescent="0.2"/>
    <row r="189" ht="18" customHeight="1" x14ac:dyDescent="0.2"/>
    <row r="190" ht="18" customHeight="1" x14ac:dyDescent="0.2"/>
    <row r="191" ht="18" customHeight="1" x14ac:dyDescent="0.2"/>
    <row r="192" ht="18" customHeight="1" x14ac:dyDescent="0.2"/>
    <row r="193" ht="18" customHeight="1" x14ac:dyDescent="0.2"/>
    <row r="194" ht="18" customHeight="1" x14ac:dyDescent="0.2"/>
    <row r="195" ht="18" customHeight="1" x14ac:dyDescent="0.2"/>
    <row r="196" ht="18" customHeight="1" x14ac:dyDescent="0.2"/>
    <row r="197" ht="18" customHeight="1" x14ac:dyDescent="0.2"/>
    <row r="198" ht="18" customHeight="1" x14ac:dyDescent="0.2"/>
    <row r="199" ht="18" customHeight="1" x14ac:dyDescent="0.2"/>
    <row r="200" ht="18" customHeight="1" x14ac:dyDescent="0.2"/>
    <row r="201" ht="18" customHeight="1" x14ac:dyDescent="0.2"/>
    <row r="202" ht="18" customHeight="1" x14ac:dyDescent="0.2"/>
    <row r="203" ht="18" customHeight="1" x14ac:dyDescent="0.2"/>
    <row r="204" ht="18" customHeight="1" x14ac:dyDescent="0.2"/>
    <row r="205" ht="18" customHeight="1" x14ac:dyDescent="0.2"/>
    <row r="206" ht="18" customHeight="1" x14ac:dyDescent="0.2"/>
    <row r="207" ht="18" customHeight="1" x14ac:dyDescent="0.2"/>
    <row r="208" ht="18" customHeight="1" x14ac:dyDescent="0.2"/>
    <row r="209" ht="18" customHeight="1" x14ac:dyDescent="0.2"/>
    <row r="210" ht="18" customHeight="1" x14ac:dyDescent="0.2"/>
    <row r="211" ht="18" customHeight="1" x14ac:dyDescent="0.2"/>
    <row r="212" ht="18" customHeight="1" x14ac:dyDescent="0.2"/>
    <row r="213" ht="18" customHeight="1" x14ac:dyDescent="0.2"/>
    <row r="214" ht="18" customHeight="1" x14ac:dyDescent="0.2"/>
    <row r="215" ht="18" customHeight="1" x14ac:dyDescent="0.2"/>
    <row r="216" ht="18" customHeight="1" x14ac:dyDescent="0.2"/>
    <row r="217" ht="18" customHeight="1" x14ac:dyDescent="0.2"/>
    <row r="218" ht="18" customHeight="1" x14ac:dyDescent="0.2"/>
    <row r="219" ht="18" customHeight="1" x14ac:dyDescent="0.2"/>
    <row r="220" ht="18" customHeight="1" x14ac:dyDescent="0.2"/>
    <row r="221" ht="18" customHeight="1" x14ac:dyDescent="0.2"/>
    <row r="222" ht="18" customHeight="1" x14ac:dyDescent="0.2"/>
    <row r="223" ht="18" customHeight="1" x14ac:dyDescent="0.2"/>
    <row r="224" ht="18" customHeight="1" x14ac:dyDescent="0.2"/>
    <row r="225" ht="18" customHeight="1" x14ac:dyDescent="0.2"/>
    <row r="226" ht="18" customHeight="1" x14ac:dyDescent="0.2"/>
    <row r="227" ht="18" customHeight="1" x14ac:dyDescent="0.2"/>
    <row r="228" ht="18" customHeight="1" x14ac:dyDescent="0.2"/>
    <row r="229" ht="18" customHeight="1" x14ac:dyDescent="0.2"/>
    <row r="230" ht="18" customHeight="1" x14ac:dyDescent="0.2"/>
    <row r="231" ht="18" customHeight="1" x14ac:dyDescent="0.2"/>
    <row r="232" ht="18" customHeight="1" x14ac:dyDescent="0.2"/>
    <row r="233" ht="18" customHeight="1" x14ac:dyDescent="0.2"/>
    <row r="234" ht="18" customHeight="1" x14ac:dyDescent="0.2"/>
    <row r="235" ht="18" customHeight="1" x14ac:dyDescent="0.2"/>
    <row r="236" ht="18" customHeight="1" x14ac:dyDescent="0.2"/>
    <row r="237" ht="18" customHeight="1" x14ac:dyDescent="0.2"/>
    <row r="238" ht="18" customHeight="1" x14ac:dyDescent="0.2"/>
    <row r="239" ht="18" customHeight="1" x14ac:dyDescent="0.2"/>
    <row r="240" ht="18" customHeight="1" x14ac:dyDescent="0.2"/>
    <row r="241" ht="18" customHeight="1" x14ac:dyDescent="0.2"/>
    <row r="242" ht="18" customHeight="1" x14ac:dyDescent="0.2"/>
    <row r="243" ht="18" customHeight="1" x14ac:dyDescent="0.2"/>
    <row r="244" ht="18" customHeight="1" x14ac:dyDescent="0.2"/>
    <row r="245" ht="18" customHeight="1" x14ac:dyDescent="0.2"/>
    <row r="246" ht="18" customHeight="1" x14ac:dyDescent="0.2"/>
    <row r="247" ht="18" customHeight="1" x14ac:dyDescent="0.2"/>
    <row r="248" ht="18" customHeight="1" x14ac:dyDescent="0.2"/>
    <row r="249" ht="18" customHeight="1" x14ac:dyDescent="0.2"/>
    <row r="250" ht="18" customHeight="1" x14ac:dyDescent="0.2"/>
    <row r="251" ht="18" customHeight="1" x14ac:dyDescent="0.2"/>
    <row r="252" ht="18" customHeight="1" x14ac:dyDescent="0.2"/>
    <row r="253" ht="18" customHeight="1" x14ac:dyDescent="0.2"/>
    <row r="254" ht="18" customHeight="1" x14ac:dyDescent="0.2"/>
    <row r="255" ht="18" customHeight="1" x14ac:dyDescent="0.2"/>
    <row r="256" ht="18" customHeight="1" x14ac:dyDescent="0.2"/>
    <row r="257" ht="18" customHeight="1" x14ac:dyDescent="0.2"/>
    <row r="258" ht="18" customHeight="1" x14ac:dyDescent="0.2"/>
    <row r="259" ht="18" customHeight="1" x14ac:dyDescent="0.2"/>
    <row r="260" ht="18" customHeight="1" x14ac:dyDescent="0.2"/>
    <row r="261" ht="18" customHeight="1" x14ac:dyDescent="0.2"/>
    <row r="262" ht="18" customHeight="1" x14ac:dyDescent="0.2"/>
    <row r="263" ht="18" customHeight="1" x14ac:dyDescent="0.2"/>
    <row r="264" ht="18" customHeight="1" x14ac:dyDescent="0.2"/>
    <row r="265" ht="18" customHeight="1" x14ac:dyDescent="0.2"/>
    <row r="266" ht="18" customHeight="1" x14ac:dyDescent="0.2"/>
    <row r="267" ht="18" customHeight="1" x14ac:dyDescent="0.2"/>
    <row r="268" ht="18" customHeight="1" x14ac:dyDescent="0.2"/>
    <row r="269" ht="18" customHeight="1" x14ac:dyDescent="0.2"/>
    <row r="270" ht="18" customHeight="1" x14ac:dyDescent="0.2"/>
    <row r="271" ht="18" customHeight="1" x14ac:dyDescent="0.2"/>
    <row r="272" ht="18" customHeight="1" x14ac:dyDescent="0.2"/>
    <row r="273" ht="18" customHeight="1" x14ac:dyDescent="0.2"/>
    <row r="274" ht="18" customHeight="1" x14ac:dyDescent="0.2"/>
    <row r="275" ht="18" customHeight="1" x14ac:dyDescent="0.2"/>
    <row r="276" ht="18" customHeight="1" x14ac:dyDescent="0.2"/>
    <row r="277" ht="18" customHeight="1" x14ac:dyDescent="0.2"/>
    <row r="278" ht="18" customHeight="1" x14ac:dyDescent="0.2"/>
    <row r="279" ht="18" customHeight="1" x14ac:dyDescent="0.2"/>
    <row r="280" ht="18" customHeight="1" x14ac:dyDescent="0.2"/>
    <row r="281" ht="18" customHeight="1" x14ac:dyDescent="0.2"/>
    <row r="282" ht="18" customHeight="1" x14ac:dyDescent="0.2"/>
    <row r="283" ht="18" customHeight="1" x14ac:dyDescent="0.2"/>
    <row r="284" ht="18" customHeight="1" x14ac:dyDescent="0.2"/>
    <row r="285" ht="18" customHeight="1" x14ac:dyDescent="0.2"/>
    <row r="286" ht="18" customHeight="1" x14ac:dyDescent="0.2"/>
    <row r="287" ht="18" customHeight="1" x14ac:dyDescent="0.2"/>
    <row r="288" ht="18" customHeight="1" x14ac:dyDescent="0.2"/>
    <row r="289" ht="18" customHeight="1" x14ac:dyDescent="0.2"/>
    <row r="290" ht="18" customHeight="1" x14ac:dyDescent="0.2"/>
    <row r="291" ht="18" customHeight="1" x14ac:dyDescent="0.2"/>
    <row r="292" ht="18" customHeight="1" x14ac:dyDescent="0.2"/>
    <row r="293" ht="18" customHeight="1" x14ac:dyDescent="0.2"/>
    <row r="294" ht="18" customHeight="1" x14ac:dyDescent="0.2"/>
    <row r="295" ht="18" customHeight="1" x14ac:dyDescent="0.2"/>
    <row r="296" ht="18" customHeight="1" x14ac:dyDescent="0.2"/>
    <row r="297" ht="18" customHeight="1" x14ac:dyDescent="0.2"/>
    <row r="298" ht="18" customHeight="1" x14ac:dyDescent="0.2"/>
    <row r="299" ht="18" customHeight="1" x14ac:dyDescent="0.2"/>
    <row r="300" ht="18" customHeight="1" x14ac:dyDescent="0.2"/>
    <row r="301" ht="18" customHeight="1" x14ac:dyDescent="0.2"/>
    <row r="302" ht="18" customHeight="1" x14ac:dyDescent="0.2"/>
    <row r="303" ht="18" customHeight="1" x14ac:dyDescent="0.2"/>
    <row r="304" ht="18" customHeight="1" x14ac:dyDescent="0.2"/>
    <row r="305" ht="18" customHeight="1" x14ac:dyDescent="0.2"/>
    <row r="306" ht="18" customHeight="1" x14ac:dyDescent="0.2"/>
    <row r="307" ht="18" customHeight="1" x14ac:dyDescent="0.2"/>
    <row r="308" ht="18" customHeight="1" x14ac:dyDescent="0.2"/>
    <row r="309" ht="18" customHeight="1" x14ac:dyDescent="0.2"/>
    <row r="310" ht="18" customHeight="1" x14ac:dyDescent="0.2"/>
    <row r="311" ht="18" customHeight="1" x14ac:dyDescent="0.2"/>
    <row r="312" ht="18" customHeight="1" x14ac:dyDescent="0.2"/>
    <row r="313" ht="18" customHeight="1" x14ac:dyDescent="0.2"/>
    <row r="314" ht="18" customHeight="1" x14ac:dyDescent="0.2"/>
    <row r="315" ht="18" customHeight="1" x14ac:dyDescent="0.2"/>
    <row r="316" ht="18" customHeight="1" x14ac:dyDescent="0.2"/>
    <row r="317" ht="18" customHeight="1" x14ac:dyDescent="0.2"/>
    <row r="318" ht="18" customHeight="1" x14ac:dyDescent="0.2"/>
    <row r="319" ht="18" customHeight="1" x14ac:dyDescent="0.2"/>
    <row r="320" ht="18" customHeight="1" x14ac:dyDescent="0.2"/>
    <row r="321" ht="18" customHeight="1" x14ac:dyDescent="0.2"/>
    <row r="322" ht="18" customHeight="1" x14ac:dyDescent="0.2"/>
    <row r="323" ht="18" customHeight="1" x14ac:dyDescent="0.2"/>
    <row r="324" ht="18" customHeight="1" x14ac:dyDescent="0.2"/>
    <row r="325" ht="18" customHeight="1" x14ac:dyDescent="0.2"/>
    <row r="326" ht="18" customHeight="1" x14ac:dyDescent="0.2"/>
    <row r="327" ht="18" customHeight="1" x14ac:dyDescent="0.2"/>
    <row r="328" ht="18" customHeight="1" x14ac:dyDescent="0.2"/>
    <row r="329" ht="18" customHeight="1" x14ac:dyDescent="0.2"/>
    <row r="330" ht="18" customHeight="1" x14ac:dyDescent="0.2"/>
    <row r="331" ht="18" customHeight="1" x14ac:dyDescent="0.2"/>
    <row r="332" ht="18" customHeight="1" x14ac:dyDescent="0.2"/>
    <row r="333" ht="18" customHeight="1" x14ac:dyDescent="0.2"/>
    <row r="334" ht="18" customHeight="1" x14ac:dyDescent="0.2"/>
    <row r="335" ht="18" customHeight="1" x14ac:dyDescent="0.2"/>
    <row r="336" ht="18" customHeight="1" x14ac:dyDescent="0.2"/>
    <row r="337" ht="18" customHeight="1" x14ac:dyDescent="0.2"/>
    <row r="338" ht="18" customHeight="1" x14ac:dyDescent="0.2"/>
    <row r="339" ht="18" customHeight="1" x14ac:dyDescent="0.2"/>
    <row r="340" ht="18" customHeight="1" x14ac:dyDescent="0.2"/>
    <row r="341" ht="18" customHeight="1" x14ac:dyDescent="0.2"/>
    <row r="342" ht="18" customHeight="1" x14ac:dyDescent="0.2"/>
    <row r="343" ht="18" customHeight="1" x14ac:dyDescent="0.2"/>
    <row r="344" ht="18" customHeight="1" x14ac:dyDescent="0.2"/>
    <row r="345" ht="18" customHeight="1" x14ac:dyDescent="0.2"/>
    <row r="346" ht="18" customHeight="1" x14ac:dyDescent="0.2"/>
    <row r="347" ht="18" customHeight="1" x14ac:dyDescent="0.2"/>
    <row r="348" ht="18" customHeight="1" x14ac:dyDescent="0.2"/>
    <row r="349" ht="18" customHeight="1" x14ac:dyDescent="0.2"/>
    <row r="350" ht="18" customHeight="1" x14ac:dyDescent="0.2"/>
    <row r="351" ht="18" customHeight="1" x14ac:dyDescent="0.2"/>
    <row r="352" ht="18" customHeight="1" x14ac:dyDescent="0.2"/>
    <row r="353" ht="18" customHeight="1" x14ac:dyDescent="0.2"/>
    <row r="354" ht="18" customHeight="1" x14ac:dyDescent="0.2"/>
    <row r="355" ht="18" customHeight="1" x14ac:dyDescent="0.2"/>
    <row r="356" ht="18" customHeight="1" x14ac:dyDescent="0.2"/>
    <row r="357" ht="18" customHeight="1" x14ac:dyDescent="0.2"/>
    <row r="358" ht="18" customHeight="1" x14ac:dyDescent="0.2"/>
    <row r="359" ht="18" customHeight="1" x14ac:dyDescent="0.2"/>
    <row r="360" ht="18" customHeight="1" x14ac:dyDescent="0.2"/>
    <row r="361" ht="18" customHeight="1" x14ac:dyDescent="0.2"/>
    <row r="362" ht="18" customHeight="1" x14ac:dyDescent="0.2"/>
    <row r="363" ht="18" customHeight="1" x14ac:dyDescent="0.2"/>
    <row r="364" ht="18" customHeight="1" x14ac:dyDescent="0.2"/>
    <row r="365" ht="18" customHeight="1" x14ac:dyDescent="0.2"/>
    <row r="366" ht="18" customHeight="1" x14ac:dyDescent="0.2"/>
    <row r="367" ht="18" customHeight="1" x14ac:dyDescent="0.2"/>
    <row r="368" ht="18" customHeight="1" x14ac:dyDescent="0.2"/>
    <row r="369" ht="18" customHeight="1" x14ac:dyDescent="0.2"/>
    <row r="370" ht="18" customHeight="1" x14ac:dyDescent="0.2"/>
    <row r="371" ht="18" customHeight="1" x14ac:dyDescent="0.2"/>
    <row r="372" ht="18" customHeight="1" x14ac:dyDescent="0.2"/>
    <row r="373" ht="18" customHeight="1" x14ac:dyDescent="0.2"/>
    <row r="374" ht="18" customHeight="1" x14ac:dyDescent="0.2"/>
    <row r="375" ht="18" customHeight="1" x14ac:dyDescent="0.2"/>
    <row r="376" ht="18" customHeight="1" x14ac:dyDescent="0.2"/>
    <row r="377" ht="18" customHeight="1" x14ac:dyDescent="0.2"/>
    <row r="378" ht="18" customHeight="1" x14ac:dyDescent="0.2"/>
    <row r="379" ht="18" customHeight="1" x14ac:dyDescent="0.2"/>
    <row r="380" ht="18" customHeight="1" x14ac:dyDescent="0.2"/>
    <row r="381" ht="18" customHeight="1" x14ac:dyDescent="0.2"/>
    <row r="382" ht="18" customHeight="1" x14ac:dyDescent="0.2"/>
    <row r="383" ht="18" customHeight="1" x14ac:dyDescent="0.2"/>
    <row r="384" ht="18" customHeight="1" x14ac:dyDescent="0.2"/>
    <row r="385" ht="18" customHeight="1" x14ac:dyDescent="0.2"/>
    <row r="386" ht="18" customHeight="1" x14ac:dyDescent="0.2"/>
    <row r="387" ht="18" customHeight="1" x14ac:dyDescent="0.2"/>
    <row r="388" ht="18" customHeight="1" x14ac:dyDescent="0.2"/>
    <row r="389" ht="18" customHeight="1" x14ac:dyDescent="0.2"/>
    <row r="390" ht="18" customHeight="1" x14ac:dyDescent="0.2"/>
    <row r="391" ht="18" customHeight="1" x14ac:dyDescent="0.2"/>
    <row r="392" ht="18" customHeight="1" x14ac:dyDescent="0.2"/>
    <row r="393" ht="18" customHeight="1" x14ac:dyDescent="0.2"/>
    <row r="394" ht="18" customHeight="1" x14ac:dyDescent="0.2"/>
    <row r="395" ht="18" customHeight="1" x14ac:dyDescent="0.2"/>
    <row r="396" ht="18" customHeight="1" x14ac:dyDescent="0.2"/>
    <row r="397" ht="18" customHeight="1" x14ac:dyDescent="0.2"/>
    <row r="398" ht="18" customHeight="1" x14ac:dyDescent="0.2"/>
    <row r="399" ht="18" customHeight="1" x14ac:dyDescent="0.2"/>
    <row r="400" ht="18" customHeight="1" x14ac:dyDescent="0.2"/>
    <row r="401" ht="18" customHeight="1" x14ac:dyDescent="0.2"/>
    <row r="402" ht="18" customHeight="1" x14ac:dyDescent="0.2"/>
    <row r="403" ht="18" customHeight="1" x14ac:dyDescent="0.2"/>
    <row r="404" ht="18" customHeight="1" x14ac:dyDescent="0.2"/>
    <row r="405" ht="18" customHeight="1" x14ac:dyDescent="0.2"/>
    <row r="406" ht="18" customHeight="1" x14ac:dyDescent="0.2"/>
    <row r="407" ht="18" customHeight="1" x14ac:dyDescent="0.2"/>
    <row r="408" ht="18" customHeight="1" x14ac:dyDescent="0.2"/>
    <row r="409" ht="18" customHeight="1" x14ac:dyDescent="0.2"/>
    <row r="410" ht="18" customHeight="1" x14ac:dyDescent="0.2"/>
    <row r="411" ht="18" customHeight="1" x14ac:dyDescent="0.2"/>
    <row r="412" ht="18" customHeight="1" x14ac:dyDescent="0.2"/>
    <row r="413" ht="18" customHeight="1" x14ac:dyDescent="0.2"/>
    <row r="414" ht="18" customHeight="1" x14ac:dyDescent="0.2"/>
    <row r="415" ht="18" customHeight="1" x14ac:dyDescent="0.2"/>
    <row r="416" ht="18" customHeight="1" x14ac:dyDescent="0.2"/>
    <row r="417" ht="18" customHeight="1" x14ac:dyDescent="0.2"/>
    <row r="418" ht="18" customHeight="1" x14ac:dyDescent="0.2"/>
    <row r="419" ht="18" customHeight="1" x14ac:dyDescent="0.2"/>
    <row r="420" ht="18" customHeight="1" x14ac:dyDescent="0.2"/>
    <row r="421" ht="18" customHeight="1" x14ac:dyDescent="0.2"/>
    <row r="422" ht="18" customHeight="1" x14ac:dyDescent="0.2"/>
    <row r="423" ht="18" customHeight="1" x14ac:dyDescent="0.2"/>
    <row r="424" ht="18" customHeight="1" x14ac:dyDescent="0.2"/>
    <row r="425" ht="18" customHeight="1" x14ac:dyDescent="0.2"/>
    <row r="426" ht="18" customHeight="1" x14ac:dyDescent="0.2"/>
    <row r="427" ht="18" customHeight="1" x14ac:dyDescent="0.2"/>
    <row r="428" ht="18" customHeight="1" x14ac:dyDescent="0.2"/>
    <row r="429" ht="18" customHeight="1" x14ac:dyDescent="0.2"/>
    <row r="430" ht="18" customHeight="1" x14ac:dyDescent="0.2"/>
    <row r="431" ht="18" customHeight="1" x14ac:dyDescent="0.2"/>
    <row r="432" ht="18" customHeight="1" x14ac:dyDescent="0.2"/>
    <row r="433" ht="18" customHeight="1" x14ac:dyDescent="0.2"/>
    <row r="434" ht="18" customHeight="1" x14ac:dyDescent="0.2"/>
    <row r="435" ht="18" customHeight="1" x14ac:dyDescent="0.2"/>
    <row r="436" ht="18" customHeight="1" x14ac:dyDescent="0.2"/>
    <row r="437" ht="18" customHeight="1" x14ac:dyDescent="0.2"/>
    <row r="438" ht="18" customHeight="1" x14ac:dyDescent="0.2"/>
    <row r="439" ht="18" customHeight="1" x14ac:dyDescent="0.2"/>
    <row r="440" ht="18" customHeight="1" x14ac:dyDescent="0.2"/>
    <row r="441" ht="18" customHeight="1" x14ac:dyDescent="0.2"/>
    <row r="442" ht="18" customHeight="1" x14ac:dyDescent="0.2"/>
    <row r="443" ht="18" customHeight="1" x14ac:dyDescent="0.2"/>
    <row r="444" ht="18" customHeight="1" x14ac:dyDescent="0.2"/>
    <row r="445" ht="18" customHeight="1" x14ac:dyDescent="0.2"/>
    <row r="446" ht="18" customHeight="1" x14ac:dyDescent="0.2"/>
    <row r="447" ht="18" customHeight="1" x14ac:dyDescent="0.2"/>
    <row r="448" ht="18" customHeight="1" x14ac:dyDescent="0.2"/>
    <row r="449" ht="18" customHeight="1" x14ac:dyDescent="0.2"/>
    <row r="450" ht="18" customHeight="1" x14ac:dyDescent="0.2"/>
    <row r="451" ht="18" customHeight="1" x14ac:dyDescent="0.2"/>
    <row r="452" ht="18" customHeight="1" x14ac:dyDescent="0.2"/>
    <row r="453" ht="18" customHeight="1" x14ac:dyDescent="0.2"/>
    <row r="454" ht="18" customHeight="1" x14ac:dyDescent="0.2"/>
    <row r="455" ht="18" customHeight="1" x14ac:dyDescent="0.2"/>
    <row r="456" ht="18" customHeight="1" x14ac:dyDescent="0.2"/>
    <row r="457" ht="18" customHeight="1" x14ac:dyDescent="0.2"/>
    <row r="458" ht="18" customHeight="1" x14ac:dyDescent="0.2"/>
    <row r="459" ht="18" customHeight="1" x14ac:dyDescent="0.2"/>
    <row r="460" ht="18" customHeight="1" x14ac:dyDescent="0.2"/>
    <row r="461" ht="18" customHeight="1" x14ac:dyDescent="0.2"/>
    <row r="462" ht="18" customHeight="1" x14ac:dyDescent="0.2"/>
    <row r="463" ht="18" customHeight="1" x14ac:dyDescent="0.2"/>
    <row r="464" ht="18" customHeight="1" x14ac:dyDescent="0.2"/>
    <row r="465" ht="18" customHeight="1" x14ac:dyDescent="0.2"/>
    <row r="466" ht="18" customHeight="1" x14ac:dyDescent="0.2"/>
    <row r="467" ht="18" customHeight="1" x14ac:dyDescent="0.2"/>
    <row r="468" ht="18" customHeight="1" x14ac:dyDescent="0.2"/>
    <row r="469" ht="18" customHeight="1" x14ac:dyDescent="0.2"/>
    <row r="470" ht="18" customHeight="1" x14ac:dyDescent="0.2"/>
    <row r="471" ht="18" customHeight="1" x14ac:dyDescent="0.2"/>
    <row r="472" ht="18" customHeight="1" x14ac:dyDescent="0.2"/>
    <row r="473" ht="18" customHeight="1" x14ac:dyDescent="0.2"/>
    <row r="474" ht="18" customHeight="1" x14ac:dyDescent="0.2"/>
    <row r="475" ht="18" customHeight="1" x14ac:dyDescent="0.2"/>
    <row r="476" ht="18" customHeight="1" x14ac:dyDescent="0.2"/>
    <row r="477" ht="18" customHeight="1" x14ac:dyDescent="0.2"/>
    <row r="478" ht="18" customHeight="1" x14ac:dyDescent="0.2"/>
    <row r="479" ht="18" customHeight="1" x14ac:dyDescent="0.2"/>
    <row r="480" ht="18" customHeight="1" x14ac:dyDescent="0.2"/>
    <row r="481" ht="18" customHeight="1" x14ac:dyDescent="0.2"/>
    <row r="482" ht="18" customHeight="1" x14ac:dyDescent="0.2"/>
    <row r="483" ht="18" customHeight="1" x14ac:dyDescent="0.2"/>
    <row r="484" ht="18" customHeight="1" x14ac:dyDescent="0.2"/>
    <row r="485" ht="18" customHeight="1" x14ac:dyDescent="0.2"/>
    <row r="486" ht="18" customHeight="1" x14ac:dyDescent="0.2"/>
    <row r="487" ht="18" customHeight="1" x14ac:dyDescent="0.2"/>
    <row r="488" ht="18" customHeight="1" x14ac:dyDescent="0.2"/>
    <row r="489" ht="18" customHeight="1" x14ac:dyDescent="0.2"/>
    <row r="490" ht="18" customHeight="1" x14ac:dyDescent="0.2"/>
    <row r="491" ht="18" customHeight="1" x14ac:dyDescent="0.2"/>
    <row r="492" ht="18" customHeight="1" x14ac:dyDescent="0.2"/>
    <row r="493" ht="18" customHeight="1" x14ac:dyDescent="0.2"/>
    <row r="494" ht="18" customHeight="1" x14ac:dyDescent="0.2"/>
    <row r="495" ht="18" customHeight="1" x14ac:dyDescent="0.2"/>
    <row r="496" ht="18" customHeight="1" x14ac:dyDescent="0.2"/>
    <row r="497" ht="18" customHeight="1" x14ac:dyDescent="0.2"/>
    <row r="498" ht="18" customHeight="1" x14ac:dyDescent="0.2"/>
    <row r="499" ht="18" customHeight="1" x14ac:dyDescent="0.2"/>
    <row r="500" ht="18" customHeight="1" x14ac:dyDescent="0.2"/>
    <row r="501" ht="18" customHeight="1" x14ac:dyDescent="0.2"/>
    <row r="502" ht="18" customHeight="1" x14ac:dyDescent="0.2"/>
    <row r="503" ht="18" customHeight="1" x14ac:dyDescent="0.2"/>
    <row r="504" ht="18" customHeight="1" x14ac:dyDescent="0.2"/>
    <row r="505" ht="18" customHeight="1" x14ac:dyDescent="0.2"/>
    <row r="506" ht="18" customHeight="1" x14ac:dyDescent="0.2"/>
    <row r="507" ht="18" customHeight="1" x14ac:dyDescent="0.2"/>
    <row r="508" ht="18" customHeight="1" x14ac:dyDescent="0.2"/>
    <row r="509" ht="18" customHeight="1" x14ac:dyDescent="0.2"/>
    <row r="510" ht="18" customHeight="1" x14ac:dyDescent="0.2"/>
    <row r="511" ht="18" customHeight="1" x14ac:dyDescent="0.2"/>
    <row r="512" ht="18" customHeight="1" x14ac:dyDescent="0.2"/>
    <row r="513" ht="18" customHeight="1" x14ac:dyDescent="0.2"/>
    <row r="514" ht="18" customHeight="1" x14ac:dyDescent="0.2"/>
    <row r="515" ht="18" customHeight="1" x14ac:dyDescent="0.2"/>
    <row r="516" ht="18" customHeight="1" x14ac:dyDescent="0.2"/>
    <row r="517" ht="18" customHeight="1" x14ac:dyDescent="0.2"/>
    <row r="518" ht="18" customHeight="1" x14ac:dyDescent="0.2"/>
    <row r="519" ht="18" customHeight="1" x14ac:dyDescent="0.2"/>
    <row r="520" ht="18" customHeight="1" x14ac:dyDescent="0.2"/>
    <row r="521" ht="18" customHeight="1" x14ac:dyDescent="0.2"/>
    <row r="522" ht="18" customHeight="1" x14ac:dyDescent="0.2"/>
    <row r="523" ht="18" customHeight="1" x14ac:dyDescent="0.2"/>
    <row r="524" ht="18" customHeight="1" x14ac:dyDescent="0.2"/>
    <row r="525" ht="18" customHeight="1" x14ac:dyDescent="0.2"/>
    <row r="526" ht="18" customHeight="1" x14ac:dyDescent="0.2"/>
    <row r="527" ht="18" customHeight="1" x14ac:dyDescent="0.2"/>
    <row r="528" ht="18" customHeight="1" x14ac:dyDescent="0.2"/>
    <row r="529" ht="18" customHeight="1" x14ac:dyDescent="0.2"/>
    <row r="530" ht="18" customHeight="1" x14ac:dyDescent="0.2"/>
    <row r="531" ht="18" customHeight="1" x14ac:dyDescent="0.2"/>
    <row r="532" ht="18" customHeight="1" x14ac:dyDescent="0.2"/>
    <row r="533" ht="18" customHeight="1" x14ac:dyDescent="0.2"/>
    <row r="534" ht="18" customHeight="1" x14ac:dyDescent="0.2"/>
    <row r="535" ht="18" customHeight="1" x14ac:dyDescent="0.2"/>
    <row r="536" ht="18" customHeight="1" x14ac:dyDescent="0.2"/>
    <row r="537" ht="18" customHeight="1" x14ac:dyDescent="0.2"/>
    <row r="538" ht="18" customHeight="1" x14ac:dyDescent="0.2"/>
    <row r="539" ht="18" customHeight="1" x14ac:dyDescent="0.2"/>
    <row r="540" ht="18" customHeight="1" x14ac:dyDescent="0.2"/>
    <row r="541" ht="18" customHeight="1" x14ac:dyDescent="0.2"/>
    <row r="542" ht="18" customHeight="1" x14ac:dyDescent="0.2"/>
    <row r="543" ht="18" customHeight="1" x14ac:dyDescent="0.2"/>
    <row r="544" ht="18" customHeight="1" x14ac:dyDescent="0.2"/>
    <row r="545" ht="18" customHeight="1" x14ac:dyDescent="0.2"/>
    <row r="546" ht="18" customHeight="1" x14ac:dyDescent="0.2"/>
    <row r="547" ht="18" customHeight="1" x14ac:dyDescent="0.2"/>
    <row r="548" ht="18" customHeight="1" x14ac:dyDescent="0.2"/>
    <row r="549" ht="18" customHeight="1" x14ac:dyDescent="0.2"/>
    <row r="550" ht="18" customHeight="1" x14ac:dyDescent="0.2"/>
    <row r="551" ht="18" customHeight="1" x14ac:dyDescent="0.2"/>
    <row r="552" ht="18" customHeight="1" x14ac:dyDescent="0.2"/>
    <row r="553" ht="18" customHeight="1" x14ac:dyDescent="0.2"/>
    <row r="554" ht="18" customHeight="1" x14ac:dyDescent="0.2"/>
    <row r="555" ht="18" customHeight="1" x14ac:dyDescent="0.2"/>
    <row r="556" ht="18" customHeight="1" x14ac:dyDescent="0.2"/>
    <row r="557" ht="18" customHeight="1" x14ac:dyDescent="0.2"/>
    <row r="558" ht="18" customHeight="1" x14ac:dyDescent="0.2"/>
    <row r="559" ht="18" customHeight="1" x14ac:dyDescent="0.2"/>
    <row r="560" ht="18" customHeight="1" x14ac:dyDescent="0.2"/>
    <row r="561" ht="18" customHeight="1" x14ac:dyDescent="0.2"/>
    <row r="562" ht="18" customHeight="1" x14ac:dyDescent="0.2"/>
    <row r="563" ht="18" customHeight="1" x14ac:dyDescent="0.2"/>
    <row r="564" ht="18" customHeight="1" x14ac:dyDescent="0.2"/>
    <row r="565" ht="18" customHeight="1" x14ac:dyDescent="0.2"/>
    <row r="566" ht="18" customHeight="1" x14ac:dyDescent="0.2"/>
    <row r="567" ht="18" customHeight="1" x14ac:dyDescent="0.2"/>
    <row r="568" ht="18" customHeight="1" x14ac:dyDescent="0.2"/>
    <row r="569" ht="18" customHeight="1" x14ac:dyDescent="0.2"/>
    <row r="570" ht="18" customHeight="1" x14ac:dyDescent="0.2"/>
    <row r="571" ht="18" customHeight="1" x14ac:dyDescent="0.2"/>
    <row r="572" ht="18" customHeight="1" x14ac:dyDescent="0.2"/>
    <row r="573" ht="18" customHeight="1" x14ac:dyDescent="0.2"/>
    <row r="574" ht="18" customHeight="1" x14ac:dyDescent="0.2"/>
    <row r="575" ht="18" customHeight="1" x14ac:dyDescent="0.2"/>
    <row r="576" ht="18" customHeight="1" x14ac:dyDescent="0.2"/>
    <row r="577" ht="18" customHeight="1" x14ac:dyDescent="0.2"/>
    <row r="578" ht="18" customHeight="1" x14ac:dyDescent="0.2"/>
    <row r="579" ht="18" customHeight="1" x14ac:dyDescent="0.2"/>
    <row r="580" ht="18" customHeight="1" x14ac:dyDescent="0.2"/>
    <row r="581" ht="18" customHeight="1" x14ac:dyDescent="0.2"/>
    <row r="582" ht="18" customHeight="1" x14ac:dyDescent="0.2"/>
    <row r="583" ht="18" customHeight="1" x14ac:dyDescent="0.2"/>
    <row r="584" ht="18" customHeight="1" x14ac:dyDescent="0.2"/>
    <row r="585" ht="18" customHeight="1" x14ac:dyDescent="0.2"/>
    <row r="586" ht="18" customHeight="1" x14ac:dyDescent="0.2"/>
    <row r="587" ht="18" customHeight="1" x14ac:dyDescent="0.2"/>
    <row r="588" ht="18" customHeight="1" x14ac:dyDescent="0.2"/>
    <row r="589" ht="18" customHeight="1" x14ac:dyDescent="0.2"/>
    <row r="590" ht="18" customHeight="1" x14ac:dyDescent="0.2"/>
    <row r="591" ht="18" customHeight="1" x14ac:dyDescent="0.2"/>
    <row r="592" ht="18" customHeight="1" x14ac:dyDescent="0.2"/>
    <row r="593" ht="18" customHeight="1" x14ac:dyDescent="0.2"/>
    <row r="594" ht="18" customHeight="1" x14ac:dyDescent="0.2"/>
    <row r="595" ht="18" customHeight="1" x14ac:dyDescent="0.2"/>
    <row r="596" ht="18" customHeight="1" x14ac:dyDescent="0.2"/>
    <row r="597" ht="18" customHeight="1" x14ac:dyDescent="0.2"/>
    <row r="598" ht="18" customHeight="1" x14ac:dyDescent="0.2"/>
    <row r="599" ht="18" customHeight="1" x14ac:dyDescent="0.2"/>
    <row r="600" ht="18" customHeight="1" x14ac:dyDescent="0.2"/>
    <row r="601" ht="18" customHeight="1" x14ac:dyDescent="0.2"/>
    <row r="602" ht="18" customHeight="1" x14ac:dyDescent="0.2"/>
    <row r="603" ht="18" customHeight="1" x14ac:dyDescent="0.2"/>
    <row r="604" ht="18" customHeight="1" x14ac:dyDescent="0.2"/>
    <row r="605" ht="18" customHeight="1" x14ac:dyDescent="0.2"/>
    <row r="606" ht="18" customHeight="1" x14ac:dyDescent="0.2"/>
    <row r="607" ht="18" customHeight="1" x14ac:dyDescent="0.2"/>
    <row r="608" ht="18" customHeight="1" x14ac:dyDescent="0.2"/>
    <row r="609" ht="18" customHeight="1" x14ac:dyDescent="0.2"/>
    <row r="610" ht="18" customHeight="1" x14ac:dyDescent="0.2"/>
    <row r="611" ht="18" customHeight="1" x14ac:dyDescent="0.2"/>
    <row r="612" ht="18" customHeight="1" x14ac:dyDescent="0.2"/>
    <row r="613" ht="18" customHeight="1" x14ac:dyDescent="0.2"/>
    <row r="614" ht="18" customHeight="1" x14ac:dyDescent="0.2"/>
    <row r="615" ht="18" customHeight="1" x14ac:dyDescent="0.2"/>
    <row r="616" ht="18" customHeight="1" x14ac:dyDescent="0.2"/>
    <row r="617" ht="18" customHeight="1" x14ac:dyDescent="0.2"/>
    <row r="618" ht="18" customHeight="1" x14ac:dyDescent="0.2"/>
    <row r="619" ht="18" customHeight="1" x14ac:dyDescent="0.2"/>
    <row r="620" ht="18" customHeight="1" x14ac:dyDescent="0.2"/>
    <row r="621" ht="18" customHeight="1" x14ac:dyDescent="0.2"/>
    <row r="622" ht="18" customHeight="1" x14ac:dyDescent="0.2"/>
    <row r="623" ht="18" customHeight="1" x14ac:dyDescent="0.2"/>
    <row r="624" ht="18" customHeight="1" x14ac:dyDescent="0.2"/>
    <row r="625" ht="18" customHeight="1" x14ac:dyDescent="0.2"/>
    <row r="626" ht="18" customHeight="1" x14ac:dyDescent="0.2"/>
    <row r="627" ht="18" customHeight="1" x14ac:dyDescent="0.2"/>
    <row r="628" ht="18" customHeight="1" x14ac:dyDescent="0.2"/>
    <row r="629" ht="18" customHeight="1" x14ac:dyDescent="0.2"/>
    <row r="630" ht="18" customHeight="1" x14ac:dyDescent="0.2"/>
    <row r="631" ht="18" customHeight="1" x14ac:dyDescent="0.2"/>
    <row r="632" ht="18" customHeight="1" x14ac:dyDescent="0.2"/>
    <row r="633" ht="18" customHeight="1" x14ac:dyDescent="0.2"/>
    <row r="634" ht="18" customHeight="1" x14ac:dyDescent="0.2"/>
    <row r="635" ht="18" customHeight="1" x14ac:dyDescent="0.2"/>
    <row r="636" ht="18" customHeight="1" x14ac:dyDescent="0.2"/>
    <row r="637" ht="18" customHeight="1" x14ac:dyDescent="0.2"/>
    <row r="638" ht="18" customHeight="1" x14ac:dyDescent="0.2"/>
    <row r="639" ht="18" customHeight="1" x14ac:dyDescent="0.2"/>
    <row r="640" ht="18" customHeight="1" x14ac:dyDescent="0.2"/>
    <row r="641" ht="18" customHeight="1" x14ac:dyDescent="0.2"/>
    <row r="642" ht="18" customHeight="1" x14ac:dyDescent="0.2"/>
    <row r="643" ht="18" customHeight="1" x14ac:dyDescent="0.2"/>
    <row r="644" ht="18" customHeight="1" x14ac:dyDescent="0.2"/>
    <row r="645" ht="18" customHeight="1" x14ac:dyDescent="0.2"/>
    <row r="646" ht="18" customHeight="1" x14ac:dyDescent="0.2"/>
    <row r="647" ht="18" customHeight="1" x14ac:dyDescent="0.2"/>
    <row r="648" ht="18" customHeight="1" x14ac:dyDescent="0.2"/>
    <row r="649" ht="18" customHeight="1" x14ac:dyDescent="0.2"/>
    <row r="650" ht="18" customHeight="1" x14ac:dyDescent="0.2"/>
    <row r="651" ht="18" customHeight="1" x14ac:dyDescent="0.2"/>
    <row r="652" ht="18" customHeight="1" x14ac:dyDescent="0.2"/>
    <row r="653" ht="18" customHeight="1" x14ac:dyDescent="0.2"/>
    <row r="654" ht="18" customHeight="1" x14ac:dyDescent="0.2"/>
    <row r="655" ht="18" customHeight="1" x14ac:dyDescent="0.2"/>
    <row r="656" ht="18" customHeight="1" x14ac:dyDescent="0.2"/>
    <row r="657" ht="18" customHeight="1" x14ac:dyDescent="0.2"/>
    <row r="658" ht="18" customHeight="1" x14ac:dyDescent="0.2"/>
    <row r="659" ht="18" customHeight="1" x14ac:dyDescent="0.2"/>
    <row r="660" ht="18" customHeight="1" x14ac:dyDescent="0.2"/>
    <row r="661" ht="18" customHeight="1" x14ac:dyDescent="0.2"/>
    <row r="662" ht="18" customHeight="1" x14ac:dyDescent="0.2"/>
    <row r="663" ht="18" customHeight="1" x14ac:dyDescent="0.2"/>
    <row r="664" ht="18" customHeight="1" x14ac:dyDescent="0.2"/>
    <row r="665" ht="18" customHeight="1" x14ac:dyDescent="0.2"/>
    <row r="666" ht="18" customHeight="1" x14ac:dyDescent="0.2"/>
    <row r="667" ht="18" customHeight="1" x14ac:dyDescent="0.2"/>
    <row r="668" ht="18" customHeight="1" x14ac:dyDescent="0.2"/>
    <row r="669" ht="18" customHeight="1" x14ac:dyDescent="0.2"/>
    <row r="670" ht="18" customHeight="1" x14ac:dyDescent="0.2"/>
    <row r="671" ht="18" customHeight="1" x14ac:dyDescent="0.2"/>
    <row r="672" ht="18" customHeight="1" x14ac:dyDescent="0.2"/>
    <row r="673" ht="18" customHeight="1" x14ac:dyDescent="0.2"/>
    <row r="674" ht="18" customHeight="1" x14ac:dyDescent="0.2"/>
    <row r="675" ht="18" customHeight="1" x14ac:dyDescent="0.2"/>
    <row r="676" ht="18" customHeight="1" x14ac:dyDescent="0.2"/>
    <row r="677" ht="18" customHeight="1" x14ac:dyDescent="0.2"/>
    <row r="678" ht="18" customHeight="1" x14ac:dyDescent="0.2"/>
    <row r="679" ht="18" customHeight="1" x14ac:dyDescent="0.2"/>
    <row r="680" ht="18" customHeight="1" x14ac:dyDescent="0.2"/>
    <row r="681" ht="18" customHeight="1" x14ac:dyDescent="0.2"/>
    <row r="682" ht="18" customHeight="1" x14ac:dyDescent="0.2"/>
    <row r="683" ht="18" customHeight="1" x14ac:dyDescent="0.2"/>
    <row r="684" ht="18" customHeight="1" x14ac:dyDescent="0.2"/>
    <row r="685" ht="18" customHeight="1" x14ac:dyDescent="0.2"/>
    <row r="686" ht="18" customHeight="1" x14ac:dyDescent="0.2"/>
    <row r="687" ht="18" customHeight="1" x14ac:dyDescent="0.2"/>
    <row r="688" ht="18" customHeight="1" x14ac:dyDescent="0.2"/>
    <row r="689" ht="18" customHeight="1" x14ac:dyDescent="0.2"/>
    <row r="690" ht="18" customHeight="1" x14ac:dyDescent="0.2"/>
    <row r="691" ht="18" customHeight="1" x14ac:dyDescent="0.2"/>
    <row r="692" ht="18" customHeight="1" x14ac:dyDescent="0.2"/>
    <row r="693" ht="18" customHeight="1" x14ac:dyDescent="0.2"/>
    <row r="694" ht="18" customHeight="1" x14ac:dyDescent="0.2"/>
    <row r="695" ht="18" customHeight="1" x14ac:dyDescent="0.2"/>
    <row r="696" ht="18" customHeight="1" x14ac:dyDescent="0.2"/>
    <row r="697" ht="18" customHeight="1" x14ac:dyDescent="0.2"/>
    <row r="698" ht="18" customHeight="1" x14ac:dyDescent="0.2"/>
    <row r="699" ht="18" customHeight="1" x14ac:dyDescent="0.2"/>
    <row r="700" ht="18" customHeight="1" x14ac:dyDescent="0.2"/>
    <row r="701" ht="18" customHeight="1" x14ac:dyDescent="0.2"/>
    <row r="702" ht="18" customHeight="1" x14ac:dyDescent="0.2"/>
    <row r="703" ht="18" customHeight="1" x14ac:dyDescent="0.2"/>
    <row r="704" ht="18" customHeight="1" x14ac:dyDescent="0.2"/>
    <row r="705" ht="18" customHeight="1" x14ac:dyDescent="0.2"/>
    <row r="706" ht="18" customHeight="1" x14ac:dyDescent="0.2"/>
    <row r="707" ht="18" customHeight="1" x14ac:dyDescent="0.2"/>
    <row r="708" ht="18" customHeight="1" x14ac:dyDescent="0.2"/>
    <row r="709" ht="18" customHeight="1" x14ac:dyDescent="0.2"/>
    <row r="710" ht="18" customHeight="1" x14ac:dyDescent="0.2"/>
    <row r="711" ht="18" customHeight="1" x14ac:dyDescent="0.2"/>
    <row r="712" ht="18" customHeight="1" x14ac:dyDescent="0.2"/>
    <row r="713" ht="18" customHeight="1" x14ac:dyDescent="0.2"/>
    <row r="714" ht="18" customHeight="1" x14ac:dyDescent="0.2"/>
    <row r="715" ht="18" customHeight="1" x14ac:dyDescent="0.2"/>
    <row r="716" ht="18" customHeight="1" x14ac:dyDescent="0.2"/>
    <row r="717" ht="18" customHeight="1" x14ac:dyDescent="0.2"/>
    <row r="718" ht="18" customHeight="1" x14ac:dyDescent="0.2"/>
    <row r="719" ht="18" customHeight="1" x14ac:dyDescent="0.2"/>
    <row r="720" ht="18" customHeight="1" x14ac:dyDescent="0.2"/>
    <row r="721" ht="18" customHeight="1" x14ac:dyDescent="0.2"/>
    <row r="722" ht="18" customHeight="1" x14ac:dyDescent="0.2"/>
    <row r="723" ht="18" customHeight="1" x14ac:dyDescent="0.2"/>
    <row r="724" ht="18" customHeight="1" x14ac:dyDescent="0.2"/>
    <row r="725" ht="18" customHeight="1" x14ac:dyDescent="0.2"/>
    <row r="726" ht="18" customHeight="1" x14ac:dyDescent="0.2"/>
    <row r="727" ht="18" customHeight="1" x14ac:dyDescent="0.2"/>
    <row r="728" ht="18" customHeight="1" x14ac:dyDescent="0.2"/>
    <row r="729" ht="18" customHeight="1" x14ac:dyDescent="0.2"/>
    <row r="730" ht="18" customHeight="1" x14ac:dyDescent="0.2"/>
    <row r="731" ht="18" customHeight="1" x14ac:dyDescent="0.2"/>
    <row r="732" ht="18" customHeight="1" x14ac:dyDescent="0.2"/>
    <row r="733" ht="18" customHeight="1" x14ac:dyDescent="0.2"/>
    <row r="734" ht="18" customHeight="1" x14ac:dyDescent="0.2"/>
    <row r="735" ht="18" customHeight="1" x14ac:dyDescent="0.2"/>
    <row r="736" ht="18" customHeight="1" x14ac:dyDescent="0.2"/>
    <row r="737" ht="18" customHeight="1" x14ac:dyDescent="0.2"/>
    <row r="738" ht="18" customHeight="1" x14ac:dyDescent="0.2"/>
    <row r="739" ht="18" customHeight="1" x14ac:dyDescent="0.2"/>
    <row r="740" ht="18" customHeight="1" x14ac:dyDescent="0.2"/>
    <row r="741" ht="18" customHeight="1" x14ac:dyDescent="0.2"/>
    <row r="742" ht="18" customHeight="1" x14ac:dyDescent="0.2"/>
    <row r="743" ht="18" customHeight="1" x14ac:dyDescent="0.2"/>
    <row r="744" ht="18" customHeight="1" x14ac:dyDescent="0.2"/>
    <row r="745" ht="18" customHeight="1" x14ac:dyDescent="0.2"/>
    <row r="746" ht="18" customHeight="1" x14ac:dyDescent="0.2"/>
    <row r="747" ht="18" customHeight="1" x14ac:dyDescent="0.2"/>
    <row r="748" ht="18" customHeight="1" x14ac:dyDescent="0.2"/>
    <row r="749" ht="18" customHeight="1" x14ac:dyDescent="0.2"/>
    <row r="750" ht="18" customHeight="1" x14ac:dyDescent="0.2"/>
    <row r="751" ht="18" customHeight="1" x14ac:dyDescent="0.2"/>
    <row r="752" ht="18" customHeight="1" x14ac:dyDescent="0.2"/>
    <row r="753" ht="18" customHeight="1" x14ac:dyDescent="0.2"/>
    <row r="754" ht="18" customHeight="1" x14ac:dyDescent="0.2"/>
    <row r="755" ht="18" customHeight="1" x14ac:dyDescent="0.2"/>
    <row r="756" ht="18" customHeight="1" x14ac:dyDescent="0.2"/>
    <row r="757" ht="18" customHeight="1" x14ac:dyDescent="0.2"/>
    <row r="758" ht="18" customHeight="1" x14ac:dyDescent="0.2"/>
    <row r="759" ht="18" customHeight="1" x14ac:dyDescent="0.2"/>
    <row r="760" ht="18" customHeight="1" x14ac:dyDescent="0.2"/>
    <row r="761" ht="18" customHeight="1" x14ac:dyDescent="0.2"/>
    <row r="762" ht="18" customHeight="1" x14ac:dyDescent="0.2"/>
    <row r="763" ht="18" customHeight="1" x14ac:dyDescent="0.2"/>
    <row r="764" ht="18" customHeight="1" x14ac:dyDescent="0.2"/>
    <row r="765" ht="18" customHeight="1" x14ac:dyDescent="0.2"/>
    <row r="766" ht="18" customHeight="1" x14ac:dyDescent="0.2"/>
    <row r="767" ht="18" customHeight="1" x14ac:dyDescent="0.2"/>
    <row r="768" ht="18" customHeight="1" x14ac:dyDescent="0.2"/>
    <row r="769" ht="18" customHeight="1" x14ac:dyDescent="0.2"/>
    <row r="770" ht="18" customHeight="1" x14ac:dyDescent="0.2"/>
    <row r="771" ht="18" customHeight="1" x14ac:dyDescent="0.2"/>
    <row r="772" ht="18" customHeight="1" x14ac:dyDescent="0.2"/>
    <row r="773" ht="18" customHeight="1" x14ac:dyDescent="0.2"/>
    <row r="774" ht="18" customHeight="1" x14ac:dyDescent="0.2"/>
    <row r="775" ht="18" customHeight="1" x14ac:dyDescent="0.2"/>
    <row r="776" ht="18" customHeight="1" x14ac:dyDescent="0.2"/>
    <row r="777" ht="18" customHeight="1" x14ac:dyDescent="0.2"/>
    <row r="778" ht="18" customHeight="1" x14ac:dyDescent="0.2"/>
    <row r="779" ht="18" customHeight="1" x14ac:dyDescent="0.2"/>
    <row r="780" ht="18" customHeight="1" x14ac:dyDescent="0.2"/>
    <row r="781" ht="18" customHeight="1" x14ac:dyDescent="0.2"/>
    <row r="782" ht="18" customHeight="1" x14ac:dyDescent="0.2"/>
    <row r="783" ht="18" customHeight="1" x14ac:dyDescent="0.2"/>
    <row r="784" ht="18" customHeight="1" x14ac:dyDescent="0.2"/>
    <row r="785" ht="18" customHeight="1" x14ac:dyDescent="0.2"/>
    <row r="786" ht="18" customHeight="1" x14ac:dyDescent="0.2"/>
    <row r="787" ht="18" customHeight="1" x14ac:dyDescent="0.2"/>
    <row r="788" ht="18" customHeight="1" x14ac:dyDescent="0.2"/>
    <row r="789" ht="18" customHeight="1" x14ac:dyDescent="0.2"/>
    <row r="790" ht="18" customHeight="1" x14ac:dyDescent="0.2"/>
    <row r="791" ht="18" customHeight="1" x14ac:dyDescent="0.2"/>
    <row r="792" ht="18" customHeight="1" x14ac:dyDescent="0.2"/>
    <row r="793" ht="18" customHeight="1" x14ac:dyDescent="0.2"/>
    <row r="794" ht="18" customHeight="1" x14ac:dyDescent="0.2"/>
    <row r="795" ht="18" customHeight="1" x14ac:dyDescent="0.2"/>
    <row r="796" ht="18" customHeight="1" x14ac:dyDescent="0.2"/>
    <row r="797" ht="18" customHeight="1" x14ac:dyDescent="0.2"/>
    <row r="798" ht="18" customHeight="1" x14ac:dyDescent="0.2"/>
    <row r="799" ht="18" customHeight="1" x14ac:dyDescent="0.2"/>
    <row r="800" ht="18" customHeight="1" x14ac:dyDescent="0.2"/>
    <row r="801" ht="18" customHeight="1" x14ac:dyDescent="0.2"/>
    <row r="802" ht="18" customHeight="1" x14ac:dyDescent="0.2"/>
    <row r="803" ht="18" customHeight="1" x14ac:dyDescent="0.2"/>
    <row r="804" ht="18" customHeight="1" x14ac:dyDescent="0.2"/>
    <row r="805" ht="18" customHeight="1" x14ac:dyDescent="0.2"/>
    <row r="806" ht="18" customHeight="1" x14ac:dyDescent="0.2"/>
    <row r="807" ht="18" customHeight="1" x14ac:dyDescent="0.2"/>
    <row r="808" ht="18" customHeight="1" x14ac:dyDescent="0.2"/>
    <row r="809" ht="18" customHeight="1" x14ac:dyDescent="0.2"/>
    <row r="810" ht="18" customHeight="1" x14ac:dyDescent="0.2"/>
    <row r="811" ht="18" customHeight="1" x14ac:dyDescent="0.2"/>
    <row r="812" ht="18" customHeight="1" x14ac:dyDescent="0.2"/>
    <row r="813" ht="18" customHeight="1" x14ac:dyDescent="0.2"/>
    <row r="814" ht="18" customHeight="1" x14ac:dyDescent="0.2"/>
    <row r="815" ht="18" customHeight="1" x14ac:dyDescent="0.2"/>
    <row r="816" ht="18" customHeight="1" x14ac:dyDescent="0.2"/>
    <row r="817" ht="18" customHeight="1" x14ac:dyDescent="0.2"/>
    <row r="818" ht="18" customHeight="1" x14ac:dyDescent="0.2"/>
    <row r="819" ht="18" customHeight="1" x14ac:dyDescent="0.2"/>
    <row r="820" ht="18" customHeight="1" x14ac:dyDescent="0.2"/>
    <row r="821" ht="18" customHeight="1" x14ac:dyDescent="0.2"/>
    <row r="822" ht="18" customHeight="1" x14ac:dyDescent="0.2"/>
    <row r="823" ht="18" customHeight="1" x14ac:dyDescent="0.2"/>
    <row r="824" ht="18" customHeight="1" x14ac:dyDescent="0.2"/>
    <row r="825" ht="18" customHeight="1" x14ac:dyDescent="0.2"/>
    <row r="826" ht="18" customHeight="1" x14ac:dyDescent="0.2"/>
    <row r="827" ht="18" customHeight="1" x14ac:dyDescent="0.2"/>
    <row r="828" ht="18" customHeight="1" x14ac:dyDescent="0.2"/>
    <row r="829" ht="18" customHeight="1" x14ac:dyDescent="0.2"/>
    <row r="830" ht="18" customHeight="1" x14ac:dyDescent="0.2"/>
    <row r="831" ht="18" customHeight="1" x14ac:dyDescent="0.2"/>
    <row r="832" ht="18" customHeight="1" x14ac:dyDescent="0.2"/>
    <row r="833" ht="18" customHeight="1" x14ac:dyDescent="0.2"/>
    <row r="834" ht="18" customHeight="1" x14ac:dyDescent="0.2"/>
    <row r="835" ht="18" customHeight="1" x14ac:dyDescent="0.2"/>
    <row r="836" ht="18" customHeight="1" x14ac:dyDescent="0.2"/>
    <row r="837" ht="18" customHeight="1" x14ac:dyDescent="0.2"/>
    <row r="838" ht="18" customHeight="1" x14ac:dyDescent="0.2"/>
    <row r="839" ht="18" customHeight="1" x14ac:dyDescent="0.2"/>
    <row r="840" ht="18" customHeight="1" x14ac:dyDescent="0.2"/>
    <row r="841" ht="18" customHeight="1" x14ac:dyDescent="0.2"/>
    <row r="842" ht="18" customHeight="1" x14ac:dyDescent="0.2"/>
    <row r="843" ht="18" customHeight="1" x14ac:dyDescent="0.2"/>
    <row r="844" ht="18" customHeight="1" x14ac:dyDescent="0.2"/>
    <row r="845" ht="18" customHeight="1" x14ac:dyDescent="0.2"/>
    <row r="846" ht="18" customHeight="1" x14ac:dyDescent="0.2"/>
    <row r="847" ht="18" customHeight="1" x14ac:dyDescent="0.2"/>
    <row r="848" ht="18" customHeight="1" x14ac:dyDescent="0.2"/>
    <row r="849" ht="18" customHeight="1" x14ac:dyDescent="0.2"/>
    <row r="850" ht="18" customHeight="1" x14ac:dyDescent="0.2"/>
    <row r="851" ht="18" customHeight="1" x14ac:dyDescent="0.2"/>
    <row r="852" ht="18" customHeight="1" x14ac:dyDescent="0.2"/>
    <row r="853" ht="18" customHeight="1" x14ac:dyDescent="0.2"/>
    <row r="854" ht="18" customHeight="1" x14ac:dyDescent="0.2"/>
    <row r="855" ht="18" customHeight="1" x14ac:dyDescent="0.2"/>
    <row r="856" ht="18" customHeight="1" x14ac:dyDescent="0.2"/>
    <row r="857" ht="18" customHeight="1" x14ac:dyDescent="0.2"/>
    <row r="858" ht="18" customHeight="1" x14ac:dyDescent="0.2"/>
    <row r="859" ht="18" customHeight="1" x14ac:dyDescent="0.2"/>
    <row r="860" ht="18" customHeight="1" x14ac:dyDescent="0.2"/>
    <row r="861" ht="18" customHeight="1" x14ac:dyDescent="0.2"/>
    <row r="862" ht="18" customHeight="1" x14ac:dyDescent="0.2"/>
    <row r="863" ht="18" customHeight="1" x14ac:dyDescent="0.2"/>
    <row r="864" ht="18" customHeight="1" x14ac:dyDescent="0.2"/>
    <row r="865" ht="18" customHeight="1" x14ac:dyDescent="0.2"/>
    <row r="866" ht="18" customHeight="1" x14ac:dyDescent="0.2"/>
    <row r="867" ht="18" customHeight="1" x14ac:dyDescent="0.2"/>
    <row r="868" ht="18" customHeight="1" x14ac:dyDescent="0.2"/>
    <row r="869" ht="18" customHeight="1" x14ac:dyDescent="0.2"/>
    <row r="870" ht="18" customHeight="1" x14ac:dyDescent="0.2"/>
    <row r="871" ht="18" customHeight="1" x14ac:dyDescent="0.2"/>
    <row r="872" ht="18" customHeight="1" x14ac:dyDescent="0.2"/>
    <row r="873" ht="18" customHeight="1" x14ac:dyDescent="0.2"/>
    <row r="874" ht="18" customHeight="1" x14ac:dyDescent="0.2"/>
    <row r="875" ht="18" customHeight="1" x14ac:dyDescent="0.2"/>
    <row r="876" ht="18" customHeight="1" x14ac:dyDescent="0.2"/>
    <row r="877" ht="18" customHeight="1" x14ac:dyDescent="0.2"/>
    <row r="878" ht="18" customHeight="1" x14ac:dyDescent="0.2"/>
    <row r="879" ht="18" customHeight="1" x14ac:dyDescent="0.2"/>
    <row r="880" ht="18" customHeight="1" x14ac:dyDescent="0.2"/>
    <row r="881" ht="18" customHeight="1" x14ac:dyDescent="0.2"/>
    <row r="882" ht="18" customHeight="1" x14ac:dyDescent="0.2"/>
    <row r="883" ht="18" customHeight="1" x14ac:dyDescent="0.2"/>
    <row r="884" ht="18" customHeight="1" x14ac:dyDescent="0.2"/>
    <row r="885" ht="18" customHeight="1" x14ac:dyDescent="0.2"/>
    <row r="886" ht="18" customHeight="1" x14ac:dyDescent="0.2"/>
    <row r="887" ht="18" customHeight="1" x14ac:dyDescent="0.2"/>
    <row r="888" ht="18" customHeight="1" x14ac:dyDescent="0.2"/>
    <row r="889" ht="18" customHeight="1" x14ac:dyDescent="0.2"/>
    <row r="890" ht="18" customHeight="1" x14ac:dyDescent="0.2"/>
    <row r="891" ht="18" customHeight="1" x14ac:dyDescent="0.2"/>
    <row r="892" ht="18" customHeight="1" x14ac:dyDescent="0.2"/>
    <row r="893" ht="18" customHeight="1" x14ac:dyDescent="0.2"/>
    <row r="894" ht="18" customHeight="1" x14ac:dyDescent="0.2"/>
    <row r="895" ht="18" customHeight="1" x14ac:dyDescent="0.2"/>
    <row r="896" ht="18" customHeight="1" x14ac:dyDescent="0.2"/>
    <row r="897" ht="18" customHeight="1" x14ac:dyDescent="0.2"/>
    <row r="898" ht="18" customHeight="1" x14ac:dyDescent="0.2"/>
    <row r="899" ht="18" customHeight="1" x14ac:dyDescent="0.2"/>
    <row r="900" ht="18" customHeight="1" x14ac:dyDescent="0.2"/>
    <row r="901" ht="18" customHeight="1" x14ac:dyDescent="0.2"/>
    <row r="902" ht="18" customHeight="1" x14ac:dyDescent="0.2"/>
    <row r="903" ht="18" customHeight="1" x14ac:dyDescent="0.2"/>
    <row r="904" ht="18" customHeight="1" x14ac:dyDescent="0.2"/>
    <row r="905" ht="18" customHeight="1" x14ac:dyDescent="0.2"/>
    <row r="906" ht="18" customHeight="1" x14ac:dyDescent="0.2"/>
    <row r="907" ht="18" customHeight="1" x14ac:dyDescent="0.2"/>
    <row r="908" ht="18" customHeight="1" x14ac:dyDescent="0.2"/>
    <row r="909" ht="18" customHeight="1" x14ac:dyDescent="0.2"/>
    <row r="910" ht="18" customHeight="1" x14ac:dyDescent="0.2"/>
    <row r="911" ht="18" customHeight="1" x14ac:dyDescent="0.2"/>
    <row r="912" ht="18" customHeight="1" x14ac:dyDescent="0.2"/>
    <row r="913" ht="18" customHeight="1" x14ac:dyDescent="0.2"/>
    <row r="914" ht="18" customHeight="1" x14ac:dyDescent="0.2"/>
    <row r="915" ht="18" customHeight="1" x14ac:dyDescent="0.2"/>
    <row r="916" ht="18" customHeight="1" x14ac:dyDescent="0.2"/>
    <row r="917" ht="18" customHeight="1" x14ac:dyDescent="0.2"/>
    <row r="918" ht="18" customHeight="1" x14ac:dyDescent="0.2"/>
    <row r="919" ht="18" customHeight="1" x14ac:dyDescent="0.2"/>
    <row r="920" ht="18" customHeight="1" x14ac:dyDescent="0.2"/>
    <row r="921" ht="18" customHeight="1" x14ac:dyDescent="0.2"/>
    <row r="922" ht="18" customHeight="1" x14ac:dyDescent="0.2"/>
    <row r="923" ht="18" customHeight="1" x14ac:dyDescent="0.2"/>
    <row r="924" ht="18" customHeight="1" x14ac:dyDescent="0.2"/>
    <row r="925" ht="18" customHeight="1" x14ac:dyDescent="0.2"/>
    <row r="926" ht="18" customHeight="1" x14ac:dyDescent="0.2"/>
    <row r="927" ht="18" customHeight="1" x14ac:dyDescent="0.2"/>
    <row r="928" ht="18" customHeight="1" x14ac:dyDescent="0.2"/>
    <row r="929" ht="18" customHeight="1" x14ac:dyDescent="0.2"/>
    <row r="930" ht="18" customHeight="1" x14ac:dyDescent="0.2"/>
    <row r="931" ht="18" customHeight="1" x14ac:dyDescent="0.2"/>
    <row r="932" ht="18" customHeight="1" x14ac:dyDescent="0.2"/>
    <row r="933" ht="18" customHeight="1" x14ac:dyDescent="0.2"/>
    <row r="934" ht="18" customHeight="1" x14ac:dyDescent="0.2"/>
    <row r="935" ht="18" customHeight="1" x14ac:dyDescent="0.2"/>
    <row r="936" ht="18" customHeight="1" x14ac:dyDescent="0.2"/>
    <row r="937" ht="18" customHeight="1" x14ac:dyDescent="0.2"/>
    <row r="938" ht="18" customHeight="1" x14ac:dyDescent="0.2"/>
    <row r="939" ht="18" customHeight="1" x14ac:dyDescent="0.2"/>
    <row r="940" ht="18" customHeight="1" x14ac:dyDescent="0.2"/>
    <row r="941" ht="18" customHeight="1" x14ac:dyDescent="0.2"/>
    <row r="942" ht="18" customHeight="1" x14ac:dyDescent="0.2"/>
    <row r="943" ht="18" customHeight="1" x14ac:dyDescent="0.2"/>
    <row r="944" ht="18" customHeight="1" x14ac:dyDescent="0.2"/>
    <row r="945" ht="18" customHeight="1" x14ac:dyDescent="0.2"/>
    <row r="946" ht="18" customHeight="1" x14ac:dyDescent="0.2"/>
    <row r="947" ht="18" customHeight="1" x14ac:dyDescent="0.2"/>
    <row r="948" ht="18" customHeight="1" x14ac:dyDescent="0.2"/>
    <row r="949" ht="18" customHeight="1" x14ac:dyDescent="0.2"/>
    <row r="950" ht="18" customHeight="1" x14ac:dyDescent="0.2"/>
    <row r="951" ht="18" customHeight="1" x14ac:dyDescent="0.2"/>
    <row r="952" ht="18" customHeight="1" x14ac:dyDescent="0.2"/>
    <row r="953" ht="18" customHeight="1" x14ac:dyDescent="0.2"/>
    <row r="954" ht="18" customHeight="1" x14ac:dyDescent="0.2"/>
    <row r="955" ht="18" customHeight="1" x14ac:dyDescent="0.2"/>
    <row r="956" ht="18" customHeight="1" x14ac:dyDescent="0.2"/>
    <row r="957" ht="18" customHeight="1" x14ac:dyDescent="0.2"/>
    <row r="958" ht="18" customHeight="1" x14ac:dyDescent="0.2"/>
    <row r="959" ht="18" customHeight="1" x14ac:dyDescent="0.2"/>
    <row r="960" ht="18" customHeight="1" x14ac:dyDescent="0.2"/>
    <row r="961" ht="18" customHeight="1" x14ac:dyDescent="0.2"/>
    <row r="962" ht="18" customHeight="1" x14ac:dyDescent="0.2"/>
    <row r="963" ht="18" customHeight="1" x14ac:dyDescent="0.2"/>
    <row r="964" ht="18" customHeight="1" x14ac:dyDescent="0.2"/>
    <row r="965" ht="18" customHeight="1" x14ac:dyDescent="0.2"/>
    <row r="966" ht="18" customHeight="1" x14ac:dyDescent="0.2"/>
    <row r="967" ht="18" customHeight="1" x14ac:dyDescent="0.2"/>
    <row r="968" ht="18" customHeight="1" x14ac:dyDescent="0.2"/>
    <row r="969" ht="18" customHeight="1" x14ac:dyDescent="0.2"/>
    <row r="970" ht="18" customHeight="1" x14ac:dyDescent="0.2"/>
    <row r="971" ht="18" customHeight="1" x14ac:dyDescent="0.2"/>
    <row r="972" ht="18" customHeight="1" x14ac:dyDescent="0.2"/>
    <row r="973" ht="18" customHeight="1" x14ac:dyDescent="0.2"/>
    <row r="974" ht="18" customHeight="1" x14ac:dyDescent="0.2"/>
    <row r="975" ht="18" customHeight="1" x14ac:dyDescent="0.2"/>
    <row r="976" ht="18" customHeight="1" x14ac:dyDescent="0.2"/>
    <row r="977" ht="18" customHeight="1" x14ac:dyDescent="0.2"/>
    <row r="978" ht="18" customHeight="1" x14ac:dyDescent="0.2"/>
    <row r="979" ht="18" customHeight="1" x14ac:dyDescent="0.2"/>
    <row r="980" ht="18" customHeight="1" x14ac:dyDescent="0.2"/>
    <row r="981" ht="18" customHeight="1" x14ac:dyDescent="0.2"/>
    <row r="982" ht="18" customHeight="1" x14ac:dyDescent="0.2"/>
    <row r="983" ht="18" customHeight="1" x14ac:dyDescent="0.2"/>
    <row r="984" ht="18" customHeight="1" x14ac:dyDescent="0.2"/>
    <row r="985" ht="18" customHeight="1" x14ac:dyDescent="0.2"/>
    <row r="986" ht="18" customHeight="1" x14ac:dyDescent="0.2"/>
    <row r="987" ht="18" customHeight="1" x14ac:dyDescent="0.2"/>
    <row r="988" ht="18" customHeight="1" x14ac:dyDescent="0.2"/>
    <row r="989" ht="18" customHeight="1" x14ac:dyDescent="0.2"/>
    <row r="990" ht="18" customHeight="1" x14ac:dyDescent="0.2"/>
    <row r="991" ht="18" customHeight="1" x14ac:dyDescent="0.2"/>
    <row r="992" ht="18" customHeight="1" x14ac:dyDescent="0.2"/>
    <row r="993" ht="18" customHeight="1" x14ac:dyDescent="0.2"/>
    <row r="994" ht="18" customHeight="1" x14ac:dyDescent="0.2"/>
    <row r="995" ht="18" customHeight="1" x14ac:dyDescent="0.2"/>
    <row r="996" ht="18" customHeight="1" x14ac:dyDescent="0.2"/>
    <row r="997" ht="18" customHeight="1" x14ac:dyDescent="0.2"/>
    <row r="998" ht="18" customHeight="1" x14ac:dyDescent="0.2"/>
    <row r="999" ht="18" customHeight="1" x14ac:dyDescent="0.2"/>
    <row r="1000" ht="18" customHeight="1" x14ac:dyDescent="0.2"/>
    <row r="1001" ht="18" customHeight="1" x14ac:dyDescent="0.2"/>
    <row r="1002" ht="18" customHeight="1" x14ac:dyDescent="0.2"/>
    <row r="1003" ht="18" customHeight="1" x14ac:dyDescent="0.2"/>
    <row r="1004" ht="18" customHeight="1" x14ac:dyDescent="0.2"/>
    <row r="1005" ht="18" customHeight="1" x14ac:dyDescent="0.2"/>
    <row r="1006" ht="18" customHeight="1" x14ac:dyDescent="0.2"/>
    <row r="1007" ht="18" customHeight="1" x14ac:dyDescent="0.2"/>
    <row r="1008" ht="18" customHeight="1" x14ac:dyDescent="0.2"/>
    <row r="1009" ht="18" customHeight="1" x14ac:dyDescent="0.2"/>
    <row r="1010" ht="18" customHeight="1" x14ac:dyDescent="0.2"/>
    <row r="1011" ht="18" customHeight="1" x14ac:dyDescent="0.2"/>
    <row r="1012" ht="18" customHeight="1" x14ac:dyDescent="0.2"/>
    <row r="1013" ht="18" customHeight="1" x14ac:dyDescent="0.2"/>
    <row r="1014" ht="18" customHeight="1" x14ac:dyDescent="0.2"/>
    <row r="1015" ht="18" customHeight="1" x14ac:dyDescent="0.2"/>
    <row r="1016" ht="18" customHeight="1" x14ac:dyDescent="0.2"/>
    <row r="1017" ht="18" customHeight="1" x14ac:dyDescent="0.2"/>
    <row r="1018" ht="18" customHeight="1" x14ac:dyDescent="0.2"/>
    <row r="1019" ht="18" customHeight="1" x14ac:dyDescent="0.2"/>
    <row r="1020" ht="18" customHeight="1" x14ac:dyDescent="0.2"/>
    <row r="1021" ht="18" customHeight="1" x14ac:dyDescent="0.2"/>
    <row r="1022" ht="18" customHeight="1" x14ac:dyDescent="0.2"/>
    <row r="1023" ht="18" customHeight="1" x14ac:dyDescent="0.2"/>
    <row r="1024" ht="18" customHeight="1" x14ac:dyDescent="0.2"/>
    <row r="1025" ht="18" customHeight="1" x14ac:dyDescent="0.2"/>
    <row r="1026" ht="18" customHeight="1" x14ac:dyDescent="0.2"/>
    <row r="1027" ht="18" customHeight="1" x14ac:dyDescent="0.2"/>
    <row r="1028" ht="18" customHeight="1" x14ac:dyDescent="0.2"/>
    <row r="1029" ht="18" customHeight="1" x14ac:dyDescent="0.2"/>
    <row r="1030" ht="18" customHeight="1" x14ac:dyDescent="0.2"/>
    <row r="1031" ht="18" customHeight="1" x14ac:dyDescent="0.2"/>
    <row r="1032" ht="18" customHeight="1" x14ac:dyDescent="0.2"/>
    <row r="1033" ht="18" customHeight="1" x14ac:dyDescent="0.2"/>
    <row r="1034" ht="18" customHeight="1" x14ac:dyDescent="0.2"/>
    <row r="1035" ht="18" customHeight="1" x14ac:dyDescent="0.2"/>
    <row r="1036" ht="18" customHeight="1" x14ac:dyDescent="0.2"/>
    <row r="1037" ht="18" customHeight="1" x14ac:dyDescent="0.2"/>
    <row r="1038" ht="18" customHeight="1" x14ac:dyDescent="0.2"/>
    <row r="1039" ht="18" customHeight="1" x14ac:dyDescent="0.2"/>
    <row r="1040" ht="18" customHeight="1" x14ac:dyDescent="0.2"/>
    <row r="1041" spans="1:19" ht="18" customHeight="1" x14ac:dyDescent="0.2"/>
    <row r="1042" spans="1:19" ht="18" customHeight="1" x14ac:dyDescent="0.2"/>
    <row r="1043" spans="1:19" ht="18" customHeight="1" x14ac:dyDescent="0.2"/>
    <row r="1044" spans="1:19" ht="18" customHeight="1" x14ac:dyDescent="0.2"/>
    <row r="1045" spans="1:19" ht="18" customHeight="1" x14ac:dyDescent="0.2"/>
    <row r="1046" spans="1:19" ht="18" customHeight="1" x14ac:dyDescent="0.2"/>
    <row r="1047" spans="1:19" ht="18" customHeight="1" x14ac:dyDescent="0.4">
      <c r="A1047" s="1457" t="s">
        <v>422</v>
      </c>
      <c r="B1047" s="1457"/>
      <c r="C1047" s="1457"/>
      <c r="D1047" s="1457"/>
      <c r="E1047" s="1457"/>
      <c r="F1047" s="1457"/>
      <c r="G1047" s="1457"/>
      <c r="H1047" s="1457"/>
      <c r="I1047" s="1457"/>
      <c r="J1047" s="1457"/>
      <c r="K1047" s="1457"/>
      <c r="L1047" s="1457"/>
      <c r="M1047" s="1457"/>
      <c r="N1047" s="1457"/>
      <c r="O1047" s="1457"/>
      <c r="P1047" s="1457"/>
      <c r="Q1047" s="1457"/>
      <c r="R1047" s="1457"/>
      <c r="S1047" s="1457"/>
    </row>
    <row r="1048" spans="1:19" ht="18" customHeight="1" x14ac:dyDescent="0.2"/>
    <row r="1049" spans="1:19" ht="18" customHeight="1" x14ac:dyDescent="0.2"/>
    <row r="1050" spans="1:19" ht="18" customHeight="1" x14ac:dyDescent="0.2"/>
    <row r="1051" spans="1:19" ht="18" customHeight="1" x14ac:dyDescent="0.2"/>
  </sheetData>
  <mergeCells count="22">
    <mergeCell ref="A2:S2"/>
    <mergeCell ref="O3:P3"/>
    <mergeCell ref="O4:P4"/>
    <mergeCell ref="A6:A7"/>
    <mergeCell ref="B6:B7"/>
    <mergeCell ref="C6:C7"/>
    <mergeCell ref="N6:O6"/>
    <mergeCell ref="P6:P7"/>
    <mergeCell ref="Q6:Q7"/>
    <mergeCell ref="R6:R7"/>
    <mergeCell ref="A1047:S1047"/>
    <mergeCell ref="AF69:AG69"/>
    <mergeCell ref="A111:B111"/>
    <mergeCell ref="A112:B112"/>
    <mergeCell ref="A113:B113"/>
    <mergeCell ref="N114:O114"/>
    <mergeCell ref="A115:I115"/>
    <mergeCell ref="A116:I116"/>
    <mergeCell ref="A117:I117"/>
    <mergeCell ref="A118:I118"/>
    <mergeCell ref="A119:I119"/>
    <mergeCell ref="N119:O11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A27D7-34A8-4A3F-B249-20D4DAE41EBC}">
  <sheetPr>
    <tabColor rgb="FFC00000"/>
  </sheetPr>
  <dimension ref="A1:AE87"/>
  <sheetViews>
    <sheetView topLeftCell="A50" zoomScale="90" zoomScaleNormal="90" workbookViewId="0">
      <selection activeCell="J66" sqref="J66"/>
    </sheetView>
  </sheetViews>
  <sheetFormatPr defaultColWidth="9" defaultRowHeight="12.75" x14ac:dyDescent="0.25"/>
  <cols>
    <col min="1" max="1" width="4.42578125" style="148" customWidth="1"/>
    <col min="2" max="2" width="24.5703125" style="148" customWidth="1"/>
    <col min="3" max="10" width="13.7109375" style="801" customWidth="1"/>
    <col min="11" max="11" width="13.7109375" style="148" customWidth="1"/>
    <col min="12" max="12" width="7.140625" style="148" customWidth="1"/>
    <col min="13" max="13" width="15.140625" style="148" customWidth="1"/>
    <col min="14" max="14" width="10.140625" style="148" customWidth="1"/>
    <col min="15" max="15" width="11.140625" style="148" customWidth="1"/>
    <col min="16" max="16" width="10.28515625" style="148" customWidth="1"/>
    <col min="17" max="17" width="12" style="148" customWidth="1"/>
    <col min="18" max="18" width="13.85546875" style="148" customWidth="1"/>
    <col min="19" max="19" width="9.5703125" style="148" customWidth="1"/>
    <col min="20" max="20" width="8" style="148" customWidth="1"/>
    <col min="21" max="22" width="9" style="148"/>
    <col min="23" max="23" width="14.28515625" style="148" customWidth="1"/>
    <col min="24" max="27" width="9" style="148"/>
    <col min="28" max="28" width="18" style="148" customWidth="1"/>
    <col min="29" max="257" width="9" style="148"/>
    <col min="258" max="258" width="4.42578125" style="148" customWidth="1"/>
    <col min="259" max="259" width="24.5703125" style="148" customWidth="1"/>
    <col min="260" max="267" width="13.7109375" style="148" customWidth="1"/>
    <col min="268" max="268" width="7.140625" style="148" customWidth="1"/>
    <col min="269" max="269" width="15.140625" style="148" customWidth="1"/>
    <col min="270" max="270" width="10.140625" style="148" customWidth="1"/>
    <col min="271" max="271" width="11.140625" style="148" customWidth="1"/>
    <col min="272" max="272" width="10.28515625" style="148" customWidth="1"/>
    <col min="273" max="273" width="12" style="148" customWidth="1"/>
    <col min="274" max="274" width="11" style="148" customWidth="1"/>
    <col min="275" max="275" width="9.5703125" style="148" customWidth="1"/>
    <col min="276" max="276" width="8" style="148" customWidth="1"/>
    <col min="277" max="513" width="9" style="148"/>
    <col min="514" max="514" width="4.42578125" style="148" customWidth="1"/>
    <col min="515" max="515" width="24.5703125" style="148" customWidth="1"/>
    <col min="516" max="523" width="13.7109375" style="148" customWidth="1"/>
    <col min="524" max="524" width="7.140625" style="148" customWidth="1"/>
    <col min="525" max="525" width="15.140625" style="148" customWidth="1"/>
    <col min="526" max="526" width="10.140625" style="148" customWidth="1"/>
    <col min="527" max="527" width="11.140625" style="148" customWidth="1"/>
    <col min="528" max="528" width="10.28515625" style="148" customWidth="1"/>
    <col min="529" max="529" width="12" style="148" customWidth="1"/>
    <col min="530" max="530" width="11" style="148" customWidth="1"/>
    <col min="531" max="531" width="9.5703125" style="148" customWidth="1"/>
    <col min="532" max="532" width="8" style="148" customWidth="1"/>
    <col min="533" max="769" width="9" style="148"/>
    <col min="770" max="770" width="4.42578125" style="148" customWidth="1"/>
    <col min="771" max="771" width="24.5703125" style="148" customWidth="1"/>
    <col min="772" max="779" width="13.7109375" style="148" customWidth="1"/>
    <col min="780" max="780" width="7.140625" style="148" customWidth="1"/>
    <col min="781" max="781" width="15.140625" style="148" customWidth="1"/>
    <col min="782" max="782" width="10.140625" style="148" customWidth="1"/>
    <col min="783" max="783" width="11.140625" style="148" customWidth="1"/>
    <col min="784" max="784" width="10.28515625" style="148" customWidth="1"/>
    <col min="785" max="785" width="12" style="148" customWidth="1"/>
    <col min="786" max="786" width="11" style="148" customWidth="1"/>
    <col min="787" max="787" width="9.5703125" style="148" customWidth="1"/>
    <col min="788" max="788" width="8" style="148" customWidth="1"/>
    <col min="789" max="1025" width="9" style="148"/>
    <col min="1026" max="1026" width="4.42578125" style="148" customWidth="1"/>
    <col min="1027" max="1027" width="24.5703125" style="148" customWidth="1"/>
    <col min="1028" max="1035" width="13.7109375" style="148" customWidth="1"/>
    <col min="1036" max="1036" width="7.140625" style="148" customWidth="1"/>
    <col min="1037" max="1037" width="15.140625" style="148" customWidth="1"/>
    <col min="1038" max="1038" width="10.140625" style="148" customWidth="1"/>
    <col min="1039" max="1039" width="11.140625" style="148" customWidth="1"/>
    <col min="1040" max="1040" width="10.28515625" style="148" customWidth="1"/>
    <col min="1041" max="1041" width="12" style="148" customWidth="1"/>
    <col min="1042" max="1042" width="11" style="148" customWidth="1"/>
    <col min="1043" max="1043" width="9.5703125" style="148" customWidth="1"/>
    <col min="1044" max="1044" width="8" style="148" customWidth="1"/>
    <col min="1045" max="1281" width="9" style="148"/>
    <col min="1282" max="1282" width="4.42578125" style="148" customWidth="1"/>
    <col min="1283" max="1283" width="24.5703125" style="148" customWidth="1"/>
    <col min="1284" max="1291" width="13.7109375" style="148" customWidth="1"/>
    <col min="1292" max="1292" width="7.140625" style="148" customWidth="1"/>
    <col min="1293" max="1293" width="15.140625" style="148" customWidth="1"/>
    <col min="1294" max="1294" width="10.140625" style="148" customWidth="1"/>
    <col min="1295" max="1295" width="11.140625" style="148" customWidth="1"/>
    <col min="1296" max="1296" width="10.28515625" style="148" customWidth="1"/>
    <col min="1297" max="1297" width="12" style="148" customWidth="1"/>
    <col min="1298" max="1298" width="11" style="148" customWidth="1"/>
    <col min="1299" max="1299" width="9.5703125" style="148" customWidth="1"/>
    <col min="1300" max="1300" width="8" style="148" customWidth="1"/>
    <col min="1301" max="1537" width="9" style="148"/>
    <col min="1538" max="1538" width="4.42578125" style="148" customWidth="1"/>
    <col min="1539" max="1539" width="24.5703125" style="148" customWidth="1"/>
    <col min="1540" max="1547" width="13.7109375" style="148" customWidth="1"/>
    <col min="1548" max="1548" width="7.140625" style="148" customWidth="1"/>
    <col min="1549" max="1549" width="15.140625" style="148" customWidth="1"/>
    <col min="1550" max="1550" width="10.140625" style="148" customWidth="1"/>
    <col min="1551" max="1551" width="11.140625" style="148" customWidth="1"/>
    <col min="1552" max="1552" width="10.28515625" style="148" customWidth="1"/>
    <col min="1553" max="1553" width="12" style="148" customWidth="1"/>
    <col min="1554" max="1554" width="11" style="148" customWidth="1"/>
    <col min="1555" max="1555" width="9.5703125" style="148" customWidth="1"/>
    <col min="1556" max="1556" width="8" style="148" customWidth="1"/>
    <col min="1557" max="1793" width="9" style="148"/>
    <col min="1794" max="1794" width="4.42578125" style="148" customWidth="1"/>
    <col min="1795" max="1795" width="24.5703125" style="148" customWidth="1"/>
    <col min="1796" max="1803" width="13.7109375" style="148" customWidth="1"/>
    <col min="1804" max="1804" width="7.140625" style="148" customWidth="1"/>
    <col min="1805" max="1805" width="15.140625" style="148" customWidth="1"/>
    <col min="1806" max="1806" width="10.140625" style="148" customWidth="1"/>
    <col min="1807" max="1807" width="11.140625" style="148" customWidth="1"/>
    <col min="1808" max="1808" width="10.28515625" style="148" customWidth="1"/>
    <col min="1809" max="1809" width="12" style="148" customWidth="1"/>
    <col min="1810" max="1810" width="11" style="148" customWidth="1"/>
    <col min="1811" max="1811" width="9.5703125" style="148" customWidth="1"/>
    <col min="1812" max="1812" width="8" style="148" customWidth="1"/>
    <col min="1813" max="2049" width="9" style="148"/>
    <col min="2050" max="2050" width="4.42578125" style="148" customWidth="1"/>
    <col min="2051" max="2051" width="24.5703125" style="148" customWidth="1"/>
    <col min="2052" max="2059" width="13.7109375" style="148" customWidth="1"/>
    <col min="2060" max="2060" width="7.140625" style="148" customWidth="1"/>
    <col min="2061" max="2061" width="15.140625" style="148" customWidth="1"/>
    <col min="2062" max="2062" width="10.140625" style="148" customWidth="1"/>
    <col min="2063" max="2063" width="11.140625" style="148" customWidth="1"/>
    <col min="2064" max="2064" width="10.28515625" style="148" customWidth="1"/>
    <col min="2065" max="2065" width="12" style="148" customWidth="1"/>
    <col min="2066" max="2066" width="11" style="148" customWidth="1"/>
    <col min="2067" max="2067" width="9.5703125" style="148" customWidth="1"/>
    <col min="2068" max="2068" width="8" style="148" customWidth="1"/>
    <col min="2069" max="2305" width="9" style="148"/>
    <col min="2306" max="2306" width="4.42578125" style="148" customWidth="1"/>
    <col min="2307" max="2307" width="24.5703125" style="148" customWidth="1"/>
    <col min="2308" max="2315" width="13.7109375" style="148" customWidth="1"/>
    <col min="2316" max="2316" width="7.140625" style="148" customWidth="1"/>
    <col min="2317" max="2317" width="15.140625" style="148" customWidth="1"/>
    <col min="2318" max="2318" width="10.140625" style="148" customWidth="1"/>
    <col min="2319" max="2319" width="11.140625" style="148" customWidth="1"/>
    <col min="2320" max="2320" width="10.28515625" style="148" customWidth="1"/>
    <col min="2321" max="2321" width="12" style="148" customWidth="1"/>
    <col min="2322" max="2322" width="11" style="148" customWidth="1"/>
    <col min="2323" max="2323" width="9.5703125" style="148" customWidth="1"/>
    <col min="2324" max="2324" width="8" style="148" customWidth="1"/>
    <col min="2325" max="2561" width="9" style="148"/>
    <col min="2562" max="2562" width="4.42578125" style="148" customWidth="1"/>
    <col min="2563" max="2563" width="24.5703125" style="148" customWidth="1"/>
    <col min="2564" max="2571" width="13.7109375" style="148" customWidth="1"/>
    <col min="2572" max="2572" width="7.140625" style="148" customWidth="1"/>
    <col min="2573" max="2573" width="15.140625" style="148" customWidth="1"/>
    <col min="2574" max="2574" width="10.140625" style="148" customWidth="1"/>
    <col min="2575" max="2575" width="11.140625" style="148" customWidth="1"/>
    <col min="2576" max="2576" width="10.28515625" style="148" customWidth="1"/>
    <col min="2577" max="2577" width="12" style="148" customWidth="1"/>
    <col min="2578" max="2578" width="11" style="148" customWidth="1"/>
    <col min="2579" max="2579" width="9.5703125" style="148" customWidth="1"/>
    <col min="2580" max="2580" width="8" style="148" customWidth="1"/>
    <col min="2581" max="2817" width="9" style="148"/>
    <col min="2818" max="2818" width="4.42578125" style="148" customWidth="1"/>
    <col min="2819" max="2819" width="24.5703125" style="148" customWidth="1"/>
    <col min="2820" max="2827" width="13.7109375" style="148" customWidth="1"/>
    <col min="2828" max="2828" width="7.140625" style="148" customWidth="1"/>
    <col min="2829" max="2829" width="15.140625" style="148" customWidth="1"/>
    <col min="2830" max="2830" width="10.140625" style="148" customWidth="1"/>
    <col min="2831" max="2831" width="11.140625" style="148" customWidth="1"/>
    <col min="2832" max="2832" width="10.28515625" style="148" customWidth="1"/>
    <col min="2833" max="2833" width="12" style="148" customWidth="1"/>
    <col min="2834" max="2834" width="11" style="148" customWidth="1"/>
    <col min="2835" max="2835" width="9.5703125" style="148" customWidth="1"/>
    <col min="2836" max="2836" width="8" style="148" customWidth="1"/>
    <col min="2837" max="3073" width="9" style="148"/>
    <col min="3074" max="3074" width="4.42578125" style="148" customWidth="1"/>
    <col min="3075" max="3075" width="24.5703125" style="148" customWidth="1"/>
    <col min="3076" max="3083" width="13.7109375" style="148" customWidth="1"/>
    <col min="3084" max="3084" width="7.140625" style="148" customWidth="1"/>
    <col min="3085" max="3085" width="15.140625" style="148" customWidth="1"/>
    <col min="3086" max="3086" width="10.140625" style="148" customWidth="1"/>
    <col min="3087" max="3087" width="11.140625" style="148" customWidth="1"/>
    <col min="3088" max="3088" width="10.28515625" style="148" customWidth="1"/>
    <col min="3089" max="3089" width="12" style="148" customWidth="1"/>
    <col min="3090" max="3090" width="11" style="148" customWidth="1"/>
    <col min="3091" max="3091" width="9.5703125" style="148" customWidth="1"/>
    <col min="3092" max="3092" width="8" style="148" customWidth="1"/>
    <col min="3093" max="3329" width="9" style="148"/>
    <col min="3330" max="3330" width="4.42578125" style="148" customWidth="1"/>
    <col min="3331" max="3331" width="24.5703125" style="148" customWidth="1"/>
    <col min="3332" max="3339" width="13.7109375" style="148" customWidth="1"/>
    <col min="3340" max="3340" width="7.140625" style="148" customWidth="1"/>
    <col min="3341" max="3341" width="15.140625" style="148" customWidth="1"/>
    <col min="3342" max="3342" width="10.140625" style="148" customWidth="1"/>
    <col min="3343" max="3343" width="11.140625" style="148" customWidth="1"/>
    <col min="3344" max="3344" width="10.28515625" style="148" customWidth="1"/>
    <col min="3345" max="3345" width="12" style="148" customWidth="1"/>
    <col min="3346" max="3346" width="11" style="148" customWidth="1"/>
    <col min="3347" max="3347" width="9.5703125" style="148" customWidth="1"/>
    <col min="3348" max="3348" width="8" style="148" customWidth="1"/>
    <col min="3349" max="3585" width="9" style="148"/>
    <col min="3586" max="3586" width="4.42578125" style="148" customWidth="1"/>
    <col min="3587" max="3587" width="24.5703125" style="148" customWidth="1"/>
    <col min="3588" max="3595" width="13.7109375" style="148" customWidth="1"/>
    <col min="3596" max="3596" width="7.140625" style="148" customWidth="1"/>
    <col min="3597" max="3597" width="15.140625" style="148" customWidth="1"/>
    <col min="3598" max="3598" width="10.140625" style="148" customWidth="1"/>
    <col min="3599" max="3599" width="11.140625" style="148" customWidth="1"/>
    <col min="3600" max="3600" width="10.28515625" style="148" customWidth="1"/>
    <col min="3601" max="3601" width="12" style="148" customWidth="1"/>
    <col min="3602" max="3602" width="11" style="148" customWidth="1"/>
    <col min="3603" max="3603" width="9.5703125" style="148" customWidth="1"/>
    <col min="3604" max="3604" width="8" style="148" customWidth="1"/>
    <col min="3605" max="3841" width="9" style="148"/>
    <col min="3842" max="3842" width="4.42578125" style="148" customWidth="1"/>
    <col min="3843" max="3843" width="24.5703125" style="148" customWidth="1"/>
    <col min="3844" max="3851" width="13.7109375" style="148" customWidth="1"/>
    <col min="3852" max="3852" width="7.140625" style="148" customWidth="1"/>
    <col min="3853" max="3853" width="15.140625" style="148" customWidth="1"/>
    <col min="3854" max="3854" width="10.140625" style="148" customWidth="1"/>
    <col min="3855" max="3855" width="11.140625" style="148" customWidth="1"/>
    <col min="3856" max="3856" width="10.28515625" style="148" customWidth="1"/>
    <col min="3857" max="3857" width="12" style="148" customWidth="1"/>
    <col min="3858" max="3858" width="11" style="148" customWidth="1"/>
    <col min="3859" max="3859" width="9.5703125" style="148" customWidth="1"/>
    <col min="3860" max="3860" width="8" style="148" customWidth="1"/>
    <col min="3861" max="4097" width="9" style="148"/>
    <col min="4098" max="4098" width="4.42578125" style="148" customWidth="1"/>
    <col min="4099" max="4099" width="24.5703125" style="148" customWidth="1"/>
    <col min="4100" max="4107" width="13.7109375" style="148" customWidth="1"/>
    <col min="4108" max="4108" width="7.140625" style="148" customWidth="1"/>
    <col min="4109" max="4109" width="15.140625" style="148" customWidth="1"/>
    <col min="4110" max="4110" width="10.140625" style="148" customWidth="1"/>
    <col min="4111" max="4111" width="11.140625" style="148" customWidth="1"/>
    <col min="4112" max="4112" width="10.28515625" style="148" customWidth="1"/>
    <col min="4113" max="4113" width="12" style="148" customWidth="1"/>
    <col min="4114" max="4114" width="11" style="148" customWidth="1"/>
    <col min="4115" max="4115" width="9.5703125" style="148" customWidth="1"/>
    <col min="4116" max="4116" width="8" style="148" customWidth="1"/>
    <col min="4117" max="4353" width="9" style="148"/>
    <col min="4354" max="4354" width="4.42578125" style="148" customWidth="1"/>
    <col min="4355" max="4355" width="24.5703125" style="148" customWidth="1"/>
    <col min="4356" max="4363" width="13.7109375" style="148" customWidth="1"/>
    <col min="4364" max="4364" width="7.140625" style="148" customWidth="1"/>
    <col min="4365" max="4365" width="15.140625" style="148" customWidth="1"/>
    <col min="4366" max="4366" width="10.140625" style="148" customWidth="1"/>
    <col min="4367" max="4367" width="11.140625" style="148" customWidth="1"/>
    <col min="4368" max="4368" width="10.28515625" style="148" customWidth="1"/>
    <col min="4369" max="4369" width="12" style="148" customWidth="1"/>
    <col min="4370" max="4370" width="11" style="148" customWidth="1"/>
    <col min="4371" max="4371" width="9.5703125" style="148" customWidth="1"/>
    <col min="4372" max="4372" width="8" style="148" customWidth="1"/>
    <col min="4373" max="4609" width="9" style="148"/>
    <col min="4610" max="4610" width="4.42578125" style="148" customWidth="1"/>
    <col min="4611" max="4611" width="24.5703125" style="148" customWidth="1"/>
    <col min="4612" max="4619" width="13.7109375" style="148" customWidth="1"/>
    <col min="4620" max="4620" width="7.140625" style="148" customWidth="1"/>
    <col min="4621" max="4621" width="15.140625" style="148" customWidth="1"/>
    <col min="4622" max="4622" width="10.140625" style="148" customWidth="1"/>
    <col min="4623" max="4623" width="11.140625" style="148" customWidth="1"/>
    <col min="4624" max="4624" width="10.28515625" style="148" customWidth="1"/>
    <col min="4625" max="4625" width="12" style="148" customWidth="1"/>
    <col min="4626" max="4626" width="11" style="148" customWidth="1"/>
    <col min="4627" max="4627" width="9.5703125" style="148" customWidth="1"/>
    <col min="4628" max="4628" width="8" style="148" customWidth="1"/>
    <col min="4629" max="4865" width="9" style="148"/>
    <col min="4866" max="4866" width="4.42578125" style="148" customWidth="1"/>
    <col min="4867" max="4867" width="24.5703125" style="148" customWidth="1"/>
    <col min="4868" max="4875" width="13.7109375" style="148" customWidth="1"/>
    <col min="4876" max="4876" width="7.140625" style="148" customWidth="1"/>
    <col min="4877" max="4877" width="15.140625" style="148" customWidth="1"/>
    <col min="4878" max="4878" width="10.140625" style="148" customWidth="1"/>
    <col min="4879" max="4879" width="11.140625" style="148" customWidth="1"/>
    <col min="4880" max="4880" width="10.28515625" style="148" customWidth="1"/>
    <col min="4881" max="4881" width="12" style="148" customWidth="1"/>
    <col min="4882" max="4882" width="11" style="148" customWidth="1"/>
    <col min="4883" max="4883" width="9.5703125" style="148" customWidth="1"/>
    <col min="4884" max="4884" width="8" style="148" customWidth="1"/>
    <col min="4885" max="5121" width="9" style="148"/>
    <col min="5122" max="5122" width="4.42578125" style="148" customWidth="1"/>
    <col min="5123" max="5123" width="24.5703125" style="148" customWidth="1"/>
    <col min="5124" max="5131" width="13.7109375" style="148" customWidth="1"/>
    <col min="5132" max="5132" width="7.140625" style="148" customWidth="1"/>
    <col min="5133" max="5133" width="15.140625" style="148" customWidth="1"/>
    <col min="5134" max="5134" width="10.140625" style="148" customWidth="1"/>
    <col min="5135" max="5135" width="11.140625" style="148" customWidth="1"/>
    <col min="5136" max="5136" width="10.28515625" style="148" customWidth="1"/>
    <col min="5137" max="5137" width="12" style="148" customWidth="1"/>
    <col min="5138" max="5138" width="11" style="148" customWidth="1"/>
    <col min="5139" max="5139" width="9.5703125" style="148" customWidth="1"/>
    <col min="5140" max="5140" width="8" style="148" customWidth="1"/>
    <col min="5141" max="5377" width="9" style="148"/>
    <col min="5378" max="5378" width="4.42578125" style="148" customWidth="1"/>
    <col min="5379" max="5379" width="24.5703125" style="148" customWidth="1"/>
    <col min="5380" max="5387" width="13.7109375" style="148" customWidth="1"/>
    <col min="5388" max="5388" width="7.140625" style="148" customWidth="1"/>
    <col min="5389" max="5389" width="15.140625" style="148" customWidth="1"/>
    <col min="5390" max="5390" width="10.140625" style="148" customWidth="1"/>
    <col min="5391" max="5391" width="11.140625" style="148" customWidth="1"/>
    <col min="5392" max="5392" width="10.28515625" style="148" customWidth="1"/>
    <col min="5393" max="5393" width="12" style="148" customWidth="1"/>
    <col min="5394" max="5394" width="11" style="148" customWidth="1"/>
    <col min="5395" max="5395" width="9.5703125" style="148" customWidth="1"/>
    <col min="5396" max="5396" width="8" style="148" customWidth="1"/>
    <col min="5397" max="5633" width="9" style="148"/>
    <col min="5634" max="5634" width="4.42578125" style="148" customWidth="1"/>
    <col min="5635" max="5635" width="24.5703125" style="148" customWidth="1"/>
    <col min="5636" max="5643" width="13.7109375" style="148" customWidth="1"/>
    <col min="5644" max="5644" width="7.140625" style="148" customWidth="1"/>
    <col min="5645" max="5645" width="15.140625" style="148" customWidth="1"/>
    <col min="5646" max="5646" width="10.140625" style="148" customWidth="1"/>
    <col min="5647" max="5647" width="11.140625" style="148" customWidth="1"/>
    <col min="5648" max="5648" width="10.28515625" style="148" customWidth="1"/>
    <col min="5649" max="5649" width="12" style="148" customWidth="1"/>
    <col min="5650" max="5650" width="11" style="148" customWidth="1"/>
    <col min="5651" max="5651" width="9.5703125" style="148" customWidth="1"/>
    <col min="5652" max="5652" width="8" style="148" customWidth="1"/>
    <col min="5653" max="5889" width="9" style="148"/>
    <col min="5890" max="5890" width="4.42578125" style="148" customWidth="1"/>
    <col min="5891" max="5891" width="24.5703125" style="148" customWidth="1"/>
    <col min="5892" max="5899" width="13.7109375" style="148" customWidth="1"/>
    <col min="5900" max="5900" width="7.140625" style="148" customWidth="1"/>
    <col min="5901" max="5901" width="15.140625" style="148" customWidth="1"/>
    <col min="5902" max="5902" width="10.140625" style="148" customWidth="1"/>
    <col min="5903" max="5903" width="11.140625" style="148" customWidth="1"/>
    <col min="5904" max="5904" width="10.28515625" style="148" customWidth="1"/>
    <col min="5905" max="5905" width="12" style="148" customWidth="1"/>
    <col min="5906" max="5906" width="11" style="148" customWidth="1"/>
    <col min="5907" max="5907" width="9.5703125" style="148" customWidth="1"/>
    <col min="5908" max="5908" width="8" style="148" customWidth="1"/>
    <col min="5909" max="6145" width="9" style="148"/>
    <col min="6146" max="6146" width="4.42578125" style="148" customWidth="1"/>
    <col min="6147" max="6147" width="24.5703125" style="148" customWidth="1"/>
    <col min="6148" max="6155" width="13.7109375" style="148" customWidth="1"/>
    <col min="6156" max="6156" width="7.140625" style="148" customWidth="1"/>
    <col min="6157" max="6157" width="15.140625" style="148" customWidth="1"/>
    <col min="6158" max="6158" width="10.140625" style="148" customWidth="1"/>
    <col min="6159" max="6159" width="11.140625" style="148" customWidth="1"/>
    <col min="6160" max="6160" width="10.28515625" style="148" customWidth="1"/>
    <col min="6161" max="6161" width="12" style="148" customWidth="1"/>
    <col min="6162" max="6162" width="11" style="148" customWidth="1"/>
    <col min="6163" max="6163" width="9.5703125" style="148" customWidth="1"/>
    <col min="6164" max="6164" width="8" style="148" customWidth="1"/>
    <col min="6165" max="6401" width="9" style="148"/>
    <col min="6402" max="6402" width="4.42578125" style="148" customWidth="1"/>
    <col min="6403" max="6403" width="24.5703125" style="148" customWidth="1"/>
    <col min="6404" max="6411" width="13.7109375" style="148" customWidth="1"/>
    <col min="6412" max="6412" width="7.140625" style="148" customWidth="1"/>
    <col min="6413" max="6413" width="15.140625" style="148" customWidth="1"/>
    <col min="6414" max="6414" width="10.140625" style="148" customWidth="1"/>
    <col min="6415" max="6415" width="11.140625" style="148" customWidth="1"/>
    <col min="6416" max="6416" width="10.28515625" style="148" customWidth="1"/>
    <col min="6417" max="6417" width="12" style="148" customWidth="1"/>
    <col min="6418" max="6418" width="11" style="148" customWidth="1"/>
    <col min="6419" max="6419" width="9.5703125" style="148" customWidth="1"/>
    <col min="6420" max="6420" width="8" style="148" customWidth="1"/>
    <col min="6421" max="6657" width="9" style="148"/>
    <col min="6658" max="6658" width="4.42578125" style="148" customWidth="1"/>
    <col min="6659" max="6659" width="24.5703125" style="148" customWidth="1"/>
    <col min="6660" max="6667" width="13.7109375" style="148" customWidth="1"/>
    <col min="6668" max="6668" width="7.140625" style="148" customWidth="1"/>
    <col min="6669" max="6669" width="15.140625" style="148" customWidth="1"/>
    <col min="6670" max="6670" width="10.140625" style="148" customWidth="1"/>
    <col min="6671" max="6671" width="11.140625" style="148" customWidth="1"/>
    <col min="6672" max="6672" width="10.28515625" style="148" customWidth="1"/>
    <col min="6673" max="6673" width="12" style="148" customWidth="1"/>
    <col min="6674" max="6674" width="11" style="148" customWidth="1"/>
    <col min="6675" max="6675" width="9.5703125" style="148" customWidth="1"/>
    <col min="6676" max="6676" width="8" style="148" customWidth="1"/>
    <col min="6677" max="6913" width="9" style="148"/>
    <col min="6914" max="6914" width="4.42578125" style="148" customWidth="1"/>
    <col min="6915" max="6915" width="24.5703125" style="148" customWidth="1"/>
    <col min="6916" max="6923" width="13.7109375" style="148" customWidth="1"/>
    <col min="6924" max="6924" width="7.140625" style="148" customWidth="1"/>
    <col min="6925" max="6925" width="15.140625" style="148" customWidth="1"/>
    <col min="6926" max="6926" width="10.140625" style="148" customWidth="1"/>
    <col min="6927" max="6927" width="11.140625" style="148" customWidth="1"/>
    <col min="6928" max="6928" width="10.28515625" style="148" customWidth="1"/>
    <col min="6929" max="6929" width="12" style="148" customWidth="1"/>
    <col min="6930" max="6930" width="11" style="148" customWidth="1"/>
    <col min="6931" max="6931" width="9.5703125" style="148" customWidth="1"/>
    <col min="6932" max="6932" width="8" style="148" customWidth="1"/>
    <col min="6933" max="7169" width="9" style="148"/>
    <col min="7170" max="7170" width="4.42578125" style="148" customWidth="1"/>
    <col min="7171" max="7171" width="24.5703125" style="148" customWidth="1"/>
    <col min="7172" max="7179" width="13.7109375" style="148" customWidth="1"/>
    <col min="7180" max="7180" width="7.140625" style="148" customWidth="1"/>
    <col min="7181" max="7181" width="15.140625" style="148" customWidth="1"/>
    <col min="7182" max="7182" width="10.140625" style="148" customWidth="1"/>
    <col min="7183" max="7183" width="11.140625" style="148" customWidth="1"/>
    <col min="7184" max="7184" width="10.28515625" style="148" customWidth="1"/>
    <col min="7185" max="7185" width="12" style="148" customWidth="1"/>
    <col min="7186" max="7186" width="11" style="148" customWidth="1"/>
    <col min="7187" max="7187" width="9.5703125" style="148" customWidth="1"/>
    <col min="7188" max="7188" width="8" style="148" customWidth="1"/>
    <col min="7189" max="7425" width="9" style="148"/>
    <col min="7426" max="7426" width="4.42578125" style="148" customWidth="1"/>
    <col min="7427" max="7427" width="24.5703125" style="148" customWidth="1"/>
    <col min="7428" max="7435" width="13.7109375" style="148" customWidth="1"/>
    <col min="7436" max="7436" width="7.140625" style="148" customWidth="1"/>
    <col min="7437" max="7437" width="15.140625" style="148" customWidth="1"/>
    <col min="7438" max="7438" width="10.140625" style="148" customWidth="1"/>
    <col min="7439" max="7439" width="11.140625" style="148" customWidth="1"/>
    <col min="7440" max="7440" width="10.28515625" style="148" customWidth="1"/>
    <col min="7441" max="7441" width="12" style="148" customWidth="1"/>
    <col min="7442" max="7442" width="11" style="148" customWidth="1"/>
    <col min="7443" max="7443" width="9.5703125" style="148" customWidth="1"/>
    <col min="7444" max="7444" width="8" style="148" customWidth="1"/>
    <col min="7445" max="7681" width="9" style="148"/>
    <col min="7682" max="7682" width="4.42578125" style="148" customWidth="1"/>
    <col min="7683" max="7683" width="24.5703125" style="148" customWidth="1"/>
    <col min="7684" max="7691" width="13.7109375" style="148" customWidth="1"/>
    <col min="7692" max="7692" width="7.140625" style="148" customWidth="1"/>
    <col min="7693" max="7693" width="15.140625" style="148" customWidth="1"/>
    <col min="7694" max="7694" width="10.140625" style="148" customWidth="1"/>
    <col min="7695" max="7695" width="11.140625" style="148" customWidth="1"/>
    <col min="7696" max="7696" width="10.28515625" style="148" customWidth="1"/>
    <col min="7697" max="7697" width="12" style="148" customWidth="1"/>
    <col min="7698" max="7698" width="11" style="148" customWidth="1"/>
    <col min="7699" max="7699" width="9.5703125" style="148" customWidth="1"/>
    <col min="7700" max="7700" width="8" style="148" customWidth="1"/>
    <col min="7701" max="7937" width="9" style="148"/>
    <col min="7938" max="7938" width="4.42578125" style="148" customWidth="1"/>
    <col min="7939" max="7939" width="24.5703125" style="148" customWidth="1"/>
    <col min="7940" max="7947" width="13.7109375" style="148" customWidth="1"/>
    <col min="7948" max="7948" width="7.140625" style="148" customWidth="1"/>
    <col min="7949" max="7949" width="15.140625" style="148" customWidth="1"/>
    <col min="7950" max="7950" width="10.140625" style="148" customWidth="1"/>
    <col min="7951" max="7951" width="11.140625" style="148" customWidth="1"/>
    <col min="7952" max="7952" width="10.28515625" style="148" customWidth="1"/>
    <col min="7953" max="7953" width="12" style="148" customWidth="1"/>
    <col min="7954" max="7954" width="11" style="148" customWidth="1"/>
    <col min="7955" max="7955" width="9.5703125" style="148" customWidth="1"/>
    <col min="7956" max="7956" width="8" style="148" customWidth="1"/>
    <col min="7957" max="8193" width="9" style="148"/>
    <col min="8194" max="8194" width="4.42578125" style="148" customWidth="1"/>
    <col min="8195" max="8195" width="24.5703125" style="148" customWidth="1"/>
    <col min="8196" max="8203" width="13.7109375" style="148" customWidth="1"/>
    <col min="8204" max="8204" width="7.140625" style="148" customWidth="1"/>
    <col min="8205" max="8205" width="15.140625" style="148" customWidth="1"/>
    <col min="8206" max="8206" width="10.140625" style="148" customWidth="1"/>
    <col min="8207" max="8207" width="11.140625" style="148" customWidth="1"/>
    <col min="8208" max="8208" width="10.28515625" style="148" customWidth="1"/>
    <col min="8209" max="8209" width="12" style="148" customWidth="1"/>
    <col min="8210" max="8210" width="11" style="148" customWidth="1"/>
    <col min="8211" max="8211" width="9.5703125" style="148" customWidth="1"/>
    <col min="8212" max="8212" width="8" style="148" customWidth="1"/>
    <col min="8213" max="8449" width="9" style="148"/>
    <col min="8450" max="8450" width="4.42578125" style="148" customWidth="1"/>
    <col min="8451" max="8451" width="24.5703125" style="148" customWidth="1"/>
    <col min="8452" max="8459" width="13.7109375" style="148" customWidth="1"/>
    <col min="8460" max="8460" width="7.140625" style="148" customWidth="1"/>
    <col min="8461" max="8461" width="15.140625" style="148" customWidth="1"/>
    <col min="8462" max="8462" width="10.140625" style="148" customWidth="1"/>
    <col min="8463" max="8463" width="11.140625" style="148" customWidth="1"/>
    <col min="8464" max="8464" width="10.28515625" style="148" customWidth="1"/>
    <col min="8465" max="8465" width="12" style="148" customWidth="1"/>
    <col min="8466" max="8466" width="11" style="148" customWidth="1"/>
    <col min="8467" max="8467" width="9.5703125" style="148" customWidth="1"/>
    <col min="8468" max="8468" width="8" style="148" customWidth="1"/>
    <col min="8469" max="8705" width="9" style="148"/>
    <col min="8706" max="8706" width="4.42578125" style="148" customWidth="1"/>
    <col min="8707" max="8707" width="24.5703125" style="148" customWidth="1"/>
    <col min="8708" max="8715" width="13.7109375" style="148" customWidth="1"/>
    <col min="8716" max="8716" width="7.140625" style="148" customWidth="1"/>
    <col min="8717" max="8717" width="15.140625" style="148" customWidth="1"/>
    <col min="8718" max="8718" width="10.140625" style="148" customWidth="1"/>
    <col min="8719" max="8719" width="11.140625" style="148" customWidth="1"/>
    <col min="8720" max="8720" width="10.28515625" style="148" customWidth="1"/>
    <col min="8721" max="8721" width="12" style="148" customWidth="1"/>
    <col min="8722" max="8722" width="11" style="148" customWidth="1"/>
    <col min="8723" max="8723" width="9.5703125" style="148" customWidth="1"/>
    <col min="8724" max="8724" width="8" style="148" customWidth="1"/>
    <col min="8725" max="8961" width="9" style="148"/>
    <col min="8962" max="8962" width="4.42578125" style="148" customWidth="1"/>
    <col min="8963" max="8963" width="24.5703125" style="148" customWidth="1"/>
    <col min="8964" max="8971" width="13.7109375" style="148" customWidth="1"/>
    <col min="8972" max="8972" width="7.140625" style="148" customWidth="1"/>
    <col min="8973" max="8973" width="15.140625" style="148" customWidth="1"/>
    <col min="8974" max="8974" width="10.140625" style="148" customWidth="1"/>
    <col min="8975" max="8975" width="11.140625" style="148" customWidth="1"/>
    <col min="8976" max="8976" width="10.28515625" style="148" customWidth="1"/>
    <col min="8977" max="8977" width="12" style="148" customWidth="1"/>
    <col min="8978" max="8978" width="11" style="148" customWidth="1"/>
    <col min="8979" max="8979" width="9.5703125" style="148" customWidth="1"/>
    <col min="8980" max="8980" width="8" style="148" customWidth="1"/>
    <col min="8981" max="9217" width="9" style="148"/>
    <col min="9218" max="9218" width="4.42578125" style="148" customWidth="1"/>
    <col min="9219" max="9219" width="24.5703125" style="148" customWidth="1"/>
    <col min="9220" max="9227" width="13.7109375" style="148" customWidth="1"/>
    <col min="9228" max="9228" width="7.140625" style="148" customWidth="1"/>
    <col min="9229" max="9229" width="15.140625" style="148" customWidth="1"/>
    <col min="9230" max="9230" width="10.140625" style="148" customWidth="1"/>
    <col min="9231" max="9231" width="11.140625" style="148" customWidth="1"/>
    <col min="9232" max="9232" width="10.28515625" style="148" customWidth="1"/>
    <col min="9233" max="9233" width="12" style="148" customWidth="1"/>
    <col min="9234" max="9234" width="11" style="148" customWidth="1"/>
    <col min="9235" max="9235" width="9.5703125" style="148" customWidth="1"/>
    <col min="9236" max="9236" width="8" style="148" customWidth="1"/>
    <col min="9237" max="9473" width="9" style="148"/>
    <col min="9474" max="9474" width="4.42578125" style="148" customWidth="1"/>
    <col min="9475" max="9475" width="24.5703125" style="148" customWidth="1"/>
    <col min="9476" max="9483" width="13.7109375" style="148" customWidth="1"/>
    <col min="9484" max="9484" width="7.140625" style="148" customWidth="1"/>
    <col min="9485" max="9485" width="15.140625" style="148" customWidth="1"/>
    <col min="9486" max="9486" width="10.140625" style="148" customWidth="1"/>
    <col min="9487" max="9487" width="11.140625" style="148" customWidth="1"/>
    <col min="9488" max="9488" width="10.28515625" style="148" customWidth="1"/>
    <col min="9489" max="9489" width="12" style="148" customWidth="1"/>
    <col min="9490" max="9490" width="11" style="148" customWidth="1"/>
    <col min="9491" max="9491" width="9.5703125" style="148" customWidth="1"/>
    <col min="9492" max="9492" width="8" style="148" customWidth="1"/>
    <col min="9493" max="9729" width="9" style="148"/>
    <col min="9730" max="9730" width="4.42578125" style="148" customWidth="1"/>
    <col min="9731" max="9731" width="24.5703125" style="148" customWidth="1"/>
    <col min="9732" max="9739" width="13.7109375" style="148" customWidth="1"/>
    <col min="9740" max="9740" width="7.140625" style="148" customWidth="1"/>
    <col min="9741" max="9741" width="15.140625" style="148" customWidth="1"/>
    <col min="9742" max="9742" width="10.140625" style="148" customWidth="1"/>
    <col min="9743" max="9743" width="11.140625" style="148" customWidth="1"/>
    <col min="9744" max="9744" width="10.28515625" style="148" customWidth="1"/>
    <col min="9745" max="9745" width="12" style="148" customWidth="1"/>
    <col min="9746" max="9746" width="11" style="148" customWidth="1"/>
    <col min="9747" max="9747" width="9.5703125" style="148" customWidth="1"/>
    <col min="9748" max="9748" width="8" style="148" customWidth="1"/>
    <col min="9749" max="9985" width="9" style="148"/>
    <col min="9986" max="9986" width="4.42578125" style="148" customWidth="1"/>
    <col min="9987" max="9987" width="24.5703125" style="148" customWidth="1"/>
    <col min="9988" max="9995" width="13.7109375" style="148" customWidth="1"/>
    <col min="9996" max="9996" width="7.140625" style="148" customWidth="1"/>
    <col min="9997" max="9997" width="15.140625" style="148" customWidth="1"/>
    <col min="9998" max="9998" width="10.140625" style="148" customWidth="1"/>
    <col min="9999" max="9999" width="11.140625" style="148" customWidth="1"/>
    <col min="10000" max="10000" width="10.28515625" style="148" customWidth="1"/>
    <col min="10001" max="10001" width="12" style="148" customWidth="1"/>
    <col min="10002" max="10002" width="11" style="148" customWidth="1"/>
    <col min="10003" max="10003" width="9.5703125" style="148" customWidth="1"/>
    <col min="10004" max="10004" width="8" style="148" customWidth="1"/>
    <col min="10005" max="10241" width="9" style="148"/>
    <col min="10242" max="10242" width="4.42578125" style="148" customWidth="1"/>
    <col min="10243" max="10243" width="24.5703125" style="148" customWidth="1"/>
    <col min="10244" max="10251" width="13.7109375" style="148" customWidth="1"/>
    <col min="10252" max="10252" width="7.140625" style="148" customWidth="1"/>
    <col min="10253" max="10253" width="15.140625" style="148" customWidth="1"/>
    <col min="10254" max="10254" width="10.140625" style="148" customWidth="1"/>
    <col min="10255" max="10255" width="11.140625" style="148" customWidth="1"/>
    <col min="10256" max="10256" width="10.28515625" style="148" customWidth="1"/>
    <col min="10257" max="10257" width="12" style="148" customWidth="1"/>
    <col min="10258" max="10258" width="11" style="148" customWidth="1"/>
    <col min="10259" max="10259" width="9.5703125" style="148" customWidth="1"/>
    <col min="10260" max="10260" width="8" style="148" customWidth="1"/>
    <col min="10261" max="10497" width="9" style="148"/>
    <col min="10498" max="10498" width="4.42578125" style="148" customWidth="1"/>
    <col min="10499" max="10499" width="24.5703125" style="148" customWidth="1"/>
    <col min="10500" max="10507" width="13.7109375" style="148" customWidth="1"/>
    <col min="10508" max="10508" width="7.140625" style="148" customWidth="1"/>
    <col min="10509" max="10509" width="15.140625" style="148" customWidth="1"/>
    <col min="10510" max="10510" width="10.140625" style="148" customWidth="1"/>
    <col min="10511" max="10511" width="11.140625" style="148" customWidth="1"/>
    <col min="10512" max="10512" width="10.28515625" style="148" customWidth="1"/>
    <col min="10513" max="10513" width="12" style="148" customWidth="1"/>
    <col min="10514" max="10514" width="11" style="148" customWidth="1"/>
    <col min="10515" max="10515" width="9.5703125" style="148" customWidth="1"/>
    <col min="10516" max="10516" width="8" style="148" customWidth="1"/>
    <col min="10517" max="10753" width="9" style="148"/>
    <col min="10754" max="10754" width="4.42578125" style="148" customWidth="1"/>
    <col min="10755" max="10755" width="24.5703125" style="148" customWidth="1"/>
    <col min="10756" max="10763" width="13.7109375" style="148" customWidth="1"/>
    <col min="10764" max="10764" width="7.140625" style="148" customWidth="1"/>
    <col min="10765" max="10765" width="15.140625" style="148" customWidth="1"/>
    <col min="10766" max="10766" width="10.140625" style="148" customWidth="1"/>
    <col min="10767" max="10767" width="11.140625" style="148" customWidth="1"/>
    <col min="10768" max="10768" width="10.28515625" style="148" customWidth="1"/>
    <col min="10769" max="10769" width="12" style="148" customWidth="1"/>
    <col min="10770" max="10770" width="11" style="148" customWidth="1"/>
    <col min="10771" max="10771" width="9.5703125" style="148" customWidth="1"/>
    <col min="10772" max="10772" width="8" style="148" customWidth="1"/>
    <col min="10773" max="11009" width="9" style="148"/>
    <col min="11010" max="11010" width="4.42578125" style="148" customWidth="1"/>
    <col min="11011" max="11011" width="24.5703125" style="148" customWidth="1"/>
    <col min="11012" max="11019" width="13.7109375" style="148" customWidth="1"/>
    <col min="11020" max="11020" width="7.140625" style="148" customWidth="1"/>
    <col min="11021" max="11021" width="15.140625" style="148" customWidth="1"/>
    <col min="11022" max="11022" width="10.140625" style="148" customWidth="1"/>
    <col min="11023" max="11023" width="11.140625" style="148" customWidth="1"/>
    <col min="11024" max="11024" width="10.28515625" style="148" customWidth="1"/>
    <col min="11025" max="11025" width="12" style="148" customWidth="1"/>
    <col min="11026" max="11026" width="11" style="148" customWidth="1"/>
    <col min="11027" max="11027" width="9.5703125" style="148" customWidth="1"/>
    <col min="11028" max="11028" width="8" style="148" customWidth="1"/>
    <col min="11029" max="11265" width="9" style="148"/>
    <col min="11266" max="11266" width="4.42578125" style="148" customWidth="1"/>
    <col min="11267" max="11267" width="24.5703125" style="148" customWidth="1"/>
    <col min="11268" max="11275" width="13.7109375" style="148" customWidth="1"/>
    <col min="11276" max="11276" width="7.140625" style="148" customWidth="1"/>
    <col min="11277" max="11277" width="15.140625" style="148" customWidth="1"/>
    <col min="11278" max="11278" width="10.140625" style="148" customWidth="1"/>
    <col min="11279" max="11279" width="11.140625" style="148" customWidth="1"/>
    <col min="11280" max="11280" width="10.28515625" style="148" customWidth="1"/>
    <col min="11281" max="11281" width="12" style="148" customWidth="1"/>
    <col min="11282" max="11282" width="11" style="148" customWidth="1"/>
    <col min="11283" max="11283" width="9.5703125" style="148" customWidth="1"/>
    <col min="11284" max="11284" width="8" style="148" customWidth="1"/>
    <col min="11285" max="11521" width="9" style="148"/>
    <col min="11522" max="11522" width="4.42578125" style="148" customWidth="1"/>
    <col min="11523" max="11523" width="24.5703125" style="148" customWidth="1"/>
    <col min="11524" max="11531" width="13.7109375" style="148" customWidth="1"/>
    <col min="11532" max="11532" width="7.140625" style="148" customWidth="1"/>
    <col min="11533" max="11533" width="15.140625" style="148" customWidth="1"/>
    <col min="11534" max="11534" width="10.140625" style="148" customWidth="1"/>
    <col min="11535" max="11535" width="11.140625" style="148" customWidth="1"/>
    <col min="11536" max="11536" width="10.28515625" style="148" customWidth="1"/>
    <col min="11537" max="11537" width="12" style="148" customWidth="1"/>
    <col min="11538" max="11538" width="11" style="148" customWidth="1"/>
    <col min="11539" max="11539" width="9.5703125" style="148" customWidth="1"/>
    <col min="11540" max="11540" width="8" style="148" customWidth="1"/>
    <col min="11541" max="11777" width="9" style="148"/>
    <col min="11778" max="11778" width="4.42578125" style="148" customWidth="1"/>
    <col min="11779" max="11779" width="24.5703125" style="148" customWidth="1"/>
    <col min="11780" max="11787" width="13.7109375" style="148" customWidth="1"/>
    <col min="11788" max="11788" width="7.140625" style="148" customWidth="1"/>
    <col min="11789" max="11789" width="15.140625" style="148" customWidth="1"/>
    <col min="11790" max="11790" width="10.140625" style="148" customWidth="1"/>
    <col min="11791" max="11791" width="11.140625" style="148" customWidth="1"/>
    <col min="11792" max="11792" width="10.28515625" style="148" customWidth="1"/>
    <col min="11793" max="11793" width="12" style="148" customWidth="1"/>
    <col min="11794" max="11794" width="11" style="148" customWidth="1"/>
    <col min="11795" max="11795" width="9.5703125" style="148" customWidth="1"/>
    <col min="11796" max="11796" width="8" style="148" customWidth="1"/>
    <col min="11797" max="12033" width="9" style="148"/>
    <col min="12034" max="12034" width="4.42578125" style="148" customWidth="1"/>
    <col min="12035" max="12035" width="24.5703125" style="148" customWidth="1"/>
    <col min="12036" max="12043" width="13.7109375" style="148" customWidth="1"/>
    <col min="12044" max="12044" width="7.140625" style="148" customWidth="1"/>
    <col min="12045" max="12045" width="15.140625" style="148" customWidth="1"/>
    <col min="12046" max="12046" width="10.140625" style="148" customWidth="1"/>
    <col min="12047" max="12047" width="11.140625" style="148" customWidth="1"/>
    <col min="12048" max="12048" width="10.28515625" style="148" customWidth="1"/>
    <col min="12049" max="12049" width="12" style="148" customWidth="1"/>
    <col min="12050" max="12050" width="11" style="148" customWidth="1"/>
    <col min="12051" max="12051" width="9.5703125" style="148" customWidth="1"/>
    <col min="12052" max="12052" width="8" style="148" customWidth="1"/>
    <col min="12053" max="12289" width="9" style="148"/>
    <col min="12290" max="12290" width="4.42578125" style="148" customWidth="1"/>
    <col min="12291" max="12291" width="24.5703125" style="148" customWidth="1"/>
    <col min="12292" max="12299" width="13.7109375" style="148" customWidth="1"/>
    <col min="12300" max="12300" width="7.140625" style="148" customWidth="1"/>
    <col min="12301" max="12301" width="15.140625" style="148" customWidth="1"/>
    <col min="12302" max="12302" width="10.140625" style="148" customWidth="1"/>
    <col min="12303" max="12303" width="11.140625" style="148" customWidth="1"/>
    <col min="12304" max="12304" width="10.28515625" style="148" customWidth="1"/>
    <col min="12305" max="12305" width="12" style="148" customWidth="1"/>
    <col min="12306" max="12306" width="11" style="148" customWidth="1"/>
    <col min="12307" max="12307" width="9.5703125" style="148" customWidth="1"/>
    <col min="12308" max="12308" width="8" style="148" customWidth="1"/>
    <col min="12309" max="12545" width="9" style="148"/>
    <col min="12546" max="12546" width="4.42578125" style="148" customWidth="1"/>
    <col min="12547" max="12547" width="24.5703125" style="148" customWidth="1"/>
    <col min="12548" max="12555" width="13.7109375" style="148" customWidth="1"/>
    <col min="12556" max="12556" width="7.140625" style="148" customWidth="1"/>
    <col min="12557" max="12557" width="15.140625" style="148" customWidth="1"/>
    <col min="12558" max="12558" width="10.140625" style="148" customWidth="1"/>
    <col min="12559" max="12559" width="11.140625" style="148" customWidth="1"/>
    <col min="12560" max="12560" width="10.28515625" style="148" customWidth="1"/>
    <col min="12561" max="12561" width="12" style="148" customWidth="1"/>
    <col min="12562" max="12562" width="11" style="148" customWidth="1"/>
    <col min="12563" max="12563" width="9.5703125" style="148" customWidth="1"/>
    <col min="12564" max="12564" width="8" style="148" customWidth="1"/>
    <col min="12565" max="12801" width="9" style="148"/>
    <col min="12802" max="12802" width="4.42578125" style="148" customWidth="1"/>
    <col min="12803" max="12803" width="24.5703125" style="148" customWidth="1"/>
    <col min="12804" max="12811" width="13.7109375" style="148" customWidth="1"/>
    <col min="12812" max="12812" width="7.140625" style="148" customWidth="1"/>
    <col min="12813" max="12813" width="15.140625" style="148" customWidth="1"/>
    <col min="12814" max="12814" width="10.140625" style="148" customWidth="1"/>
    <col min="12815" max="12815" width="11.140625" style="148" customWidth="1"/>
    <col min="12816" max="12816" width="10.28515625" style="148" customWidth="1"/>
    <col min="12817" max="12817" width="12" style="148" customWidth="1"/>
    <col min="12818" max="12818" width="11" style="148" customWidth="1"/>
    <col min="12819" max="12819" width="9.5703125" style="148" customWidth="1"/>
    <col min="12820" max="12820" width="8" style="148" customWidth="1"/>
    <col min="12821" max="13057" width="9" style="148"/>
    <col min="13058" max="13058" width="4.42578125" style="148" customWidth="1"/>
    <col min="13059" max="13059" width="24.5703125" style="148" customWidth="1"/>
    <col min="13060" max="13067" width="13.7109375" style="148" customWidth="1"/>
    <col min="13068" max="13068" width="7.140625" style="148" customWidth="1"/>
    <col min="13069" max="13069" width="15.140625" style="148" customWidth="1"/>
    <col min="13070" max="13070" width="10.140625" style="148" customWidth="1"/>
    <col min="13071" max="13071" width="11.140625" style="148" customWidth="1"/>
    <col min="13072" max="13072" width="10.28515625" style="148" customWidth="1"/>
    <col min="13073" max="13073" width="12" style="148" customWidth="1"/>
    <col min="13074" max="13074" width="11" style="148" customWidth="1"/>
    <col min="13075" max="13075" width="9.5703125" style="148" customWidth="1"/>
    <col min="13076" max="13076" width="8" style="148" customWidth="1"/>
    <col min="13077" max="13313" width="9" style="148"/>
    <col min="13314" max="13314" width="4.42578125" style="148" customWidth="1"/>
    <col min="13315" max="13315" width="24.5703125" style="148" customWidth="1"/>
    <col min="13316" max="13323" width="13.7109375" style="148" customWidth="1"/>
    <col min="13324" max="13324" width="7.140625" style="148" customWidth="1"/>
    <col min="13325" max="13325" width="15.140625" style="148" customWidth="1"/>
    <col min="13326" max="13326" width="10.140625" style="148" customWidth="1"/>
    <col min="13327" max="13327" width="11.140625" style="148" customWidth="1"/>
    <col min="13328" max="13328" width="10.28515625" style="148" customWidth="1"/>
    <col min="13329" max="13329" width="12" style="148" customWidth="1"/>
    <col min="13330" max="13330" width="11" style="148" customWidth="1"/>
    <col min="13331" max="13331" width="9.5703125" style="148" customWidth="1"/>
    <col min="13332" max="13332" width="8" style="148" customWidth="1"/>
    <col min="13333" max="13569" width="9" style="148"/>
    <col min="13570" max="13570" width="4.42578125" style="148" customWidth="1"/>
    <col min="13571" max="13571" width="24.5703125" style="148" customWidth="1"/>
    <col min="13572" max="13579" width="13.7109375" style="148" customWidth="1"/>
    <col min="13580" max="13580" width="7.140625" style="148" customWidth="1"/>
    <col min="13581" max="13581" width="15.140625" style="148" customWidth="1"/>
    <col min="13582" max="13582" width="10.140625" style="148" customWidth="1"/>
    <col min="13583" max="13583" width="11.140625" style="148" customWidth="1"/>
    <col min="13584" max="13584" width="10.28515625" style="148" customWidth="1"/>
    <col min="13585" max="13585" width="12" style="148" customWidth="1"/>
    <col min="13586" max="13586" width="11" style="148" customWidth="1"/>
    <col min="13587" max="13587" width="9.5703125" style="148" customWidth="1"/>
    <col min="13588" max="13588" width="8" style="148" customWidth="1"/>
    <col min="13589" max="13825" width="9" style="148"/>
    <col min="13826" max="13826" width="4.42578125" style="148" customWidth="1"/>
    <col min="13827" max="13827" width="24.5703125" style="148" customWidth="1"/>
    <col min="13828" max="13835" width="13.7109375" style="148" customWidth="1"/>
    <col min="13836" max="13836" width="7.140625" style="148" customWidth="1"/>
    <col min="13837" max="13837" width="15.140625" style="148" customWidth="1"/>
    <col min="13838" max="13838" width="10.140625" style="148" customWidth="1"/>
    <col min="13839" max="13839" width="11.140625" style="148" customWidth="1"/>
    <col min="13840" max="13840" width="10.28515625" style="148" customWidth="1"/>
    <col min="13841" max="13841" width="12" style="148" customWidth="1"/>
    <col min="13842" max="13842" width="11" style="148" customWidth="1"/>
    <col min="13843" max="13843" width="9.5703125" style="148" customWidth="1"/>
    <col min="13844" max="13844" width="8" style="148" customWidth="1"/>
    <col min="13845" max="14081" width="9" style="148"/>
    <col min="14082" max="14082" width="4.42578125" style="148" customWidth="1"/>
    <col min="14083" max="14083" width="24.5703125" style="148" customWidth="1"/>
    <col min="14084" max="14091" width="13.7109375" style="148" customWidth="1"/>
    <col min="14092" max="14092" width="7.140625" style="148" customWidth="1"/>
    <col min="14093" max="14093" width="15.140625" style="148" customWidth="1"/>
    <col min="14094" max="14094" width="10.140625" style="148" customWidth="1"/>
    <col min="14095" max="14095" width="11.140625" style="148" customWidth="1"/>
    <col min="14096" max="14096" width="10.28515625" style="148" customWidth="1"/>
    <col min="14097" max="14097" width="12" style="148" customWidth="1"/>
    <col min="14098" max="14098" width="11" style="148" customWidth="1"/>
    <col min="14099" max="14099" width="9.5703125" style="148" customWidth="1"/>
    <col min="14100" max="14100" width="8" style="148" customWidth="1"/>
    <col min="14101" max="14337" width="9" style="148"/>
    <col min="14338" max="14338" width="4.42578125" style="148" customWidth="1"/>
    <col min="14339" max="14339" width="24.5703125" style="148" customWidth="1"/>
    <col min="14340" max="14347" width="13.7109375" style="148" customWidth="1"/>
    <col min="14348" max="14348" width="7.140625" style="148" customWidth="1"/>
    <col min="14349" max="14349" width="15.140625" style="148" customWidth="1"/>
    <col min="14350" max="14350" width="10.140625" style="148" customWidth="1"/>
    <col min="14351" max="14351" width="11.140625" style="148" customWidth="1"/>
    <col min="14352" max="14352" width="10.28515625" style="148" customWidth="1"/>
    <col min="14353" max="14353" width="12" style="148" customWidth="1"/>
    <col min="14354" max="14354" width="11" style="148" customWidth="1"/>
    <col min="14355" max="14355" width="9.5703125" style="148" customWidth="1"/>
    <col min="14356" max="14356" width="8" style="148" customWidth="1"/>
    <col min="14357" max="14593" width="9" style="148"/>
    <col min="14594" max="14594" width="4.42578125" style="148" customWidth="1"/>
    <col min="14595" max="14595" width="24.5703125" style="148" customWidth="1"/>
    <col min="14596" max="14603" width="13.7109375" style="148" customWidth="1"/>
    <col min="14604" max="14604" width="7.140625" style="148" customWidth="1"/>
    <col min="14605" max="14605" width="15.140625" style="148" customWidth="1"/>
    <col min="14606" max="14606" width="10.140625" style="148" customWidth="1"/>
    <col min="14607" max="14607" width="11.140625" style="148" customWidth="1"/>
    <col min="14608" max="14608" width="10.28515625" style="148" customWidth="1"/>
    <col min="14609" max="14609" width="12" style="148" customWidth="1"/>
    <col min="14610" max="14610" width="11" style="148" customWidth="1"/>
    <col min="14611" max="14611" width="9.5703125" style="148" customWidth="1"/>
    <col min="14612" max="14612" width="8" style="148" customWidth="1"/>
    <col min="14613" max="14849" width="9" style="148"/>
    <col min="14850" max="14850" width="4.42578125" style="148" customWidth="1"/>
    <col min="14851" max="14851" width="24.5703125" style="148" customWidth="1"/>
    <col min="14852" max="14859" width="13.7109375" style="148" customWidth="1"/>
    <col min="14860" max="14860" width="7.140625" style="148" customWidth="1"/>
    <col min="14861" max="14861" width="15.140625" style="148" customWidth="1"/>
    <col min="14862" max="14862" width="10.140625" style="148" customWidth="1"/>
    <col min="14863" max="14863" width="11.140625" style="148" customWidth="1"/>
    <col min="14864" max="14864" width="10.28515625" style="148" customWidth="1"/>
    <col min="14865" max="14865" width="12" style="148" customWidth="1"/>
    <col min="14866" max="14866" width="11" style="148" customWidth="1"/>
    <col min="14867" max="14867" width="9.5703125" style="148" customWidth="1"/>
    <col min="14868" max="14868" width="8" style="148" customWidth="1"/>
    <col min="14869" max="15105" width="9" style="148"/>
    <col min="15106" max="15106" width="4.42578125" style="148" customWidth="1"/>
    <col min="15107" max="15107" width="24.5703125" style="148" customWidth="1"/>
    <col min="15108" max="15115" width="13.7109375" style="148" customWidth="1"/>
    <col min="15116" max="15116" width="7.140625" style="148" customWidth="1"/>
    <col min="15117" max="15117" width="15.140625" style="148" customWidth="1"/>
    <col min="15118" max="15118" width="10.140625" style="148" customWidth="1"/>
    <col min="15119" max="15119" width="11.140625" style="148" customWidth="1"/>
    <col min="15120" max="15120" width="10.28515625" style="148" customWidth="1"/>
    <col min="15121" max="15121" width="12" style="148" customWidth="1"/>
    <col min="15122" max="15122" width="11" style="148" customWidth="1"/>
    <col min="15123" max="15123" width="9.5703125" style="148" customWidth="1"/>
    <col min="15124" max="15124" width="8" style="148" customWidth="1"/>
    <col min="15125" max="15361" width="9" style="148"/>
    <col min="15362" max="15362" width="4.42578125" style="148" customWidth="1"/>
    <col min="15363" max="15363" width="24.5703125" style="148" customWidth="1"/>
    <col min="15364" max="15371" width="13.7109375" style="148" customWidth="1"/>
    <col min="15372" max="15372" width="7.140625" style="148" customWidth="1"/>
    <col min="15373" max="15373" width="15.140625" style="148" customWidth="1"/>
    <col min="15374" max="15374" width="10.140625" style="148" customWidth="1"/>
    <col min="15375" max="15375" width="11.140625" style="148" customWidth="1"/>
    <col min="15376" max="15376" width="10.28515625" style="148" customWidth="1"/>
    <col min="15377" max="15377" width="12" style="148" customWidth="1"/>
    <col min="15378" max="15378" width="11" style="148" customWidth="1"/>
    <col min="15379" max="15379" width="9.5703125" style="148" customWidth="1"/>
    <col min="15380" max="15380" width="8" style="148" customWidth="1"/>
    <col min="15381" max="15617" width="9" style="148"/>
    <col min="15618" max="15618" width="4.42578125" style="148" customWidth="1"/>
    <col min="15619" max="15619" width="24.5703125" style="148" customWidth="1"/>
    <col min="15620" max="15627" width="13.7109375" style="148" customWidth="1"/>
    <col min="15628" max="15628" width="7.140625" style="148" customWidth="1"/>
    <col min="15629" max="15629" width="15.140625" style="148" customWidth="1"/>
    <col min="15630" max="15630" width="10.140625" style="148" customWidth="1"/>
    <col min="15631" max="15631" width="11.140625" style="148" customWidth="1"/>
    <col min="15632" max="15632" width="10.28515625" style="148" customWidth="1"/>
    <col min="15633" max="15633" width="12" style="148" customWidth="1"/>
    <col min="15634" max="15634" width="11" style="148" customWidth="1"/>
    <col min="15635" max="15635" width="9.5703125" style="148" customWidth="1"/>
    <col min="15636" max="15636" width="8" style="148" customWidth="1"/>
    <col min="15637" max="15873" width="9" style="148"/>
    <col min="15874" max="15874" width="4.42578125" style="148" customWidth="1"/>
    <col min="15875" max="15875" width="24.5703125" style="148" customWidth="1"/>
    <col min="15876" max="15883" width="13.7109375" style="148" customWidth="1"/>
    <col min="15884" max="15884" width="7.140625" style="148" customWidth="1"/>
    <col min="15885" max="15885" width="15.140625" style="148" customWidth="1"/>
    <col min="15886" max="15886" width="10.140625" style="148" customWidth="1"/>
    <col min="15887" max="15887" width="11.140625" style="148" customWidth="1"/>
    <col min="15888" max="15888" width="10.28515625" style="148" customWidth="1"/>
    <col min="15889" max="15889" width="12" style="148" customWidth="1"/>
    <col min="15890" max="15890" width="11" style="148" customWidth="1"/>
    <col min="15891" max="15891" width="9.5703125" style="148" customWidth="1"/>
    <col min="15892" max="15892" width="8" style="148" customWidth="1"/>
    <col min="15893" max="16129" width="9" style="148"/>
    <col min="16130" max="16130" width="4.42578125" style="148" customWidth="1"/>
    <col min="16131" max="16131" width="24.5703125" style="148" customWidth="1"/>
    <col min="16132" max="16139" width="13.7109375" style="148" customWidth="1"/>
    <col min="16140" max="16140" width="7.140625" style="148" customWidth="1"/>
    <col min="16141" max="16141" width="15.140625" style="148" customWidth="1"/>
    <col min="16142" max="16142" width="10.140625" style="148" customWidth="1"/>
    <col min="16143" max="16143" width="11.140625" style="148" customWidth="1"/>
    <col min="16144" max="16144" width="10.28515625" style="148" customWidth="1"/>
    <col min="16145" max="16145" width="12" style="148" customWidth="1"/>
    <col min="16146" max="16146" width="11" style="148" customWidth="1"/>
    <col min="16147" max="16147" width="9.5703125" style="148" customWidth="1"/>
    <col min="16148" max="16148" width="8" style="148" customWidth="1"/>
    <col min="16149" max="16384" width="9" style="148"/>
  </cols>
  <sheetData>
    <row r="1" spans="1:31" x14ac:dyDescent="0.25">
      <c r="A1" s="148" t="s">
        <v>112</v>
      </c>
    </row>
    <row r="2" spans="1:31" s="802" customFormat="1" ht="24.95" customHeight="1" x14ac:dyDescent="0.5">
      <c r="B2" s="1477" t="s">
        <v>547</v>
      </c>
      <c r="C2" s="1477"/>
      <c r="D2" s="1477"/>
      <c r="E2" s="1477"/>
      <c r="F2" s="1477"/>
      <c r="G2" s="1477"/>
      <c r="H2" s="1477"/>
      <c r="I2" s="1477"/>
      <c r="J2" s="1477"/>
      <c r="K2" s="1477"/>
      <c r="L2" s="803"/>
      <c r="M2" s="803"/>
      <c r="N2" s="803"/>
      <c r="O2" s="803"/>
      <c r="P2" s="803"/>
      <c r="Q2" s="803"/>
      <c r="R2" s="803"/>
      <c r="S2" s="803"/>
      <c r="T2" s="803"/>
    </row>
    <row r="3" spans="1:31" ht="7.5" customHeight="1" x14ac:dyDescent="0.25"/>
    <row r="4" spans="1:31" ht="7.5" customHeight="1" x14ac:dyDescent="0.25"/>
    <row r="5" spans="1:31" ht="20.100000000000001" customHeight="1" x14ac:dyDescent="0.25">
      <c r="I5" s="804" t="s">
        <v>86</v>
      </c>
      <c r="J5" s="1478" t="str">
        <f>LPKK!Q4</f>
        <v>SC MARABAHAN</v>
      </c>
      <c r="K5" s="1478"/>
    </row>
    <row r="6" spans="1:31" ht="20.100000000000001" customHeight="1" x14ac:dyDescent="0.25">
      <c r="A6" s="1479"/>
      <c r="B6" s="1479"/>
      <c r="C6" s="805"/>
      <c r="D6" s="806"/>
      <c r="E6" s="806"/>
      <c r="G6" s="570"/>
      <c r="H6" s="570"/>
      <c r="I6" s="66" t="s">
        <v>87</v>
      </c>
      <c r="J6" s="1478" t="str">
        <f>LPKK!Q5</f>
        <v>1-7 JULI 2026</v>
      </c>
      <c r="K6" s="1478"/>
    </row>
    <row r="7" spans="1:31" ht="9" customHeight="1" thickBot="1" x14ac:dyDescent="0.3">
      <c r="A7" s="1479"/>
      <c r="B7" s="1479"/>
      <c r="C7" s="805"/>
      <c r="D7" s="806"/>
      <c r="E7" s="806"/>
      <c r="G7" s="807"/>
      <c r="H7" s="807"/>
      <c r="I7" s="808"/>
      <c r="J7" s="807"/>
      <c r="K7" s="154"/>
    </row>
    <row r="8" spans="1:31" ht="15.75" customHeight="1" x14ac:dyDescent="0.25">
      <c r="A8" s="1469" t="s">
        <v>89</v>
      </c>
      <c r="B8" s="1471" t="s">
        <v>548</v>
      </c>
      <c r="C8" s="1473" t="s">
        <v>549</v>
      </c>
      <c r="D8" s="1475" t="s">
        <v>550</v>
      </c>
      <c r="E8" s="1473" t="s">
        <v>551</v>
      </c>
      <c r="F8" s="1488" t="s">
        <v>552</v>
      </c>
      <c r="G8" s="1473" t="s">
        <v>937</v>
      </c>
      <c r="H8" s="1473" t="s">
        <v>938</v>
      </c>
      <c r="I8" s="1488" t="s">
        <v>553</v>
      </c>
      <c r="J8" s="1490" t="s">
        <v>554</v>
      </c>
      <c r="K8" s="1492" t="s">
        <v>555</v>
      </c>
      <c r="M8" s="1480" t="s">
        <v>939</v>
      </c>
      <c r="N8" s="1481"/>
      <c r="O8" s="1481"/>
      <c r="P8" s="1481"/>
      <c r="Q8" s="1481"/>
      <c r="R8" s="1481"/>
      <c r="S8" s="1481"/>
      <c r="T8" s="1481"/>
      <c r="U8" s="1482"/>
      <c r="W8" s="1480" t="s">
        <v>940</v>
      </c>
      <c r="X8" s="1481"/>
      <c r="Y8" s="1481"/>
      <c r="Z8" s="1481"/>
      <c r="AA8" s="1481"/>
      <c r="AB8" s="1481"/>
      <c r="AC8" s="1481"/>
      <c r="AD8" s="1481"/>
      <c r="AE8" s="1482"/>
    </row>
    <row r="9" spans="1:31" ht="15.75" customHeight="1" thickBot="1" x14ac:dyDescent="0.3">
      <c r="A9" s="1470"/>
      <c r="B9" s="1472"/>
      <c r="C9" s="1474"/>
      <c r="D9" s="1476"/>
      <c r="E9" s="1474"/>
      <c r="F9" s="1489"/>
      <c r="G9" s="1476"/>
      <c r="H9" s="1498"/>
      <c r="I9" s="1489"/>
      <c r="J9" s="1491"/>
      <c r="K9" s="1493"/>
      <c r="M9" s="1483"/>
      <c r="N9" s="1484"/>
      <c r="O9" s="1484"/>
      <c r="P9" s="1484"/>
      <c r="Q9" s="1484"/>
      <c r="R9" s="1484"/>
      <c r="S9" s="1484"/>
      <c r="T9" s="1484"/>
      <c r="U9" s="1485"/>
      <c r="W9" s="1483"/>
      <c r="X9" s="1484"/>
      <c r="Y9" s="1484"/>
      <c r="Z9" s="1484"/>
      <c r="AA9" s="1484"/>
      <c r="AB9" s="1484"/>
      <c r="AC9" s="1484"/>
      <c r="AD9" s="1484"/>
      <c r="AE9" s="1485"/>
    </row>
    <row r="10" spans="1:31" ht="18.75" customHeight="1" thickBot="1" x14ac:dyDescent="0.3">
      <c r="A10" s="1155">
        <v>1</v>
      </c>
      <c r="B10" s="1158" t="str">
        <f>VENDOR!D10</f>
        <v>DADA MENTOK</v>
      </c>
      <c r="C10" s="1071">
        <f>VENDOR!H10</f>
        <v>35</v>
      </c>
      <c r="D10" s="1071">
        <f>VENDOR!AJ10</f>
        <v>70</v>
      </c>
      <c r="E10" s="1071">
        <f>VENDOR!AL10</f>
        <v>34</v>
      </c>
      <c r="F10" s="1071">
        <f>C10+D10-E10</f>
        <v>71</v>
      </c>
      <c r="G10" s="877">
        <f>P10</f>
        <v>42.099999999999994</v>
      </c>
      <c r="H10" s="877">
        <f>Z10</f>
        <v>0</v>
      </c>
      <c r="I10" s="877">
        <f>G10+H10-(F10-J10)</f>
        <v>-28.900000000000006</v>
      </c>
      <c r="J10" s="877"/>
      <c r="K10" s="878"/>
      <c r="M10" s="1120" t="s">
        <v>27</v>
      </c>
      <c r="N10" s="131"/>
      <c r="O10" s="131"/>
      <c r="P10" s="1121">
        <f>P12+P15+U12+U15+P11</f>
        <v>42.099999999999994</v>
      </c>
      <c r="Q10" s="131"/>
      <c r="R10" s="131"/>
      <c r="S10" s="131"/>
      <c r="T10" s="131"/>
      <c r="U10" s="1122"/>
      <c r="W10" s="1120" t="s">
        <v>27</v>
      </c>
      <c r="X10" s="131"/>
      <c r="Y10" s="131"/>
      <c r="Z10" s="1121">
        <f>Z12+Z15+AE12+AE15+Z11</f>
        <v>0</v>
      </c>
      <c r="AA10" s="131"/>
      <c r="AB10" s="131"/>
      <c r="AC10" s="131"/>
      <c r="AD10" s="131"/>
      <c r="AE10" s="1122"/>
    </row>
    <row r="11" spans="1:31" ht="18.75" customHeight="1" thickBot="1" x14ac:dyDescent="0.3">
      <c r="A11" s="1156">
        <v>2</v>
      </c>
      <c r="B11" s="1159" t="str">
        <f>VENDOR!D11</f>
        <v xml:space="preserve">DADA </v>
      </c>
      <c r="C11" s="1072">
        <f>VENDOR!H11</f>
        <v>60</v>
      </c>
      <c r="D11" s="1072">
        <f>VENDOR!AJ11</f>
        <v>156</v>
      </c>
      <c r="E11" s="1072">
        <f>VENDOR!AL11</f>
        <v>51</v>
      </c>
      <c r="F11" s="1073">
        <f t="shared" ref="F11:F74" si="0">C11+D11-E11</f>
        <v>165</v>
      </c>
      <c r="G11" s="820">
        <f>SUM('LAP. PENJUALAN REGULER'!N8,'LAP. PENJUALAN REGULER'!N28,'LAP. PENJUALAN REGULER'!N38,'LAP. PENJUALAN REGULER'!N42,'LAP. PENJUALAN REGULER'!N48,'LAP. PENJUALAN REGULER'!N52,'LAP. PENJUALAN REGULER'!N58,)</f>
        <v>203</v>
      </c>
      <c r="H11" s="820">
        <f>SUM('LAP. PENJUALAN GRABFOOD'!N8,'LAP. PENJUALAN GRABFOOD'!N23,'LAP. PENJUALAN GRABFOOD'!N28,'LAP. PENJUALAN GRABFOOD'!N38,'LAP. PENJUALAN GRABFOOD'!N42,'LAP. PENJUALAN GRABFOOD'!N48,'LAP. PENJUALAN GRABFOOD'!N52,'LAP. PENJUALAN GRABFOOD'!N58,'LAP. PENJUALAN GOFOOD'!N8,'LAP. PENJUALAN GOFOOD'!N23,'LAP. PENJUALAN GOFOOD'!N28,'LAP. PENJUALAN GOFOOD'!N38,'LAP. PENJUALAN GOFOOD'!N42,'LAP. PENJUALAN GOFOOD'!N48,'LAP. PENJUALAN GOFOOD'!N52,'LAP. PENJUALAN GOFOOD'!N58,'LAP. PENJUALAN SHOPEFOOD'!N8,'LAP. PENJUALAN SHOPEFOOD'!N23,'LAP. PENJUALAN SHOPEFOOD'!N28,'LAP. PENJUALAN SHOPEFOOD'!N38,'LAP. PENJUALAN SHOPEFOOD'!N42,'LAP. PENJUALAN SHOPEFOOD'!N48,'LAP. PENJUALAN SHOPEFOOD'!N52,'LAP. PENJUALAN SHOPEFOOD'!N58)</f>
        <v>0</v>
      </c>
      <c r="I11" s="1494">
        <f>G11+G12+H11+H12-((F11+F12)-J11)</f>
        <v>29</v>
      </c>
      <c r="J11" s="1495">
        <f>SUM('LEFT OVER'!L9,'LEFT OVER'!L10,'LEFT OVER'!L13,'LEFT OVER'!L15)</f>
        <v>12</v>
      </c>
      <c r="K11" s="1180">
        <f>I10+I11</f>
        <v>9.9999999999994316E-2</v>
      </c>
      <c r="M11" s="1129"/>
      <c r="N11" s="1171">
        <f>SUM('LAP. PENJUALAN REGULER'!N53)+'LAP. PENJUALAN REGULER'!N59</f>
        <v>7</v>
      </c>
      <c r="O11" s="1172">
        <v>2</v>
      </c>
      <c r="P11" s="1173">
        <f>N11/N13*O11</f>
        <v>2.8</v>
      </c>
      <c r="Q11" s="131"/>
      <c r="R11" s="131"/>
      <c r="S11" s="131"/>
      <c r="T11" s="131"/>
      <c r="U11" s="1122"/>
      <c r="W11" s="1129"/>
      <c r="X11" s="1132">
        <f>SUM('LAP. PENJUALAN GRABFOOD'!N53,'LAP. PENJUALAN GOFOOD'!N53,'LAP. PENJUALAN SHOPEFOOD'!N53)</f>
        <v>0</v>
      </c>
      <c r="Y11" s="1172">
        <v>2</v>
      </c>
      <c r="Z11" s="1173">
        <f>X11/X13*Y11</f>
        <v>0</v>
      </c>
      <c r="AA11" s="131"/>
      <c r="AB11" s="131"/>
      <c r="AC11" s="131"/>
      <c r="AD11" s="131"/>
      <c r="AE11" s="1122"/>
    </row>
    <row r="12" spans="1:31" ht="18.75" customHeight="1" thickBot="1" x14ac:dyDescent="0.3">
      <c r="A12" s="1156">
        <v>3</v>
      </c>
      <c r="B12" s="1159" t="str">
        <f>VENDOR!D12</f>
        <v>PAHA ATAS</v>
      </c>
      <c r="C12" s="1072">
        <f>VENDOR!H12</f>
        <v>46</v>
      </c>
      <c r="D12" s="1072">
        <f>VENDOR!AJ12</f>
        <v>170</v>
      </c>
      <c r="E12" s="1072">
        <f>VENDOR!AL12</f>
        <v>59</v>
      </c>
      <c r="F12" s="1073">
        <f t="shared" si="0"/>
        <v>157</v>
      </c>
      <c r="G12" s="820">
        <f>SUM('LAP. PENJUALAN REGULER'!N9,'LAP. PENJUALAN REGULER'!N23,'LAP. PENJUALAN REGULER'!N29,'LAP. PENJUALAN REGULER'!N39,)+'LAP. PENJUALAN REGULER'!N64</f>
        <v>136</v>
      </c>
      <c r="H12" s="820">
        <f>SUM('LAP. PENJUALAN GRABFOOD'!N9,'LAP. PENJUALAN GRABFOOD'!N29,'LAP. PENJUALAN GRABFOOD'!N39,,'LAP. PENJUALAN GOFOOD'!N9,'LAP. PENJUALAN GOFOOD'!N29,'LAP. PENJUALAN GOFOOD'!N39,'LAP. PENJUALAN SHOPEFOOD'!N9,'LAP. PENJUALAN SHOPEFOOD'!N29,'LAP. PENJUALAN SHOPEFOOD'!N39,)</f>
        <v>0</v>
      </c>
      <c r="I12" s="1494"/>
      <c r="J12" s="1495"/>
      <c r="K12" s="814"/>
      <c r="M12" s="1131" t="s">
        <v>556</v>
      </c>
      <c r="N12" s="1171">
        <f>SUM('LAP. PENJUALAN REGULER'!N12,'LAP. PENJUALAN REGULER'!N30,'LAP. PENJUALAN REGULER'!N43)</f>
        <v>30</v>
      </c>
      <c r="O12" s="1172">
        <v>3</v>
      </c>
      <c r="P12" s="1133">
        <f>N12/N13*O12</f>
        <v>18</v>
      </c>
      <c r="Q12" s="131"/>
      <c r="R12" s="1124" t="s">
        <v>557</v>
      </c>
      <c r="S12" s="1125">
        <f>SUM('LAP. PENJUALAN REGULER'!N20,'LAP. PENJUALAN REGULER'!N21,'LAP. PENJUALAN REGULER'!N32)</f>
        <v>22</v>
      </c>
      <c r="T12" s="1116"/>
      <c r="U12" s="1117">
        <f>S12/S13</f>
        <v>4.4000000000000004</v>
      </c>
      <c r="W12" s="1131" t="s">
        <v>556</v>
      </c>
      <c r="X12" s="1171">
        <f>SUM('LAP. PENJUALAN GRABFOOD'!N12,'LAP. PENJUALAN GRABFOOD'!N30,'LAP. PENJUALAN GRABFOOD'!N43,'LAP. PENJUALAN GOFOOD'!N12,'LAP. PENJUALAN GOFOOD'!N30,'LAP. PENJUALAN GOFOOD'!N43,'LAP. PENJUALAN SHOPEFOOD'!N12,'LAP. PENJUALAN SHOPEFOOD'!N30,'LAP. PENJUALAN SHOPEFOOD'!N43)</f>
        <v>0</v>
      </c>
      <c r="Y12" s="1172">
        <v>3</v>
      </c>
      <c r="Z12" s="1173">
        <f>X12/X13*Y12</f>
        <v>0</v>
      </c>
      <c r="AA12" s="131"/>
      <c r="AB12" s="1124" t="s">
        <v>557</v>
      </c>
      <c r="AC12" s="1125">
        <f>SUM('LAP. PENJUALAN GRABFOOD'!N20,'LAP. PENJUALAN GRABFOOD'!N21,'LAP. PENJUALAN GRABFOOD'!N32,'LAP. PENJUALAN GOFOOD'!N20,'LAP. PENJUALAN GOFOOD'!N21,'LAP. PENJUALAN GOFOOD'!N32,'LAP. PENJUALAN SHOPEFOOD'!N20,'LAP. PENJUALAN SHOPEFOOD'!N21,'LAP. PENJUALAN SHOPEFOOD'!N32)</f>
        <v>0</v>
      </c>
      <c r="AD12" s="1116"/>
      <c r="AE12" s="1117">
        <f>AC12/AC13</f>
        <v>0</v>
      </c>
    </row>
    <row r="13" spans="1:31" ht="18.75" customHeight="1" thickBot="1" x14ac:dyDescent="0.3">
      <c r="A13" s="1156">
        <v>4</v>
      </c>
      <c r="B13" s="1159" t="str">
        <f>VENDOR!D13</f>
        <v>PAHA BAWAH</v>
      </c>
      <c r="C13" s="1072">
        <f>VENDOR!H13</f>
        <v>115</v>
      </c>
      <c r="D13" s="1072">
        <f>VENDOR!AJ13</f>
        <v>240</v>
      </c>
      <c r="E13" s="1072">
        <f>VENDOR!AL13</f>
        <v>128</v>
      </c>
      <c r="F13" s="1073">
        <f t="shared" si="0"/>
        <v>227</v>
      </c>
      <c r="G13" s="815">
        <f>SUM('LAP. PENJUALAN REGULER'!N10,'LAP. PENJUALAN REGULER'!N23,'LAP. PENJUALAN REGULER'!N27,'LAP. PENJUALAN REGULER'!N37,'LAP. PENJUALAN REGULER'!N41,'LAP. PENJUALAN REGULER'!N47,'LAP. PENJUALAN REGULER'!N51,'LAP. PENJUALAN REGULER'!N57)</f>
        <v>223</v>
      </c>
      <c r="H13" s="815">
        <f>SUM('LAP. PENJUALAN GRABFOOD'!N10,'LAP. PENJUALAN GRABFOOD'!N23,'LAP. PENJUALAN GRABFOOD'!N27,'LAP. PENJUALAN GRABFOOD'!N37,'LAP. PENJUALAN GRABFOOD'!N41,'LAP. PENJUALAN GRABFOOD'!N47,'LAP. PENJUALAN GRABFOOD'!N51,'LAP. PENJUALAN GRABFOOD'!N57,'LAP. PENJUALAN GOFOOD'!N10,'LAP. PENJUALAN GOFOOD'!N23,'LAP. PENJUALAN GOFOOD'!N27,'LAP. PENJUALAN GOFOOD'!N37,'LAP. PENJUALAN GOFOOD'!N41,'LAP. PENJUALAN GOFOOD'!N47,'LAP. PENJUALAN GOFOOD'!N51,'LAP. PENJUALAN SHOPEFOOD'!N10,'LAP. PENJUALAN SHOPEFOOD'!N27,'LAP. PENJUALAN SHOPEFOOD'!N37:'LAP. PENJUALAN SHOPEFOOD'!N41,'LAP. PENJUALAN SHOPEFOOD'!N47,'LAP. PENJUALAN SHOPEFOOD'!N51,'LAP. PENJUALAN SHOPEFOOD'!N57)</f>
        <v>0</v>
      </c>
      <c r="I13" s="815">
        <f t="shared" ref="I13:I19" si="1">G13+H13-(F13-J13)</f>
        <v>-1</v>
      </c>
      <c r="J13" s="818">
        <f>'LEFT OVER'!L11</f>
        <v>3</v>
      </c>
      <c r="K13" s="1496">
        <f>I13+I14</f>
        <v>0</v>
      </c>
      <c r="M13" s="1118"/>
      <c r="N13" s="1118">
        <v>5</v>
      </c>
      <c r="O13" s="165"/>
      <c r="P13" s="1119"/>
      <c r="Q13" s="131"/>
      <c r="R13" s="1118"/>
      <c r="S13" s="1118">
        <v>5</v>
      </c>
      <c r="T13" s="165"/>
      <c r="U13" s="1119"/>
      <c r="W13" s="1118"/>
      <c r="X13" s="1118">
        <v>5</v>
      </c>
      <c r="Y13" s="165"/>
      <c r="Z13" s="1119"/>
      <c r="AA13" s="131"/>
      <c r="AB13" s="1118"/>
      <c r="AC13" s="1118">
        <v>5</v>
      </c>
      <c r="AD13" s="165"/>
      <c r="AE13" s="1119"/>
    </row>
    <row r="14" spans="1:31" ht="18.75" customHeight="1" thickBot="1" x14ac:dyDescent="0.3">
      <c r="A14" s="1156">
        <v>5</v>
      </c>
      <c r="B14" s="1159" t="str">
        <f>VENDOR!D14</f>
        <v>SAYAP</v>
      </c>
      <c r="C14" s="1072">
        <f>VENDOR!H14</f>
        <v>183</v>
      </c>
      <c r="D14" s="1072">
        <f>VENDOR!AJ14</f>
        <v>240</v>
      </c>
      <c r="E14" s="1072">
        <f>VENDOR!AL14</f>
        <v>136</v>
      </c>
      <c r="F14" s="1073">
        <f t="shared" si="0"/>
        <v>287</v>
      </c>
      <c r="G14" s="815">
        <f>SUM('LAP. PENJUALAN REGULER'!N11,'LAP. PENJUALAN REGULER'!N26,'LAP. PENJUALAN REGULER'!N36,'LAP. PENJUALAN REGULER'!N46,'LAP. PENJUALAN REGULER'!N56)</f>
        <v>286</v>
      </c>
      <c r="H14" s="815">
        <f>SUM('LAP. PENJUALAN GRABFOOD'!N11,'LAP. PENJUALAN GRABFOOD'!N26,'LAP. PENJUALAN GRABFOOD'!N36,'LAP. PENJUALAN GRABFOOD'!N46,'LAP. PENJUALAN GRABFOOD'!N56,'LAP. PENJUALAN GOFOOD'!N11,'LAP. PENJUALAN GOFOOD'!N26,'LAP. PENJUALAN GOFOOD'!N36,'LAP. PENJUALAN GOFOOD'!N46,'LAP. PENJUALAN GOFOOD'!N56,'LAP. PENJUALAN SHOPEFOOD'!N11,'LAP. PENJUALAN SHOPEFOOD'!N26,'LAP. PENJUALAN SHOPEFOOD'!N36,'LAP. PENJUALAN SHOPEFOOD'!N46,'LAP. PENJUALAN SHOPEFOOD'!N56)</f>
        <v>0</v>
      </c>
      <c r="I14" s="815">
        <f>G14+H14-(F14-J14)</f>
        <v>1</v>
      </c>
      <c r="J14" s="818">
        <f>'LEFT OVER'!L12</f>
        <v>2</v>
      </c>
      <c r="K14" s="1497"/>
      <c r="M14" s="1123"/>
      <c r="N14" s="131"/>
      <c r="O14" s="131"/>
      <c r="P14" s="131"/>
      <c r="Q14" s="131"/>
      <c r="R14" s="131"/>
      <c r="S14" s="131"/>
      <c r="T14" s="131"/>
      <c r="U14" s="1122"/>
      <c r="W14" s="1123"/>
      <c r="X14" s="131"/>
      <c r="Y14" s="131"/>
      <c r="Z14" s="131"/>
      <c r="AA14" s="131"/>
      <c r="AB14" s="131"/>
      <c r="AC14" s="131"/>
      <c r="AD14" s="131"/>
      <c r="AE14" s="1122"/>
    </row>
    <row r="15" spans="1:31" ht="18.75" customHeight="1" x14ac:dyDescent="0.25">
      <c r="A15" s="1156">
        <v>6</v>
      </c>
      <c r="B15" s="1159" t="str">
        <f>VENDOR!D15</f>
        <v>CHICKEN PATTY</v>
      </c>
      <c r="C15" s="1072">
        <f>VENDOR!H15</f>
        <v>17</v>
      </c>
      <c r="D15" s="1072">
        <f>VENDOR!AJ15</f>
        <v>36</v>
      </c>
      <c r="E15" s="1072">
        <f>VENDOR!AL15</f>
        <v>22</v>
      </c>
      <c r="F15" s="1073">
        <f>C15+D15-E15</f>
        <v>31</v>
      </c>
      <c r="G15" s="815">
        <f>SUM('LAP. PENJUALAN REGULER'!N18,'LAP. PENJUALAN REGULER'!N19,'LAP. PENJUALAN REGULER'!N31,'LAP. PENJUALAN REGULER'!N44)</f>
        <v>31</v>
      </c>
      <c r="H15" s="815">
        <f>SUM('LAP. PENJUALAN GRABFOOD'!N18,'LAP. PENJUALAN GRABFOOD'!N19,'LAP. PENJUALAN GRABFOOD'!N31,'LAP. PENJUALAN GRABFOOD'!N44,'LAP. PENJUALAN GOFOOD'!N18,'LAP. PENJUALAN GOFOOD'!N19,'LAP. PENJUALAN GOFOOD'!N31,'LAP. PENJUALAN GOFOOD'!N44,'LAP. PENJUALAN SHOPEFOOD'!N18,'LAP. PENJUALAN SHOPEFOOD'!N19,'LAP. PENJUALAN SHOPEFOOD'!N31,'LAP. PENJUALAN SHOPEFOOD'!N44)</f>
        <v>0</v>
      </c>
      <c r="I15" s="815">
        <f>G15+H15-(F15-J15)</f>
        <v>0</v>
      </c>
      <c r="J15" s="824">
        <f>'LEFT OVER'!L14</f>
        <v>0</v>
      </c>
      <c r="K15" s="814"/>
      <c r="M15" s="1124" t="s">
        <v>593</v>
      </c>
      <c r="N15" s="1125">
        <f>SUM('LAP. PENJUALAN REGULER'!N22)+'LAP. PENJUALAN REGULER'!N81</f>
        <v>12</v>
      </c>
      <c r="O15" s="1116"/>
      <c r="P15" s="1126">
        <f>N15/N16</f>
        <v>2.4</v>
      </c>
      <c r="Q15" s="131"/>
      <c r="R15" s="1124" t="s">
        <v>558</v>
      </c>
      <c r="S15" s="1125">
        <f>SUM('LAP. PENJUALAN REGULER'!N13,'LAP. PENJUALAN REGULER'!N33,'LAP. PENJUALAN REGULER'!N54,'LAP. PENJUALAN REGULER'!N76,'LAP. PENJUALAN REGULER'!N77)</f>
        <v>29</v>
      </c>
      <c r="T15" s="1116"/>
      <c r="U15" s="1117">
        <f>S15/S16</f>
        <v>14.5</v>
      </c>
      <c r="W15" s="1124" t="s">
        <v>593</v>
      </c>
      <c r="X15" s="1125">
        <f>SUM('LAP. PENJUALAN GRABFOOD'!N22,'LAP. PENJUALAN GOFOOD'!N22,'LAP. PENJUALAN SHOPEFOOD'!N22)</f>
        <v>0</v>
      </c>
      <c r="Y15" s="1116"/>
      <c r="Z15" s="1126">
        <f>X15/X16</f>
        <v>0</v>
      </c>
      <c r="AA15" s="131"/>
      <c r="AB15" s="1124" t="s">
        <v>558</v>
      </c>
      <c r="AC15" s="1125">
        <f>SUM('LAP. PENJUALAN GRABFOOD'!N13,'LAP. PENJUALAN GRABFOOD'!N33,'LAP. PENJUALAN GRABFOOD'!N54,'LAP. PENJUALAN GOFOOD'!N13,'LAP. PENJUALAN GOFOOD'!N33,'LAP. PENJUALAN GOFOOD'!N54,'LAP. PENJUALAN SHOPEFOOD'!N13,'LAP. PENJUALAN SHOPEFOOD'!N33,'LAP. PENJUALAN SHOPEFOOD'!N54)</f>
        <v>0</v>
      </c>
      <c r="AD15" s="1116"/>
      <c r="AE15" s="1117">
        <f>AC15/AC16</f>
        <v>0</v>
      </c>
    </row>
    <row r="16" spans="1:31" ht="18.75" customHeight="1" thickBot="1" x14ac:dyDescent="0.3">
      <c r="A16" s="1156">
        <v>7</v>
      </c>
      <c r="B16" s="1159" t="str">
        <f>VENDOR!D16</f>
        <v>AYAM WHOLE</v>
      </c>
      <c r="C16" s="1072">
        <f>VENDOR!H16</f>
        <v>44</v>
      </c>
      <c r="D16" s="1072">
        <f>VENDOR!AJ16</f>
        <v>80</v>
      </c>
      <c r="E16" s="1072">
        <f>VENDOR!AL16</f>
        <v>26</v>
      </c>
      <c r="F16" s="1072">
        <f t="shared" si="0"/>
        <v>98</v>
      </c>
      <c r="G16" s="818">
        <f>SUM('LAP. PENJUALAN REGULER'!N60,'LAP. PENJUALAN REGULER'!N61,'LAP. PENJUALAN REGULER'!N62,'LAP. PENJUALAN REGULER'!N63)+'LAP. PENJUALAN REGULER'!N70+'LAP. PENJUALAN REGULER'!N71+'LAP. PENJUALAN REGULER'!N72+'LAP. PENJUALAN REGULER'!N73+'LAP. PENJUALAN REGULER'!N74+'LAP. PENJUALAN REGULER'!N75</f>
        <v>98</v>
      </c>
      <c r="H16" s="818">
        <f>SUM('LAP. PENJUALAN GRABFOOD'!N60,'LAP. PENJUALAN GRABFOOD'!N61,'LAP. PENJUALAN GRABFOOD'!N62,'LAP. PENJUALAN GRABFOOD'!N63,'LAP. PENJUALAN GOFOOD'!N60,'LAP. PENJUALAN GOFOOD'!N61,'LAP. PENJUALAN GOFOOD'!N62,'LAP. PENJUALAN GOFOOD'!N63,'LAP. PENJUALAN SHOPEFOOD'!N60,'LAP. PENJUALAN SHOPEFOOD'!N61,'LAP. PENJUALAN SHOPEFOOD'!N62,'LAP. PENJUALAN SHOPEFOOD'!N63)</f>
        <v>0</v>
      </c>
      <c r="I16" s="815">
        <f t="shared" si="1"/>
        <v>0</v>
      </c>
      <c r="J16" s="824"/>
      <c r="K16" s="814"/>
      <c r="M16" s="1127"/>
      <c r="N16" s="1118">
        <v>5</v>
      </c>
      <c r="O16" s="165"/>
      <c r="P16" s="1119"/>
      <c r="Q16" s="131"/>
      <c r="R16" s="1118"/>
      <c r="S16" s="1118">
        <v>2</v>
      </c>
      <c r="T16" s="165"/>
      <c r="U16" s="1119"/>
      <c r="W16" s="1127"/>
      <c r="X16" s="1118">
        <v>5</v>
      </c>
      <c r="Y16" s="165"/>
      <c r="Z16" s="1119"/>
      <c r="AA16" s="131"/>
      <c r="AB16" s="1118"/>
      <c r="AC16" s="1118">
        <v>2</v>
      </c>
      <c r="AD16" s="165"/>
      <c r="AE16" s="1119"/>
    </row>
    <row r="17" spans="1:31" ht="18.75" customHeight="1" thickBot="1" x14ac:dyDescent="0.3">
      <c r="A17" s="1156">
        <v>8</v>
      </c>
      <c r="B17" s="1159" t="str">
        <f>VENDOR!D17</f>
        <v>SAYAP FULL</v>
      </c>
      <c r="C17" s="1072">
        <f>VENDOR!H17</f>
        <v>0</v>
      </c>
      <c r="D17" s="1072">
        <f>VENDOR!AJ17</f>
        <v>0</v>
      </c>
      <c r="E17" s="1072">
        <f>VENDOR!AL17</f>
        <v>0</v>
      </c>
      <c r="F17" s="1072">
        <f t="shared" si="0"/>
        <v>0</v>
      </c>
      <c r="G17" s="818"/>
      <c r="H17" s="818"/>
      <c r="I17" s="815">
        <f t="shared" si="1"/>
        <v>0</v>
      </c>
      <c r="J17" s="824"/>
      <c r="K17" s="814"/>
      <c r="M17" s="1128"/>
      <c r="N17" s="131"/>
      <c r="O17" s="131"/>
      <c r="P17" s="131"/>
      <c r="Q17" s="131"/>
      <c r="R17" s="131"/>
      <c r="S17" s="131"/>
      <c r="T17" s="131"/>
      <c r="U17" s="1122"/>
      <c r="W17" s="1128"/>
      <c r="X17" s="131"/>
      <c r="Y17" s="131"/>
      <c r="Z17" s="131"/>
      <c r="AA17" s="131"/>
      <c r="AB17" s="131"/>
      <c r="AC17" s="131"/>
      <c r="AD17" s="131"/>
      <c r="AE17" s="1122"/>
    </row>
    <row r="18" spans="1:31" ht="18.75" customHeight="1" x14ac:dyDescent="0.25">
      <c r="A18" s="1156">
        <v>9</v>
      </c>
      <c r="B18" s="1159" t="str">
        <f>VENDOR!D18</f>
        <v>KULIT</v>
      </c>
      <c r="C18" s="1072">
        <f>VENDOR!H18</f>
        <v>9.9</v>
      </c>
      <c r="D18" s="1072">
        <f>VENDOR!AJ18</f>
        <v>10.55</v>
      </c>
      <c r="E18" s="1072">
        <f>VENDOR!AL18</f>
        <v>7.5</v>
      </c>
      <c r="F18" s="1072">
        <f t="shared" si="0"/>
        <v>12.950000000000003</v>
      </c>
      <c r="G18" s="818">
        <f>SUM('LAP. PENJUALAN REGULER'!N79+'LAP. PENJUALAN REGULER'!N80)/12</f>
        <v>12.916666666666666</v>
      </c>
      <c r="H18" s="818"/>
      <c r="I18" s="815">
        <f t="shared" si="1"/>
        <v>-3.3333333333336768E-2</v>
      </c>
      <c r="J18" s="824"/>
      <c r="K18" s="814"/>
      <c r="M18" s="1124" t="s">
        <v>876</v>
      </c>
      <c r="N18" s="1129">
        <f>SUM('LAP. PENJUALAN REGULER'!N26,'LAP. PENJUALAN REGULER'!N27,'LAP. PENJUALAN REGULER'!N28,'LAP. PENJUALAN REGULER'!N29,'LAP. PENJUALAN REGULER'!N99,'LAP. PENJUALAN REGULER'!N76,'LAP. PENJUALAN REGULER'!N77,'COST ANALYSIS'!P20)</f>
        <v>518.12</v>
      </c>
      <c r="O18" s="1116"/>
      <c r="P18" s="1117">
        <f>N18/N19</f>
        <v>20.724800000000002</v>
      </c>
      <c r="Q18" s="131"/>
      <c r="R18" s="1124" t="s">
        <v>271</v>
      </c>
      <c r="S18" s="1129">
        <f>SUM('LAP. PENJUALAN REGULER'!N65,'LAP. PENJUALAN REGULER'!N66,'LAP. PENJUALAN REGULER'!N67,'LAP. PENJUALAN REGULER'!N68,'LAP. PENJUALAN REGULER'!N95,'LAP. PENJUALAN REGULER'!N96)</f>
        <v>4</v>
      </c>
      <c r="T18" s="1116"/>
      <c r="U18" s="1117">
        <f>S18/S19</f>
        <v>0.1111111111111111</v>
      </c>
      <c r="W18" s="1124" t="s">
        <v>876</v>
      </c>
      <c r="X18" s="1129">
        <f>SUM('LAP. PENJUALAN GRABFOOD'!N26,'LAP. PENJUALAN GRABFOOD'!N27,'LAP. PENJUALAN GRABFOOD'!N28,'LAP. PENJUALAN GRABFOOD'!N29,'LAP. PENJUALAN GRABFOOD'!N99,'LAP. PENJUALAN GOFOOD'!N26,'LAP. PENJUALAN GOFOOD'!N27,'LAP. PENJUALAN GOFOOD'!N28,'LAP. PENJUALAN GOFOOD'!N29,'LAP. PENJUALAN GOFOOD'!N99,'LAP. PENJUALAN SHOPEFOOD'!N26,'LAP. PENJUALAN SHOPEFOOD'!N27,'LAP. PENJUALAN SHOPEFOOD'!N28,'LAP. PENJUALAN SHOPEFOOD'!N29,'LAP. PENJUALAN SHOPEFOOD'!N99)</f>
        <v>0</v>
      </c>
      <c r="Y18" s="1116"/>
      <c r="Z18" s="1117">
        <f>X18/X19</f>
        <v>0</v>
      </c>
      <c r="AA18" s="131"/>
      <c r="AB18" s="1124" t="s">
        <v>271</v>
      </c>
      <c r="AC18" s="1129">
        <f>SUM('LAP. PENJUALAN GRABFOOD'!N65,'LAP. PENJUALAN GRABFOOD'!N66,'LAP. PENJUALAN GRABFOOD'!N67,'LAP. PENJUALAN GRABFOOD'!N68,'LAP. PENJUALAN GRABFOOD'!N95,'LAP. PENJUALAN GRABFOOD'!N96,'LAP. PENJUALAN GOFOOD'!N65,'LAP. PENJUALAN GOFOOD'!N66,'LAP. PENJUALAN GOFOOD'!N67,'LAP. PENJUALAN GOFOOD'!N68,'LAP. PENJUALAN GOFOOD'!N95,'LAP. PENJUALAN GOFOOD'!N96,'LAP. PENJUALAN SHOPEFOOD'!N65,'LAP. PENJUALAN SHOPEFOOD'!N66,'LAP. PENJUALAN SHOPEFOOD'!N67,'LAP. PENJUALAN SHOPEFOOD'!N68,'LAP. PENJUALAN SHOPEFOOD'!N95,'LAP. PENJUALAN SHOPEFOOD'!N96)</f>
        <v>0</v>
      </c>
      <c r="AD18" s="1116"/>
      <c r="AE18" s="1117">
        <f>AC18/AC19</f>
        <v>0</v>
      </c>
    </row>
    <row r="19" spans="1:31" ht="18.75" customHeight="1" thickBot="1" x14ac:dyDescent="0.3">
      <c r="A19" s="1156">
        <v>10</v>
      </c>
      <c r="B19" s="1159" t="s">
        <v>1056</v>
      </c>
      <c r="C19" s="1072">
        <f>VENDOR!H20</f>
        <v>260</v>
      </c>
      <c r="D19" s="1072">
        <f>VENDOR!AJ20</f>
        <v>50</v>
      </c>
      <c r="E19" s="1072">
        <f>VENDOR!AL20</f>
        <v>240</v>
      </c>
      <c r="F19" s="1072">
        <f t="shared" si="0"/>
        <v>70</v>
      </c>
      <c r="G19" s="818">
        <f>'LAP. PENJUALAN REGULER'!N69+'LAP. PENJUALAN REGULER'!N78+'LAP. PENJUALAN REGULER'!N82</f>
        <v>64</v>
      </c>
      <c r="H19" s="818"/>
      <c r="I19" s="815">
        <f t="shared" si="1"/>
        <v>0</v>
      </c>
      <c r="J19" s="824">
        <f>'LEFT OVER'!L27</f>
        <v>6</v>
      </c>
      <c r="K19" s="814"/>
      <c r="M19" s="1123"/>
      <c r="N19" s="1123">
        <v>25</v>
      </c>
      <c r="O19" s="131"/>
      <c r="P19" s="1122"/>
      <c r="Q19" s="131"/>
      <c r="R19" s="1118"/>
      <c r="S19" s="1118">
        <v>36</v>
      </c>
      <c r="T19" s="165"/>
      <c r="U19" s="1119"/>
      <c r="W19" s="1123"/>
      <c r="X19" s="1123">
        <v>25</v>
      </c>
      <c r="Y19" s="131"/>
      <c r="Z19" s="1122"/>
      <c r="AA19" s="131"/>
      <c r="AB19" s="1118"/>
      <c r="AC19" s="1118">
        <v>36</v>
      </c>
      <c r="AD19" s="165"/>
      <c r="AE19" s="1119"/>
    </row>
    <row r="20" spans="1:31" ht="18.75" customHeight="1" thickBot="1" x14ac:dyDescent="0.3">
      <c r="A20" s="1156">
        <v>11</v>
      </c>
      <c r="B20" s="1159" t="str">
        <f>VENDOR!D25</f>
        <v>BERAS</v>
      </c>
      <c r="C20" s="1072">
        <f>VENDOR!H25</f>
        <v>122</v>
      </c>
      <c r="D20" s="1072">
        <f>VENDOR!AJ25</f>
        <v>174.06666666666666</v>
      </c>
      <c r="E20" s="1072">
        <f>VENDOR!AL25</f>
        <v>222</v>
      </c>
      <c r="F20" s="1072">
        <f t="shared" si="0"/>
        <v>74.066666666666663</v>
      </c>
      <c r="G20" s="818">
        <f>SUM(U24+U26+U28)</f>
        <v>76</v>
      </c>
      <c r="H20" s="818">
        <f>SUM(AE24+AE26+AE28)</f>
        <v>0</v>
      </c>
      <c r="I20" s="815">
        <f t="shared" ref="I20:I68" si="2">G20+H20-(F20-J20)</f>
        <v>1.9333333333333371</v>
      </c>
      <c r="J20" s="824">
        <f>'LEFT OVER'!L18</f>
        <v>0</v>
      </c>
      <c r="K20" s="814"/>
      <c r="M20" s="1130" t="s">
        <v>927</v>
      </c>
      <c r="N20" s="1118">
        <f>SUM('LAP. PENJUALAN REGULER'!N62,'LAP. PENJUALAN REGULER'!N63)</f>
        <v>7</v>
      </c>
      <c r="O20" s="165">
        <v>4</v>
      </c>
      <c r="P20" s="1119">
        <f>N20*O20/N19</f>
        <v>1.1200000000000001</v>
      </c>
      <c r="Q20" s="131"/>
      <c r="R20" s="131"/>
      <c r="S20" s="131"/>
      <c r="T20" s="131"/>
      <c r="U20" s="1122"/>
      <c r="W20" s="1130" t="s">
        <v>927</v>
      </c>
      <c r="X20" s="1118">
        <f>AC28</f>
        <v>0</v>
      </c>
      <c r="Y20" s="165">
        <v>4</v>
      </c>
      <c r="Z20" s="1119">
        <f>X20*Y20/X19</f>
        <v>0</v>
      </c>
      <c r="AA20" s="131"/>
      <c r="AB20" s="131"/>
      <c r="AC20" s="131"/>
      <c r="AD20" s="131"/>
      <c r="AE20" s="1122"/>
    </row>
    <row r="21" spans="1:31" ht="18.75" customHeight="1" x14ac:dyDescent="0.25">
      <c r="A21" s="1156">
        <v>12</v>
      </c>
      <c r="B21" s="1159" t="str">
        <f>VENDOR!D26</f>
        <v>FRENCH FRIES</v>
      </c>
      <c r="C21" s="1072">
        <f>VENDOR!H26</f>
        <v>1</v>
      </c>
      <c r="D21" s="1072">
        <f>VENDOR!AJ26</f>
        <v>2</v>
      </c>
      <c r="E21" s="1072">
        <f>VENDOR!AL26</f>
        <v>0.4</v>
      </c>
      <c r="F21" s="1072">
        <f t="shared" si="0"/>
        <v>2.6</v>
      </c>
      <c r="G21" s="818">
        <f>SUM('LAP. PENJUALAN REGULER'!N15,'LAP. PENJUALAN REGULER'!N31)/10</f>
        <v>2.5</v>
      </c>
      <c r="H21" s="818">
        <f>SUM('LAP. PENJUALAN GRABFOOD'!N15,'LAP. PENJUALAN GRABFOOD'!N31,'LAP. PENJUALAN GOFOOD'!N15,'LAP. PENJUALAN GOFOOD'!N31,'LAP. PENJUALAN SHOPEFOOD'!N15,'LAP. PENJUALAN SHOPEFOOD'!N31)/10</f>
        <v>0</v>
      </c>
      <c r="I21" s="815">
        <f t="shared" si="2"/>
        <v>0</v>
      </c>
      <c r="J21" s="824">
        <f>'LEFT OVER'!L17</f>
        <v>0.1</v>
      </c>
      <c r="K21" s="814"/>
      <c r="M21" s="1124" t="s">
        <v>877</v>
      </c>
      <c r="N21" s="1129">
        <f>SUM('LAP. PENJUALAN REGULER'!N31,'LAP. PENJUALAN REGULER'!N51,'LAP. PENJUALAN REGULER'!N53,'LAP. PENJUALAN REGULER'!N93)</f>
        <v>32</v>
      </c>
      <c r="O21" s="1116"/>
      <c r="P21" s="1117">
        <f>N21/N22</f>
        <v>0.64</v>
      </c>
      <c r="Q21" s="131"/>
      <c r="R21" s="1124" t="s">
        <v>270</v>
      </c>
      <c r="S21" s="1116">
        <f>SUM('LAP. PENJUALAN REGULER'!N30,'LAP. PENJUALAN REGULER'!N32,'LAP. PENJUALAN REGULER'!N33,'LAP. PENJUALAN REGULER'!N36,'LAP. PENJUALAN REGULER'!N37,'LAP. PENJUALAN REGULER'!N38,'LAP. PENJUALAN REGULER'!N39,'LAP. PENJUALAN REGULER'!N94)</f>
        <v>57</v>
      </c>
      <c r="T21" s="1116"/>
      <c r="U21" s="1117">
        <f>S21/S22</f>
        <v>1.2127659574468086</v>
      </c>
      <c r="W21" s="1124" t="s">
        <v>877</v>
      </c>
      <c r="X21" s="1129">
        <f>SUM('LAP. PENJUALAN GRABFOOD'!N31,'LAP. PENJUALAN GRABFOOD'!N41,'LAP. PENJUALAN GRABFOOD'!N43,'LAP. PENJUALAN GRABFOOD'!N93,'LAP. PENJUALAN GOFOOD'!N31,'LAP. PENJUALAN GOFOOD'!N41,'LAP. PENJUALAN GOFOOD'!N43,'LAP. PENJUALAN GOFOOD'!N93,'LAP. PENJUALAN SHOPEFOOD'!N31,'LAP. PENJUALAN SHOPEFOOD'!N41,'LAP. PENJUALAN SHOPEFOOD'!N43,'LAP. PENJUALAN SHOPEFOOD'!N93)</f>
        <v>0</v>
      </c>
      <c r="Y21" s="1116"/>
      <c r="Z21" s="1117">
        <f>X21/X22</f>
        <v>0</v>
      </c>
      <c r="AA21" s="131"/>
      <c r="AB21" s="1124" t="s">
        <v>270</v>
      </c>
      <c r="AC21" s="1116">
        <f>SUM('LAP. PENJUALAN GRABFOOD'!N30,'LAP. PENJUALAN GRABFOOD'!N32,'LAP. PENJUALAN GRABFOOD'!N33,'LAP. PENJUALAN GRABFOOD'!N36,'LAP. PENJUALAN GRABFOOD'!N37,'LAP. PENJUALAN GRABFOOD'!N38,'LAP. PENJUALAN GRABFOOD'!N39,'LAP. PENJUALAN GRABFOOD'!N42,'LAP. PENJUALAN GRABFOOD'!N44,'LAP. PENJUALAN GRABFOOD'!N94,'LAP. PENJUALAN GOFOOD'!N30,'LAP. PENJUALAN GOFOOD'!N32,'LAP. PENJUALAN GOFOOD'!N33,'LAP. PENJUALAN GOFOOD'!N36,'LAP. PENJUALAN GOFOOD'!N37,'LAP. PENJUALAN GOFOOD'!N38,'LAP. PENJUALAN GOFOOD'!N39,'LAP. PENJUALAN GOFOOD'!N42,'LAP. PENJUALAN GOFOOD'!N44,'LAP. PENJUALAN GOFOOD'!N94,'LAP. PENJUALAN SHOPEFOOD'!N30,'LAP. PENJUALAN SHOPEFOOD'!N32,'LAP. PENJUALAN SHOPEFOOD'!N33,'LAP. PENJUALAN SHOPEFOOD'!N36,'LAP. PENJUALAN SHOPEFOOD'!N37,'LAP. PENJUALAN SHOPEFOOD'!N38,'LAP. PENJUALAN SHOPEFOOD'!N39,'LAP. PENJUALAN SHOPEFOOD'!N42,'LAP. PENJUALAN SHOPEFOOD'!N44,'LAP. PENJUALAN SHOPEFOOD'!N94)</f>
        <v>0</v>
      </c>
      <c r="AD21" s="1116"/>
      <c r="AE21" s="1117">
        <f>AC21/AC22</f>
        <v>0</v>
      </c>
    </row>
    <row r="22" spans="1:31" ht="18.75" customHeight="1" thickBot="1" x14ac:dyDescent="0.3">
      <c r="A22" s="1156">
        <v>13</v>
      </c>
      <c r="B22" s="1159" t="str">
        <f>VENDOR!D27</f>
        <v>ROTI BURGER</v>
      </c>
      <c r="C22" s="1072">
        <f>VENDOR!H27</f>
        <v>10</v>
      </c>
      <c r="D22" s="1072">
        <f>VENDOR!AJ27</f>
        <v>24</v>
      </c>
      <c r="E22" s="1072">
        <f>VENDOR!AL27</f>
        <v>3</v>
      </c>
      <c r="F22" s="1073">
        <f t="shared" si="0"/>
        <v>31</v>
      </c>
      <c r="G22" s="815">
        <f>G15</f>
        <v>31</v>
      </c>
      <c r="H22" s="815">
        <f>H15</f>
        <v>0</v>
      </c>
      <c r="I22" s="815">
        <f t="shared" si="2"/>
        <v>0</v>
      </c>
      <c r="J22" s="820"/>
      <c r="K22" s="816"/>
      <c r="L22" s="215"/>
      <c r="M22" s="1118"/>
      <c r="N22" s="1118">
        <v>50</v>
      </c>
      <c r="O22" s="165"/>
      <c r="P22" s="1119"/>
      <c r="Q22" s="131"/>
      <c r="R22" s="1118"/>
      <c r="S22" s="165">
        <v>47</v>
      </c>
      <c r="T22" s="165"/>
      <c r="U22" s="1119"/>
      <c r="W22" s="1118"/>
      <c r="X22" s="1118">
        <v>50</v>
      </c>
      <c r="Y22" s="165"/>
      <c r="Z22" s="1119"/>
      <c r="AA22" s="131"/>
      <c r="AB22" s="1118"/>
      <c r="AC22" s="165">
        <v>47</v>
      </c>
      <c r="AD22" s="165"/>
      <c r="AE22" s="1119"/>
    </row>
    <row r="23" spans="1:31" ht="18.75" customHeight="1" thickBot="1" x14ac:dyDescent="0.3">
      <c r="A23" s="1156">
        <v>14</v>
      </c>
      <c r="B23" s="1159" t="str">
        <f>VENDOR!D28</f>
        <v>SOSIS</v>
      </c>
      <c r="C23" s="1072">
        <f>VENDOR!H28</f>
        <v>14</v>
      </c>
      <c r="D23" s="1072">
        <f>VENDOR!AJ28</f>
        <v>0</v>
      </c>
      <c r="E23" s="1072">
        <f>VENDOR!AL28</f>
        <v>10</v>
      </c>
      <c r="F23" s="1073">
        <f t="shared" si="0"/>
        <v>4</v>
      </c>
      <c r="G23" s="815">
        <f>N63</f>
        <v>4</v>
      </c>
      <c r="H23" s="815">
        <f>Q63+AC12</f>
        <v>0</v>
      </c>
      <c r="I23" s="815">
        <f t="shared" si="2"/>
        <v>0</v>
      </c>
      <c r="J23" s="820"/>
      <c r="K23" s="816"/>
      <c r="M23" s="1123"/>
      <c r="N23" s="131"/>
      <c r="O23" s="131"/>
      <c r="P23" s="131"/>
      <c r="Q23" s="131"/>
      <c r="R23" s="131"/>
      <c r="S23" s="131"/>
      <c r="T23" s="131"/>
      <c r="U23" s="1122"/>
      <c r="W23" s="1123"/>
      <c r="X23" s="131"/>
      <c r="Y23" s="131"/>
      <c r="Z23" s="131"/>
      <c r="AA23" s="131"/>
      <c r="AB23" s="131"/>
      <c r="AC23" s="131"/>
      <c r="AD23" s="131"/>
      <c r="AE23" s="1122"/>
    </row>
    <row r="24" spans="1:31" ht="18.75" customHeight="1" thickBot="1" x14ac:dyDescent="0.3">
      <c r="A24" s="1156">
        <v>15</v>
      </c>
      <c r="B24" s="1159" t="str">
        <f>VENDOR!D29</f>
        <v>PERKEDEL</v>
      </c>
      <c r="C24" s="1072">
        <f>VENDOR!H29</f>
        <v>34</v>
      </c>
      <c r="D24" s="1072">
        <f>VENDOR!AJ29</f>
        <v>72</v>
      </c>
      <c r="E24" s="1072">
        <f>VENDOR!AL29</f>
        <v>44</v>
      </c>
      <c r="F24" s="1072">
        <f t="shared" si="0"/>
        <v>62</v>
      </c>
      <c r="G24" s="818">
        <f>'LAP. PENJUALAN REGULER'!N17</f>
        <v>58</v>
      </c>
      <c r="H24" s="818">
        <f>SUM('LAP. PENJUALAN GRABFOOD'!N17,'LAP. PENJUALAN GOFOOD'!N17,'LAP. PENJUALAN SHOPEFOOD'!N17)</f>
        <v>0</v>
      </c>
      <c r="I24" s="815">
        <f t="shared" si="2"/>
        <v>0</v>
      </c>
      <c r="J24" s="824">
        <f>'LEFT OVER'!L16</f>
        <v>4</v>
      </c>
      <c r="K24" s="814"/>
      <c r="M24" s="1123"/>
      <c r="N24" s="131"/>
      <c r="O24" s="131"/>
      <c r="P24" s="131"/>
      <c r="Q24" s="131"/>
      <c r="R24" s="1124" t="s">
        <v>557</v>
      </c>
      <c r="S24" s="1125">
        <f>S12</f>
        <v>22</v>
      </c>
      <c r="T24" s="1116"/>
      <c r="U24" s="1117">
        <f>S24/S25</f>
        <v>2</v>
      </c>
      <c r="W24" s="1123"/>
      <c r="X24" s="131"/>
      <c r="Y24" s="131"/>
      <c r="Z24" s="131"/>
      <c r="AA24" s="131"/>
      <c r="AB24" s="1124" t="s">
        <v>557</v>
      </c>
      <c r="AC24" s="1125">
        <f>AC12</f>
        <v>0</v>
      </c>
      <c r="AD24" s="1116"/>
      <c r="AE24" s="1117">
        <f>AC24/AC25</f>
        <v>0</v>
      </c>
    </row>
    <row r="25" spans="1:31" ht="18.75" customHeight="1" x14ac:dyDescent="0.25">
      <c r="A25" s="1156">
        <v>16</v>
      </c>
      <c r="B25" s="1159" t="str">
        <f>VENDOR!D30</f>
        <v>SOSIS NASGOR</v>
      </c>
      <c r="C25" s="1072">
        <f>VENDOR!H30</f>
        <v>11</v>
      </c>
      <c r="D25" s="1072">
        <f>VENDOR!AJ30</f>
        <v>35</v>
      </c>
      <c r="E25" s="1072">
        <f>VENDOR!AL30</f>
        <v>9</v>
      </c>
      <c r="F25" s="1073">
        <f t="shared" si="0"/>
        <v>37</v>
      </c>
      <c r="G25" s="818">
        <f>'LAP. PENJUALAN REGULER'!N20+'LAP. PENJUALAN REGULER'!N21+'LAP. PENJUALAN REGULER'!N22+'LAP. PENJUALAN REGULER'!N33+'LAP. PENJUALAN REGULER'!N81</f>
        <v>34</v>
      </c>
      <c r="H25" s="818"/>
      <c r="I25" s="815">
        <f t="shared" si="2"/>
        <v>-3</v>
      </c>
      <c r="J25" s="820"/>
      <c r="K25" s="816"/>
      <c r="M25" s="1124" t="s">
        <v>872</v>
      </c>
      <c r="N25" s="1129"/>
      <c r="O25" s="1116"/>
      <c r="P25" s="1117">
        <f>N25/N26</f>
        <v>0</v>
      </c>
      <c r="Q25" s="131"/>
      <c r="R25" s="1123"/>
      <c r="S25" s="1123">
        <v>11</v>
      </c>
      <c r="T25" s="131"/>
      <c r="U25" s="1122"/>
      <c r="W25" s="1124" t="s">
        <v>872</v>
      </c>
      <c r="X25" s="1129"/>
      <c r="Y25" s="1116"/>
      <c r="Z25" s="1117">
        <f>X25/X26</f>
        <v>0</v>
      </c>
      <c r="AA25" s="131"/>
      <c r="AB25" s="1123"/>
      <c r="AC25" s="1123">
        <v>11</v>
      </c>
      <c r="AD25" s="131"/>
      <c r="AE25" s="1122"/>
    </row>
    <row r="26" spans="1:31" ht="18.75" customHeight="1" thickBot="1" x14ac:dyDescent="0.3">
      <c r="A26" s="1156">
        <v>17</v>
      </c>
      <c r="B26" s="1159" t="str">
        <f>VENDOR!D31</f>
        <v xml:space="preserve">NUGGET COIN </v>
      </c>
      <c r="C26" s="1072">
        <f>VENDOR!H31</f>
        <v>48</v>
      </c>
      <c r="D26" s="1072">
        <f>VENDOR!AJ31</f>
        <v>0</v>
      </c>
      <c r="E26" s="1072">
        <f>VENDOR!AL31</f>
        <v>48</v>
      </c>
      <c r="F26" s="1073">
        <f t="shared" si="0"/>
        <v>0</v>
      </c>
      <c r="G26" s="818">
        <f>P63</f>
        <v>0</v>
      </c>
      <c r="H26" s="818">
        <f>S63</f>
        <v>0</v>
      </c>
      <c r="I26" s="815">
        <f t="shared" si="2"/>
        <v>0</v>
      </c>
      <c r="J26" s="820"/>
      <c r="K26" s="816"/>
      <c r="M26" s="1118"/>
      <c r="N26" s="1118">
        <v>25</v>
      </c>
      <c r="O26" s="165"/>
      <c r="P26" s="1119"/>
      <c r="Q26" s="131"/>
      <c r="R26" s="1120" t="s">
        <v>52</v>
      </c>
      <c r="S26" s="1192">
        <f>SUM('LAP. PENJUALAN REGULER'!N16,'LAP. PENJUALAN REGULER'!N26,'LAP. PENJUALAN REGULER'!N27,'LAP. PENJUALAN REGULER'!N28,'LAP. PENJUALAN REGULER'!N29,'LAP. PENJUALAN REGULER'!N30,'LAP. PENJUALAN REGULER'!N33,'LAP. PENJUALAN REGULER'!N36,'LAP. PENJUALAN REGULER'!N37,'LAP. PENJUALAN REGULER'!N38,'LAP. PENJUALAN REGULER'!N39,'LAP. PENJUALAN REGULER'!N41,'LAP. PENJUALAN REGULER'!N42,'LAP. PENJUALAN REGULER'!N43,'LAP. PENJUALAN REGULER'!N51,'LAP. PENJUALAN REGULER'!N52,'LAP. PENJUALAN REGULER'!N53,'LAP. PENJUALAN REGULER'!N54,'LAP. PENJUALAN REGULER'!N56,'LAP. PENJUALAN REGULER'!N57,'LAP. PENJUALAN REGULER'!N58,'LAP. PENJUALAN REGULER'!N65,'LAP. PENJUALAN REGULER'!N66,'LAP. PENJUALAN REGULER'!N67,'LAP. PENJUALAN REGULER'!N68,'LAP. PENJUALAN REGULER'!N76,'LAP. PENJUALAN REGULER'!N77)+'LAP. PENJUALAN REGULER'!N69+'LAP. PENJUALAN REGULER'!N78+'LAP. PENJUALAN REGULER'!N82+'LAP. PENJUALAN REGULER'!N59+'LAP. PENJUALAN REGULER'!AE72+'LAP. PENJUALAN REGULER'!AE73+'LAP. PENJUALAN REGULER'!AE74+'LAP. PENJUALAN REGULER'!AE75+'LAP. PENJUALAN REGULER'!N80</f>
        <v>934</v>
      </c>
      <c r="T26" s="131"/>
      <c r="U26" s="1122">
        <f>S26/S27</f>
        <v>71.84615384615384</v>
      </c>
      <c r="W26" s="1118"/>
      <c r="X26" s="1118">
        <v>25</v>
      </c>
      <c r="Y26" s="165"/>
      <c r="Z26" s="1119"/>
      <c r="AA26" s="131"/>
      <c r="AB26" s="1120" t="s">
        <v>52</v>
      </c>
      <c r="AC26" s="1123"/>
      <c r="AD26" s="131"/>
      <c r="AE26" s="1122">
        <f>AC26/AC27</f>
        <v>0</v>
      </c>
    </row>
    <row r="27" spans="1:31" ht="18.75" customHeight="1" thickBot="1" x14ac:dyDescent="0.3">
      <c r="A27" s="1156">
        <v>18</v>
      </c>
      <c r="B27" s="1159" t="str">
        <f>VENDOR!D32</f>
        <v>BAKSO</v>
      </c>
      <c r="C27" s="1072">
        <f>VENDOR!H32</f>
        <v>4</v>
      </c>
      <c r="D27" s="1072">
        <f>VENDOR!AJ32</f>
        <v>0</v>
      </c>
      <c r="E27" s="1072">
        <f>VENDOR!AL32</f>
        <v>4</v>
      </c>
      <c r="F27" s="1072">
        <f t="shared" si="0"/>
        <v>0</v>
      </c>
      <c r="G27" s="818">
        <f>O63</f>
        <v>0</v>
      </c>
      <c r="H27" s="818">
        <f>R63</f>
        <v>0</v>
      </c>
      <c r="I27" s="815">
        <f t="shared" si="2"/>
        <v>0</v>
      </c>
      <c r="J27" s="824"/>
      <c r="K27" s="814"/>
      <c r="M27" s="1123"/>
      <c r="N27" s="131"/>
      <c r="O27" s="131"/>
      <c r="P27" s="131"/>
      <c r="Q27" s="1121"/>
      <c r="R27" s="1123"/>
      <c r="S27" s="1123">
        <v>13</v>
      </c>
      <c r="T27" s="131"/>
      <c r="U27" s="1122"/>
      <c r="W27" s="1123"/>
      <c r="X27" s="131"/>
      <c r="Y27" s="131"/>
      <c r="Z27" s="131"/>
      <c r="AA27" s="1121"/>
      <c r="AB27" s="1123"/>
      <c r="AC27" s="1123">
        <v>13</v>
      </c>
      <c r="AD27" s="131"/>
      <c r="AE27" s="1122"/>
    </row>
    <row r="28" spans="1:31" ht="18.75" customHeight="1" thickBot="1" x14ac:dyDescent="0.3">
      <c r="A28" s="1156">
        <v>19</v>
      </c>
      <c r="B28" s="1159" t="str">
        <f>VENDOR!D38</f>
        <v>GULA PASIR</v>
      </c>
      <c r="C28" s="1072">
        <f>VENDOR!H38</f>
        <v>0</v>
      </c>
      <c r="D28" s="1072">
        <f>VENDOR!AJ38</f>
        <v>0</v>
      </c>
      <c r="E28" s="1072">
        <f>VENDOR!AL38</f>
        <v>0</v>
      </c>
      <c r="F28" s="1072">
        <f t="shared" si="0"/>
        <v>0</v>
      </c>
      <c r="G28" s="818"/>
      <c r="H28" s="818"/>
      <c r="I28" s="815">
        <f t="shared" si="2"/>
        <v>0</v>
      </c>
      <c r="J28" s="824"/>
      <c r="K28" s="814"/>
      <c r="M28" s="1162" t="s">
        <v>945</v>
      </c>
      <c r="N28" s="1116">
        <v>1</v>
      </c>
      <c r="O28" s="1126">
        <f>SUM(G11:G14)</f>
        <v>848</v>
      </c>
      <c r="P28" s="131"/>
      <c r="Q28" s="131"/>
      <c r="R28" s="1130" t="s">
        <v>925</v>
      </c>
      <c r="S28" s="1118">
        <f>SUM('LAP. PENJUALAN REGULER'!N62,'LAP. PENJUALAN REGULER'!N63)</f>
        <v>7</v>
      </c>
      <c r="T28" s="165">
        <v>4</v>
      </c>
      <c r="U28" s="1119">
        <f>S28*T28/S27</f>
        <v>2.1538461538461537</v>
      </c>
      <c r="W28" s="1162" t="s">
        <v>945</v>
      </c>
      <c r="X28" s="1116">
        <v>1</v>
      </c>
      <c r="Y28" s="1126">
        <f>SUM(H11:H14)</f>
        <v>0</v>
      </c>
      <c r="Z28" s="131"/>
      <c r="AA28" s="131"/>
      <c r="AB28" s="1130" t="s">
        <v>925</v>
      </c>
      <c r="AC28" s="1118">
        <f>SUM('LAP. PENJUALAN GRABFOOD'!N62,'LAP. PENJUALAN GRABFOOD'!N63,'LAP. PENJUALAN GOFOOD'!N62,'LAP. PENJUALAN GOFOOD'!N63,'LAP. PENJUALAN SHOPEFOOD'!N62,'LAP. PENJUALAN SHOPEFOOD'!N63)</f>
        <v>0</v>
      </c>
      <c r="AD28" s="165">
        <v>4</v>
      </c>
      <c r="AE28" s="1119">
        <f>AC28*AD28/AC27</f>
        <v>0</v>
      </c>
    </row>
    <row r="29" spans="1:31" ht="18.75" customHeight="1" thickBot="1" x14ac:dyDescent="0.3">
      <c r="A29" s="1156">
        <v>20</v>
      </c>
      <c r="B29" s="1159">
        <f>VENDOR!D39</f>
        <v>0</v>
      </c>
      <c r="C29" s="1072">
        <f>VENDOR!H39</f>
        <v>0</v>
      </c>
      <c r="D29" s="1072">
        <f>VENDOR!AJ39</f>
        <v>0</v>
      </c>
      <c r="E29" s="1072">
        <f>VENDOR!AL39</f>
        <v>0</v>
      </c>
      <c r="F29" s="1072">
        <f t="shared" si="0"/>
        <v>0</v>
      </c>
      <c r="G29" s="818"/>
      <c r="H29" s="818"/>
      <c r="I29" s="815">
        <f t="shared" si="2"/>
        <v>0</v>
      </c>
      <c r="J29" s="824"/>
      <c r="K29" s="814"/>
      <c r="M29" s="1163" t="s">
        <v>930</v>
      </c>
      <c r="N29" s="165">
        <v>7</v>
      </c>
      <c r="O29" s="1164">
        <f>G16*7</f>
        <v>686</v>
      </c>
      <c r="P29" s="131"/>
      <c r="Q29" s="131"/>
      <c r="R29" s="131"/>
      <c r="S29" s="131"/>
      <c r="T29" s="131"/>
      <c r="U29" s="1122"/>
      <c r="W29" s="1163" t="s">
        <v>930</v>
      </c>
      <c r="X29" s="165">
        <v>7</v>
      </c>
      <c r="Y29" s="1164">
        <f>H16*7</f>
        <v>0</v>
      </c>
      <c r="Z29" s="131"/>
      <c r="AA29" s="131"/>
      <c r="AB29" s="131"/>
      <c r="AC29" s="131"/>
      <c r="AD29" s="131"/>
      <c r="AE29" s="1122"/>
    </row>
    <row r="30" spans="1:31" ht="18.75" customHeight="1" thickBot="1" x14ac:dyDescent="0.3">
      <c r="A30" s="1156">
        <v>21</v>
      </c>
      <c r="B30" s="1159" t="str">
        <f>VENDOR!D40</f>
        <v>ICE CREAM EMBER</v>
      </c>
      <c r="C30" s="1072">
        <f>VENDOR!H40</f>
        <v>0</v>
      </c>
      <c r="D30" s="1072">
        <f>VENDOR!AJ40</f>
        <v>0</v>
      </c>
      <c r="E30" s="1072">
        <f>VENDOR!AL40</f>
        <v>0.5</v>
      </c>
      <c r="F30" s="1073">
        <f t="shared" si="0"/>
        <v>-0.5</v>
      </c>
      <c r="G30" s="815"/>
      <c r="H30" s="815"/>
      <c r="I30" s="815">
        <f t="shared" si="2"/>
        <v>0.5</v>
      </c>
      <c r="J30" s="820"/>
      <c r="K30" s="816"/>
      <c r="M30" s="1131" t="s">
        <v>560</v>
      </c>
      <c r="N30" s="1132"/>
      <c r="O30" s="1133">
        <f>SUM(O28:O29)</f>
        <v>1534</v>
      </c>
      <c r="P30" s="131"/>
      <c r="Q30" s="131"/>
      <c r="R30" s="1124" t="s">
        <v>561</v>
      </c>
      <c r="S30" s="1125">
        <f>O30</f>
        <v>1534</v>
      </c>
      <c r="T30" s="1116">
        <v>5</v>
      </c>
      <c r="U30" s="1126">
        <f>S30/S31*T30</f>
        <v>73.047619047619051</v>
      </c>
      <c r="W30" s="1131" t="s">
        <v>560</v>
      </c>
      <c r="X30" s="1132"/>
      <c r="Y30" s="1133">
        <f>SUM(Y28:Y29)</f>
        <v>0</v>
      </c>
      <c r="Z30" s="131"/>
      <c r="AA30" s="131"/>
      <c r="AB30" s="1124" t="s">
        <v>561</v>
      </c>
      <c r="AC30" s="1125">
        <f>Y30</f>
        <v>0</v>
      </c>
      <c r="AD30" s="1116">
        <v>5</v>
      </c>
      <c r="AE30" s="1126">
        <f>AC30/AC31*AD30</f>
        <v>0</v>
      </c>
    </row>
    <row r="31" spans="1:31" ht="18.75" customHeight="1" thickBot="1" x14ac:dyDescent="0.3">
      <c r="A31" s="1156">
        <v>22</v>
      </c>
      <c r="B31" s="1159" t="str">
        <f>VENDOR!D43</f>
        <v>TEH BOTOL SOSRO (TBS)</v>
      </c>
      <c r="C31" s="1073">
        <f>VENDOR!H43</f>
        <v>29</v>
      </c>
      <c r="D31" s="1073">
        <f>VENDOR!AJ43</f>
        <v>0</v>
      </c>
      <c r="E31" s="1073">
        <f>VENDOR!AL43</f>
        <v>15</v>
      </c>
      <c r="F31" s="1073">
        <f t="shared" si="0"/>
        <v>14</v>
      </c>
      <c r="G31" s="815">
        <f>SUM('LAP. PENJUALAN REGULER'!N51,'LAP. PENJUALAN REGULER'!N52,'LAP. PENJUALAN REGULER'!N53,'LAP. PENJUALAN REGULER'!N54,'LAP. PENJUALAN REGULER'!N88)</f>
        <v>17</v>
      </c>
      <c r="H31" s="815">
        <f>SUM('LAP. PENJUALAN GRABFOOD'!N51,'LAP. PENJUALAN GRABFOOD'!N52,'LAP. PENJUALAN GRABFOOD'!N53,'LAP. PENJUALAN GRABFOOD'!N54,'LAP. PENJUALAN GRABFOOD'!N88,'LAP. PENJUALAN GOFOOD'!N51,'LAP. PENJUALAN GOFOOD'!N52,'LAP. PENJUALAN GOFOOD'!N53,'LAP. PENJUALAN GOFOOD'!N54,'LAP. PENJUALAN GOFOOD'!N88,'LAP. PENJUALAN SHOPEFOOD'!N51,'LAP. PENJUALAN SHOPEFOOD'!N52,'LAP. PENJUALAN SHOPEFOOD'!N53,'LAP. PENJUALAN SHOPEFOOD'!N54,'LAP. PENJUALAN SHOPEFOOD'!N88)</f>
        <v>0</v>
      </c>
      <c r="I31" s="815">
        <f t="shared" si="2"/>
        <v>3</v>
      </c>
      <c r="J31" s="820"/>
      <c r="K31" s="816"/>
      <c r="M31" s="1123"/>
      <c r="N31" s="131"/>
      <c r="O31" s="131"/>
      <c r="P31" s="131"/>
      <c r="Q31" s="131"/>
      <c r="R31" s="1118"/>
      <c r="S31" s="1118">
        <v>105</v>
      </c>
      <c r="T31" s="165"/>
      <c r="U31" s="1119"/>
      <c r="W31" s="1123"/>
      <c r="X31" s="131"/>
      <c r="Y31" s="131"/>
      <c r="Z31" s="131"/>
      <c r="AA31" s="131"/>
      <c r="AB31" s="1118"/>
      <c r="AC31" s="1118">
        <v>105</v>
      </c>
      <c r="AD31" s="165"/>
      <c r="AE31" s="1119"/>
    </row>
    <row r="32" spans="1:31" ht="18.75" customHeight="1" x14ac:dyDescent="0.25">
      <c r="A32" s="1156">
        <v>23</v>
      </c>
      <c r="B32" s="1159" t="str">
        <f>VENDOR!D44</f>
        <v>TEH SOSRO POUCH (TBO)</v>
      </c>
      <c r="C32" s="1073">
        <f>VENDOR!H44</f>
        <v>58</v>
      </c>
      <c r="D32" s="1073">
        <f>VENDOR!AJ44</f>
        <v>0</v>
      </c>
      <c r="E32" s="1073">
        <f>VENDOR!AL44</f>
        <v>55</v>
      </c>
      <c r="F32" s="1073">
        <f t="shared" si="0"/>
        <v>3</v>
      </c>
      <c r="G32" s="815">
        <f>'LAP. PENJUALAN REGULER'!N89</f>
        <v>0</v>
      </c>
      <c r="H32" s="815">
        <f>SUM('LAP. PENJUALAN GRABFOOD'!N89,'LAP. PENJUALAN GOFOOD'!N89,'LAP. PENJUALAN SHOPEFOOD'!N89)</f>
        <v>0</v>
      </c>
      <c r="I32" s="815">
        <f t="shared" si="2"/>
        <v>-3</v>
      </c>
      <c r="J32" s="820"/>
      <c r="K32" s="816"/>
      <c r="M32" s="1124" t="s">
        <v>946</v>
      </c>
      <c r="N32" s="1134">
        <f>O30</f>
        <v>1534</v>
      </c>
      <c r="O32" s="1116"/>
      <c r="P32" s="1135">
        <f>N32/N33</f>
        <v>14.609523809523809</v>
      </c>
      <c r="Q32" s="131"/>
      <c r="R32" s="1124" t="s">
        <v>328</v>
      </c>
      <c r="S32" s="1125">
        <f>G15</f>
        <v>31</v>
      </c>
      <c r="T32" s="1116"/>
      <c r="U32" s="1126">
        <f>S32/S33</f>
        <v>0.44285714285714284</v>
      </c>
      <c r="W32" s="1124" t="s">
        <v>946</v>
      </c>
      <c r="X32" s="1134">
        <f>Y30</f>
        <v>0</v>
      </c>
      <c r="Y32" s="1116"/>
      <c r="Z32" s="1135">
        <f>X32/X33</f>
        <v>0</v>
      </c>
      <c r="AA32" s="131"/>
      <c r="AB32" s="1124" t="s">
        <v>328</v>
      </c>
      <c r="AC32" s="1125">
        <f>H15</f>
        <v>0</v>
      </c>
      <c r="AD32" s="1116"/>
      <c r="AE32" s="1126">
        <f>AC32/AC33</f>
        <v>0</v>
      </c>
    </row>
    <row r="33" spans="1:31" ht="18.75" customHeight="1" thickBot="1" x14ac:dyDescent="0.3">
      <c r="A33" s="1156">
        <v>24</v>
      </c>
      <c r="B33" s="1159">
        <f>VENDOR!D45</f>
        <v>0</v>
      </c>
      <c r="C33" s="1073">
        <f>VENDOR!H45</f>
        <v>0</v>
      </c>
      <c r="D33" s="1073">
        <f>VENDOR!AJ45</f>
        <v>0</v>
      </c>
      <c r="E33" s="1073">
        <f>VENDOR!AL45</f>
        <v>0</v>
      </c>
      <c r="F33" s="1073">
        <f t="shared" si="0"/>
        <v>0</v>
      </c>
      <c r="G33" s="815"/>
      <c r="H33" s="815"/>
      <c r="I33" s="815">
        <f t="shared" si="2"/>
        <v>0</v>
      </c>
      <c r="J33" s="820"/>
      <c r="K33" s="816"/>
      <c r="M33" s="1118"/>
      <c r="N33" s="1118">
        <v>105</v>
      </c>
      <c r="O33" s="165"/>
      <c r="P33" s="1119"/>
      <c r="Q33" s="131"/>
      <c r="R33" s="1118"/>
      <c r="S33" s="1118">
        <v>70</v>
      </c>
      <c r="T33" s="165"/>
      <c r="U33" s="1119"/>
      <c r="W33" s="1118"/>
      <c r="X33" s="1118">
        <v>105</v>
      </c>
      <c r="Y33" s="165"/>
      <c r="Z33" s="1119"/>
      <c r="AA33" s="131"/>
      <c r="AB33" s="1118"/>
      <c r="AC33" s="1118">
        <v>70</v>
      </c>
      <c r="AD33" s="165"/>
      <c r="AE33" s="1119"/>
    </row>
    <row r="34" spans="1:31" ht="18.75" customHeight="1" thickBot="1" x14ac:dyDescent="0.3">
      <c r="A34" s="1156">
        <v>25</v>
      </c>
      <c r="B34" s="1159" t="str">
        <f>VENDOR!D46</f>
        <v>S-TEE</v>
      </c>
      <c r="C34" s="1073">
        <f>VENDOR!H46</f>
        <v>0</v>
      </c>
      <c r="D34" s="1073">
        <f>VENDOR!AJ46</f>
        <v>0</v>
      </c>
      <c r="E34" s="1073">
        <f>VENDOR!AL46</f>
        <v>0</v>
      </c>
      <c r="F34" s="1073">
        <f t="shared" si="0"/>
        <v>0</v>
      </c>
      <c r="G34" s="820">
        <f>'LAP. PENJUALAN REGULER'!N91</f>
        <v>0</v>
      </c>
      <c r="H34" s="820">
        <f>SUM('LAP. PENJUALAN GRABFOOD'!N91,'LAP. PENJUALAN GOFOOD'!N91,'LAP. PENJUALAN SHOPEFOOD'!N91)</f>
        <v>0</v>
      </c>
      <c r="I34" s="815">
        <f t="shared" si="2"/>
        <v>0</v>
      </c>
      <c r="J34" s="820"/>
      <c r="K34" s="816"/>
      <c r="M34" s="1123"/>
      <c r="N34" s="131"/>
      <c r="O34" s="131"/>
      <c r="P34" s="131"/>
      <c r="Q34" s="131"/>
      <c r="R34" s="131"/>
      <c r="S34" s="131"/>
      <c r="T34" s="131"/>
      <c r="U34" s="1122"/>
      <c r="W34" s="1123"/>
      <c r="X34" s="131"/>
      <c r="Y34" s="131"/>
      <c r="Z34" s="131"/>
      <c r="AA34" s="131"/>
      <c r="AB34" s="131"/>
      <c r="AC34" s="131"/>
      <c r="AD34" s="131"/>
      <c r="AE34" s="1122"/>
    </row>
    <row r="35" spans="1:31" ht="18.75" customHeight="1" x14ac:dyDescent="0.25">
      <c r="A35" s="1156">
        <v>26</v>
      </c>
      <c r="B35" s="1159">
        <f>VENDOR!D47</f>
        <v>0</v>
      </c>
      <c r="C35" s="1073">
        <f>VENDOR!H47</f>
        <v>0</v>
      </c>
      <c r="D35" s="1073">
        <f>VENDOR!AJ47</f>
        <v>0</v>
      </c>
      <c r="E35" s="1073">
        <f>VENDOR!AL47</f>
        <v>0</v>
      </c>
      <c r="F35" s="1073">
        <f t="shared" si="0"/>
        <v>0</v>
      </c>
      <c r="G35" s="815"/>
      <c r="H35" s="815"/>
      <c r="I35" s="815">
        <f t="shared" si="2"/>
        <v>0</v>
      </c>
      <c r="J35" s="820"/>
      <c r="K35" s="816"/>
      <c r="M35" s="1124" t="s">
        <v>562</v>
      </c>
      <c r="N35" s="1134">
        <f>O30</f>
        <v>1534</v>
      </c>
      <c r="O35" s="1116"/>
      <c r="P35" s="1135">
        <f>N35/N36</f>
        <v>12.783333333333333</v>
      </c>
      <c r="Q35" s="131"/>
      <c r="R35" s="1124" t="s">
        <v>563</v>
      </c>
      <c r="S35" s="1129">
        <f>SUM('LAP. PENJUALAN REGULER'!N36,'LAP. PENJUALAN REGULER'!N37,'LAP. PENJUALAN REGULER'!N38,'LAP. PENJUALAN REGULER'!N39,'LAP. PENJUALAN REGULER'!N46,'LAP. PENJUALAN REGULER'!N47,'LAP. PENJUALAN REGULER'!N48,'LAP. PENJUALAN REGULER'!N49,U38)</f>
        <v>108</v>
      </c>
      <c r="T35" s="1116"/>
      <c r="U35" s="1126">
        <f>S35/S36</f>
        <v>4.9090909090909092</v>
      </c>
      <c r="W35" s="1124" t="s">
        <v>562</v>
      </c>
      <c r="X35" s="1134">
        <f>Y30</f>
        <v>0</v>
      </c>
      <c r="Y35" s="1116"/>
      <c r="Z35" s="1135">
        <f>X35/X36</f>
        <v>0</v>
      </c>
      <c r="AA35" s="131"/>
      <c r="AB35" s="1124" t="s">
        <v>563</v>
      </c>
      <c r="AC35" s="1129">
        <f>SUM('LAP. PENJUALAN GRABFOOD'!N36,'LAP. PENJUALAN GRABFOOD'!N37,'LAP. PENJUALAN GRABFOOD'!N38,'LAP. PENJUALAN GRABFOOD'!N39,'LAP. PENJUALAN GRABFOOD'!N46,'LAP. PENJUALAN GRABFOOD'!N47,'LAP. PENJUALAN GRABFOOD'!N48,'LAP. PENJUALAN GRABFOOD'!N49,'LAP. PENJUALAN GOFOOD'!N36,'LAP. PENJUALAN GOFOOD'!N37,'LAP. PENJUALAN GOFOOD'!N38,'LAP. PENJUALAN GOFOOD'!N39,'LAP. PENJUALAN GOFOOD'!N46,'LAP. PENJUALAN GOFOOD'!N47,'LAP. PENJUALAN GOFOOD'!N48,'LAP. PENJUALAN GOFOOD'!N49,'LAP. PENJUALAN SHOPEFOOD'!N36,'LAP. PENJUALAN SHOPEFOOD'!N37,'LAP. PENJUALAN SHOPEFOOD'!N38,'LAP. PENJUALAN SHOPEFOOD'!N39,'LAP. PENJUALAN SHOPEFOOD'!N46,'LAP. PENJUALAN SHOPEFOOD'!N47,'LAP. PENJUALAN SHOPEFOOD'!N48,'LAP. PENJUALAN SHOPEFOOD'!N49,)</f>
        <v>0</v>
      </c>
      <c r="AD35" s="1116"/>
      <c r="AE35" s="1126">
        <f>AC35/AC36</f>
        <v>0</v>
      </c>
    </row>
    <row r="36" spans="1:31" ht="18.75" customHeight="1" thickBot="1" x14ac:dyDescent="0.3">
      <c r="A36" s="1156">
        <v>27</v>
      </c>
      <c r="B36" s="1159" t="str">
        <f>VENDOR!D48</f>
        <v>AIR MINERAL BOTOL (AMB)</v>
      </c>
      <c r="C36" s="1073">
        <f>VENDOR!H48</f>
        <v>51</v>
      </c>
      <c r="D36" s="1073">
        <f>VENDOR!AJ48</f>
        <v>0</v>
      </c>
      <c r="E36" s="1073">
        <f>VENDOR!AL48</f>
        <v>29</v>
      </c>
      <c r="F36" s="1073">
        <f t="shared" si="0"/>
        <v>22</v>
      </c>
      <c r="G36" s="815">
        <f>'LAP. PENJUALAN REGULER'!N86</f>
        <v>22</v>
      </c>
      <c r="H36" s="815">
        <f>SUM('LAP. PENJUALAN GRABFOOD'!N86,'LAP. PENJUALAN GOFOOD'!N86,'LAP. PENJUALAN SHOPEFOOD'!N86)</f>
        <v>0</v>
      </c>
      <c r="I36" s="815">
        <f t="shared" si="2"/>
        <v>0</v>
      </c>
      <c r="J36" s="820"/>
      <c r="K36" s="816"/>
      <c r="M36" s="1118"/>
      <c r="N36" s="1118">
        <v>120</v>
      </c>
      <c r="O36" s="165"/>
      <c r="P36" s="1119"/>
      <c r="Q36" s="131"/>
      <c r="R36" s="1118"/>
      <c r="S36" s="1136">
        <v>22</v>
      </c>
      <c r="T36" s="165"/>
      <c r="U36" s="1137"/>
      <c r="W36" s="1118"/>
      <c r="X36" s="1118">
        <v>120</v>
      </c>
      <c r="Y36" s="165"/>
      <c r="Z36" s="1119"/>
      <c r="AA36" s="131"/>
      <c r="AB36" s="1118"/>
      <c r="AC36" s="1136">
        <v>22</v>
      </c>
      <c r="AD36" s="165"/>
      <c r="AE36" s="1137"/>
    </row>
    <row r="37" spans="1:31" ht="18.75" customHeight="1" thickBot="1" x14ac:dyDescent="0.3">
      <c r="A37" s="1156">
        <v>28</v>
      </c>
      <c r="B37" s="1159" t="str">
        <f>VENDOR!D49</f>
        <v>AIR MINERAL CUP (AMC)</v>
      </c>
      <c r="C37" s="1073">
        <f>VENDOR!H49</f>
        <v>0</v>
      </c>
      <c r="D37" s="1073">
        <f>VENDOR!AJ49</f>
        <v>0</v>
      </c>
      <c r="E37" s="1073">
        <f>VENDOR!AL49</f>
        <v>0</v>
      </c>
      <c r="F37" s="1072">
        <f t="shared" si="0"/>
        <v>0</v>
      </c>
      <c r="G37" s="818"/>
      <c r="H37" s="818"/>
      <c r="I37" s="815">
        <f t="shared" si="2"/>
        <v>0</v>
      </c>
      <c r="J37" s="824"/>
      <c r="K37" s="814"/>
      <c r="M37" s="1123"/>
      <c r="N37" s="131"/>
      <c r="O37" s="131"/>
      <c r="P37" s="131"/>
      <c r="Q37" s="131"/>
      <c r="R37" s="131"/>
      <c r="S37" s="131"/>
      <c r="T37" s="131"/>
      <c r="U37" s="1122"/>
      <c r="W37" s="1123"/>
      <c r="X37" s="131"/>
      <c r="Y37" s="131"/>
      <c r="Z37" s="131"/>
      <c r="AA37" s="131"/>
      <c r="AB37" s="131"/>
      <c r="AC37" s="131"/>
      <c r="AD37" s="131"/>
      <c r="AE37" s="1122"/>
    </row>
    <row r="38" spans="1:31" ht="18.75" customHeight="1" x14ac:dyDescent="0.25">
      <c r="A38" s="1156">
        <v>29</v>
      </c>
      <c r="B38" s="1159" t="str">
        <f>VENDOR!D50</f>
        <v>MILO</v>
      </c>
      <c r="C38" s="1073">
        <f>VENDOR!H50</f>
        <v>1.17</v>
      </c>
      <c r="D38" s="1073">
        <f>VENDOR!AJ50</f>
        <v>0</v>
      </c>
      <c r="E38" s="1073">
        <f>VENDOR!AL50</f>
        <v>0.43</v>
      </c>
      <c r="F38" s="1072">
        <f t="shared" si="0"/>
        <v>0.74</v>
      </c>
      <c r="G38" s="818">
        <f>P21</f>
        <v>0.64</v>
      </c>
      <c r="H38" s="818">
        <f>Z21</f>
        <v>0</v>
      </c>
      <c r="I38" s="815">
        <f t="shared" si="2"/>
        <v>-9.9999999999999978E-2</v>
      </c>
      <c r="J38" s="824"/>
      <c r="K38" s="814"/>
      <c r="M38" s="1124" t="s">
        <v>327</v>
      </c>
      <c r="N38" s="1125">
        <f>N12</f>
        <v>30</v>
      </c>
      <c r="O38" s="1116"/>
      <c r="P38" s="1117"/>
      <c r="Q38" s="131"/>
      <c r="R38" s="1124" t="s">
        <v>926</v>
      </c>
      <c r="S38" s="1129">
        <f>SUM('LAP. PENJUALAN REGULER'!N63,'LAP. PENJUALAN REGULER'!N61)</f>
        <v>2</v>
      </c>
      <c r="T38" s="1116">
        <v>4</v>
      </c>
      <c r="U38" s="1117">
        <f>S38*T38</f>
        <v>8</v>
      </c>
      <c r="W38" s="1124" t="s">
        <v>327</v>
      </c>
      <c r="X38" s="1125">
        <f>X12</f>
        <v>0</v>
      </c>
      <c r="Y38" s="1116"/>
      <c r="Z38" s="1117"/>
      <c r="AA38" s="131"/>
      <c r="AB38" s="1124" t="s">
        <v>926</v>
      </c>
      <c r="AC38" s="1129">
        <f>SUM('LAP. PENJUALAN GRABFOOD'!N61,'LAP. PENJUALAN GRABFOOD'!N63,'LAP. PENJUALAN GOFOOD'!N61,'LAP. PENJUALAN GOFOOD'!N63,'LAP. PENJUALAN SHOPEFOOD'!N61,'LAP. PENJUALAN SHOPEFOOD'!N63)</f>
        <v>0</v>
      </c>
      <c r="AD38" s="1116">
        <v>4</v>
      </c>
      <c r="AE38" s="1126">
        <f>AC38*AD38/AC36</f>
        <v>0</v>
      </c>
    </row>
    <row r="39" spans="1:31" ht="18.75" customHeight="1" x14ac:dyDescent="0.25">
      <c r="A39" s="1156">
        <v>30</v>
      </c>
      <c r="B39" s="1159" t="str">
        <f>VENDOR!D51</f>
        <v>NESTEA</v>
      </c>
      <c r="C39" s="1073">
        <f>VENDOR!H51</f>
        <v>0</v>
      </c>
      <c r="D39" s="1073">
        <f>VENDOR!AJ51</f>
        <v>2</v>
      </c>
      <c r="E39" s="1073">
        <f>VENDOR!AL51</f>
        <v>1.64</v>
      </c>
      <c r="F39" s="1072">
        <f t="shared" si="0"/>
        <v>0.3600000000000001</v>
      </c>
      <c r="G39" s="818">
        <f>U21</f>
        <v>1.2127659574468086</v>
      </c>
      <c r="H39" s="818">
        <f>AE21</f>
        <v>0</v>
      </c>
      <c r="I39" s="815">
        <f t="shared" si="2"/>
        <v>0.8527659574468085</v>
      </c>
      <c r="J39" s="824"/>
      <c r="K39" s="814"/>
      <c r="M39" s="1123"/>
      <c r="N39" s="1123">
        <v>45</v>
      </c>
      <c r="O39" s="131"/>
      <c r="P39" s="1138">
        <f>N38/N39</f>
        <v>0.66666666666666663</v>
      </c>
      <c r="Q39" s="131"/>
      <c r="R39" s="1123"/>
      <c r="S39" s="1123"/>
      <c r="T39" s="131"/>
      <c r="U39" s="1122"/>
      <c r="W39" s="1123"/>
      <c r="X39" s="1123">
        <v>45</v>
      </c>
      <c r="Y39" s="131"/>
      <c r="Z39" s="1138">
        <f>X38/X39</f>
        <v>0</v>
      </c>
      <c r="AA39" s="131"/>
      <c r="AB39" s="1123"/>
      <c r="AC39" s="1123"/>
      <c r="AD39" s="131"/>
      <c r="AE39" s="1122"/>
    </row>
    <row r="40" spans="1:31" ht="18.75" customHeight="1" thickBot="1" x14ac:dyDescent="0.3">
      <c r="A40" s="1156">
        <v>31</v>
      </c>
      <c r="B40" s="1159" t="str">
        <f>VENDOR!D52</f>
        <v>ORANGE</v>
      </c>
      <c r="C40" s="1073">
        <f>VENDOR!H52</f>
        <v>1.34</v>
      </c>
      <c r="D40" s="1073">
        <f>VENDOR!AJ52</f>
        <v>0</v>
      </c>
      <c r="E40" s="1073">
        <f>VENDOR!AL52</f>
        <v>1.1499999999999999</v>
      </c>
      <c r="F40" s="1073">
        <f t="shared" si="0"/>
        <v>0.19000000000000017</v>
      </c>
      <c r="G40" s="815">
        <f>U18</f>
        <v>0.1111111111111111</v>
      </c>
      <c r="H40" s="815">
        <f>AE18</f>
        <v>0</v>
      </c>
      <c r="I40" s="815">
        <f t="shared" si="2"/>
        <v>-7.8888888888889064E-2</v>
      </c>
      <c r="J40" s="820"/>
      <c r="K40" s="816"/>
      <c r="M40" s="1118"/>
      <c r="N40" s="1118">
        <v>66</v>
      </c>
      <c r="O40" s="165"/>
      <c r="P40" s="1137">
        <f>N38/N40</f>
        <v>0.45454545454545453</v>
      </c>
      <c r="Q40" s="131"/>
      <c r="R40" s="1118"/>
      <c r="S40" s="1118"/>
      <c r="T40" s="165"/>
      <c r="U40" s="1119"/>
      <c r="W40" s="1118"/>
      <c r="X40" s="1118">
        <v>66</v>
      </c>
      <c r="Y40" s="165"/>
      <c r="Z40" s="1137">
        <f>X38/X40</f>
        <v>0</v>
      </c>
      <c r="AA40" s="131"/>
      <c r="AB40" s="1118"/>
      <c r="AC40" s="1118"/>
      <c r="AD40" s="165"/>
      <c r="AE40" s="1119"/>
    </row>
    <row r="41" spans="1:31" ht="18.75" customHeight="1" thickBot="1" x14ac:dyDescent="0.3">
      <c r="A41" s="1156">
        <v>32</v>
      </c>
      <c r="B41" s="1159" t="str">
        <f>VENDOR!D53</f>
        <v>TEH GOPEK</v>
      </c>
      <c r="C41" s="1073">
        <f>VENDOR!H53</f>
        <v>37</v>
      </c>
      <c r="D41" s="1073">
        <f>VENDOR!AJ53</f>
        <v>100</v>
      </c>
      <c r="E41" s="1073">
        <f>VENDOR!AL53</f>
        <v>120</v>
      </c>
      <c r="F41" s="1073">
        <f t="shared" si="0"/>
        <v>17</v>
      </c>
      <c r="G41" s="815">
        <f>P18+P20</f>
        <v>21.844800000000003</v>
      </c>
      <c r="H41" s="815">
        <f>Z18+Z20</f>
        <v>0</v>
      </c>
      <c r="I41" s="815">
        <f t="shared" si="2"/>
        <v>4.8448000000000029</v>
      </c>
      <c r="J41" s="820"/>
      <c r="K41" s="816"/>
      <c r="M41" s="1123"/>
      <c r="N41" s="131"/>
      <c r="O41" s="131"/>
      <c r="P41" s="131"/>
      <c r="Q41" s="131"/>
      <c r="R41" s="131"/>
      <c r="S41" s="131"/>
      <c r="T41" s="131"/>
      <c r="U41" s="1122"/>
      <c r="W41" s="1123"/>
      <c r="X41" s="131"/>
      <c r="Y41" s="131"/>
      <c r="Z41" s="131"/>
      <c r="AA41" s="131"/>
      <c r="AB41" s="131"/>
      <c r="AC41" s="131"/>
      <c r="AD41" s="131"/>
      <c r="AE41" s="1122"/>
    </row>
    <row r="42" spans="1:31" ht="18.75" customHeight="1" x14ac:dyDescent="0.25">
      <c r="A42" s="1156">
        <v>33</v>
      </c>
      <c r="B42" s="1159">
        <f>VENDOR!D54</f>
        <v>0</v>
      </c>
      <c r="C42" s="1073">
        <f>VENDOR!H54</f>
        <v>0</v>
      </c>
      <c r="D42" s="1073">
        <f>VENDOR!AJ54</f>
        <v>0</v>
      </c>
      <c r="E42" s="1073">
        <f>VENDOR!AL54</f>
        <v>0</v>
      </c>
      <c r="F42" s="1073">
        <f t="shared" si="0"/>
        <v>0</v>
      </c>
      <c r="G42" s="815"/>
      <c r="H42" s="815"/>
      <c r="I42" s="815">
        <f t="shared" si="2"/>
        <v>0</v>
      </c>
      <c r="J42" s="820"/>
      <c r="K42" s="816"/>
      <c r="M42" s="1124" t="s">
        <v>564</v>
      </c>
      <c r="N42" s="1125">
        <f>S15</f>
        <v>29</v>
      </c>
      <c r="O42" s="1116"/>
      <c r="P42" s="1126">
        <f>N42/N43</f>
        <v>0.41428571428571431</v>
      </c>
      <c r="Q42" s="131"/>
      <c r="R42" s="1124" t="s">
        <v>981</v>
      </c>
      <c r="S42" s="1129">
        <f>'LAP. PENJUALAN REGULER'!N76</f>
        <v>11</v>
      </c>
      <c r="T42" s="1116"/>
      <c r="U42" s="1117">
        <f>S42/S43</f>
        <v>0.6470588235294118</v>
      </c>
      <c r="W42" s="1124" t="s">
        <v>564</v>
      </c>
      <c r="X42" s="1125">
        <f>AC15</f>
        <v>0</v>
      </c>
      <c r="Y42" s="1116"/>
      <c r="Z42" s="1126">
        <f>X42/X43</f>
        <v>0</v>
      </c>
      <c r="AA42" s="131"/>
      <c r="AB42" s="1129"/>
      <c r="AC42" s="1129"/>
      <c r="AD42" s="1116"/>
      <c r="AE42" s="1117"/>
    </row>
    <row r="43" spans="1:31" ht="18.75" customHeight="1" thickBot="1" x14ac:dyDescent="0.3">
      <c r="A43" s="1156">
        <v>34</v>
      </c>
      <c r="B43" s="1159" t="str">
        <f>VENDOR!D55</f>
        <v>AVOCADO</v>
      </c>
      <c r="C43" s="1073">
        <f>VENDOR!H55</f>
        <v>10</v>
      </c>
      <c r="D43" s="1073">
        <f>VENDOR!AJ55</f>
        <v>0</v>
      </c>
      <c r="E43" s="1073">
        <f>VENDOR!AL55</f>
        <v>7</v>
      </c>
      <c r="F43" s="1073">
        <f t="shared" si="0"/>
        <v>3</v>
      </c>
      <c r="G43" s="815">
        <f>'LAP. PENJUALAN REGULER'!N97</f>
        <v>3</v>
      </c>
      <c r="H43" s="815"/>
      <c r="I43" s="815">
        <f t="shared" si="2"/>
        <v>0</v>
      </c>
      <c r="J43" s="820"/>
      <c r="K43" s="816"/>
      <c r="M43" s="1118"/>
      <c r="N43" s="1118">
        <v>70</v>
      </c>
      <c r="O43" s="165"/>
      <c r="P43" s="1119"/>
      <c r="Q43" s="131"/>
      <c r="R43" s="1118"/>
      <c r="S43" s="1118">
        <v>17</v>
      </c>
      <c r="T43" s="165"/>
      <c r="U43" s="1119"/>
      <c r="W43" s="1118"/>
      <c r="X43" s="1118">
        <v>70</v>
      </c>
      <c r="Y43" s="165"/>
      <c r="Z43" s="1119"/>
      <c r="AA43" s="131"/>
      <c r="AB43" s="1118"/>
      <c r="AC43" s="1118"/>
      <c r="AD43" s="165"/>
      <c r="AE43" s="1119"/>
    </row>
    <row r="44" spans="1:31" ht="18.75" customHeight="1" thickBot="1" x14ac:dyDescent="0.3">
      <c r="A44" s="1156">
        <v>35</v>
      </c>
      <c r="B44" s="1159" t="str">
        <f>VENDOR!D56</f>
        <v>MARJAN MOCCA</v>
      </c>
      <c r="C44" s="1073">
        <f>VENDOR!H56</f>
        <v>0</v>
      </c>
      <c r="D44" s="1073">
        <f>VENDOR!AJ56</f>
        <v>0</v>
      </c>
      <c r="E44" s="1073">
        <f>VENDOR!AL56</f>
        <v>0</v>
      </c>
      <c r="F44" s="1073">
        <f t="shared" si="0"/>
        <v>0</v>
      </c>
      <c r="G44" s="815"/>
      <c r="H44" s="815"/>
      <c r="I44" s="815">
        <f t="shared" si="2"/>
        <v>0</v>
      </c>
      <c r="J44" s="820"/>
      <c r="K44" s="816"/>
      <c r="M44" s="1118"/>
      <c r="N44" s="165"/>
      <c r="O44" s="165"/>
      <c r="P44" s="165"/>
      <c r="Q44" s="165"/>
      <c r="R44" s="165"/>
      <c r="S44" s="165"/>
      <c r="T44" s="165"/>
      <c r="U44" s="1122"/>
      <c r="W44" s="1123"/>
      <c r="X44" s="131"/>
      <c r="Y44" s="131"/>
      <c r="Z44" s="131"/>
      <c r="AA44" s="131"/>
      <c r="AB44" s="131"/>
      <c r="AC44" s="165"/>
      <c r="AD44" s="165"/>
      <c r="AE44" s="1119"/>
    </row>
    <row r="45" spans="1:31" ht="18.75" customHeight="1" thickBot="1" x14ac:dyDescent="0.3">
      <c r="A45" s="1156">
        <v>36</v>
      </c>
      <c r="B45" s="1159">
        <f>VENDOR!D57</f>
        <v>0</v>
      </c>
      <c r="C45" s="1073">
        <f>VENDOR!H57</f>
        <v>0</v>
      </c>
      <c r="D45" s="1073">
        <f>VENDOR!AJ57</f>
        <v>0</v>
      </c>
      <c r="E45" s="1073">
        <f>VENDOR!AL57</f>
        <v>0</v>
      </c>
      <c r="F45" s="1073">
        <f t="shared" si="0"/>
        <v>0</v>
      </c>
      <c r="G45" s="815"/>
      <c r="H45" s="815"/>
      <c r="I45" s="815">
        <f t="shared" si="2"/>
        <v>0</v>
      </c>
      <c r="J45" s="820"/>
      <c r="K45" s="816"/>
      <c r="M45" s="1167" t="s">
        <v>565</v>
      </c>
      <c r="N45" s="1168" t="s">
        <v>566</v>
      </c>
      <c r="O45" s="1168"/>
      <c r="P45" s="1168" t="s">
        <v>32</v>
      </c>
      <c r="Q45" s="1168"/>
      <c r="R45" s="1168"/>
      <c r="S45" s="1169"/>
      <c r="U45" s="138" t="s">
        <v>567</v>
      </c>
      <c r="V45" s="139"/>
      <c r="W45" s="139" t="s">
        <v>566</v>
      </c>
      <c r="X45" s="139" t="s">
        <v>568</v>
      </c>
      <c r="Y45" s="139"/>
      <c r="Z45" s="139"/>
      <c r="AA45" s="139"/>
      <c r="AB45" s="140"/>
    </row>
    <row r="46" spans="1:31" ht="18.75" customHeight="1" thickBot="1" x14ac:dyDescent="0.3">
      <c r="A46" s="1157">
        <v>37</v>
      </c>
      <c r="B46" s="1160">
        <f>VENDOR!D58</f>
        <v>0</v>
      </c>
      <c r="C46" s="1074">
        <f>VENDOR!H58</f>
        <v>0</v>
      </c>
      <c r="D46" s="1074">
        <f>VENDOR!AJ58</f>
        <v>0</v>
      </c>
      <c r="E46" s="1074">
        <f>VENDOR!AL58</f>
        <v>0</v>
      </c>
      <c r="F46" s="1075">
        <f t="shared" si="0"/>
        <v>0</v>
      </c>
      <c r="G46" s="832"/>
      <c r="H46" s="832"/>
      <c r="I46" s="1161">
        <f t="shared" si="2"/>
        <v>0</v>
      </c>
      <c r="J46" s="831"/>
      <c r="K46" s="834"/>
      <c r="M46" s="138" t="s">
        <v>100</v>
      </c>
      <c r="N46" s="1170">
        <f>G11+G12+G13+G14+H11+H12+H13+H14</f>
        <v>848</v>
      </c>
      <c r="O46" s="139">
        <v>1</v>
      </c>
      <c r="P46" s="1170">
        <f>N46*O46</f>
        <v>848</v>
      </c>
      <c r="Q46" s="139"/>
      <c r="R46" s="139"/>
      <c r="S46" s="140"/>
      <c r="U46" s="147" t="s">
        <v>569</v>
      </c>
      <c r="W46" s="398">
        <f>U35+AE35</f>
        <v>4.9090909090909092</v>
      </c>
      <c r="X46" s="148">
        <v>500</v>
      </c>
      <c r="Y46" s="148">
        <f>W46*X46</f>
        <v>2454.5454545454545</v>
      </c>
      <c r="AB46" s="149"/>
    </row>
    <row r="47" spans="1:31" ht="18.75" customHeight="1" x14ac:dyDescent="0.25">
      <c r="A47" s="809">
        <v>38</v>
      </c>
      <c r="B47" s="810" t="str">
        <f>VENDOR!D121</f>
        <v>MINYAK FREYER</v>
      </c>
      <c r="C47" s="1076">
        <f>VENDOR!H121</f>
        <v>77</v>
      </c>
      <c r="D47" s="1076">
        <f>VENDOR!AJ121</f>
        <v>0</v>
      </c>
      <c r="E47" s="1076">
        <f>VENDOR!AL121</f>
        <v>30</v>
      </c>
      <c r="F47" s="1076">
        <f t="shared" si="0"/>
        <v>47</v>
      </c>
      <c r="G47" s="1499">
        <f>S52</f>
        <v>51.666666666666664</v>
      </c>
      <c r="H47" s="1500"/>
      <c r="I47" s="1503">
        <f>G47+G48-(F47-J47)</f>
        <v>7.8012121212121173</v>
      </c>
      <c r="J47" s="821">
        <f>'LEFT OVER'!L26</f>
        <v>0</v>
      </c>
      <c r="K47" s="822"/>
      <c r="M47" s="147" t="s">
        <v>570</v>
      </c>
      <c r="N47" s="398">
        <f>S15+AE15</f>
        <v>29</v>
      </c>
      <c r="O47" s="148">
        <v>1</v>
      </c>
      <c r="P47" s="398">
        <f t="shared" ref="P47:P55" si="3">N47*O47</f>
        <v>29</v>
      </c>
      <c r="S47" s="149"/>
      <c r="U47" s="147"/>
      <c r="AB47" s="149"/>
    </row>
    <row r="48" spans="1:31" ht="18.75" customHeight="1" x14ac:dyDescent="0.25">
      <c r="A48" s="812">
        <v>39</v>
      </c>
      <c r="B48" s="810" t="str">
        <f>VENDOR!D122</f>
        <v>MINYAK WAJAN</v>
      </c>
      <c r="C48" s="1076">
        <f>VENDOR!H122</f>
        <v>0</v>
      </c>
      <c r="D48" s="1076">
        <f>VENDOR!AJ122</f>
        <v>0</v>
      </c>
      <c r="E48" s="1076">
        <f>VENDOR!AL122</f>
        <v>0</v>
      </c>
      <c r="F48" s="1076">
        <f t="shared" si="0"/>
        <v>0</v>
      </c>
      <c r="G48" s="1501">
        <f>AB50</f>
        <v>3.1345454545454543</v>
      </c>
      <c r="H48" s="1502"/>
      <c r="I48" s="1504"/>
      <c r="J48" s="819"/>
      <c r="K48" s="816"/>
      <c r="M48" s="147" t="s">
        <v>571</v>
      </c>
      <c r="N48" s="398">
        <f>N12+X12</f>
        <v>30</v>
      </c>
      <c r="O48" s="148">
        <v>0.75</v>
      </c>
      <c r="P48" s="398">
        <f t="shared" si="3"/>
        <v>22.5</v>
      </c>
      <c r="S48" s="149"/>
      <c r="U48" s="147" t="s">
        <v>594</v>
      </c>
      <c r="W48" s="398">
        <f>N15+X15</f>
        <v>12</v>
      </c>
      <c r="X48" s="148">
        <v>10</v>
      </c>
      <c r="Y48" s="148">
        <f>W48*X48</f>
        <v>120</v>
      </c>
      <c r="AB48" s="149"/>
    </row>
    <row r="49" spans="1:28" ht="18.75" customHeight="1" x14ac:dyDescent="0.25">
      <c r="A49" s="812">
        <v>40</v>
      </c>
      <c r="B49" s="810"/>
      <c r="C49" s="1073"/>
      <c r="D49" s="1073"/>
      <c r="E49" s="1073"/>
      <c r="F49" s="1076"/>
      <c r="G49" s="815"/>
      <c r="H49" s="813"/>
      <c r="I49" s="815"/>
      <c r="J49" s="819"/>
      <c r="K49" s="816"/>
      <c r="M49" s="147" t="s">
        <v>572</v>
      </c>
      <c r="N49" s="148">
        <f>SUM(N11+X11)</f>
        <v>7</v>
      </c>
      <c r="O49" s="148">
        <v>0.5</v>
      </c>
      <c r="P49" s="398">
        <f t="shared" si="3"/>
        <v>3.5</v>
      </c>
      <c r="S49" s="149"/>
      <c r="U49" s="147" t="s">
        <v>557</v>
      </c>
      <c r="W49" s="398">
        <f>S12+AC12</f>
        <v>22</v>
      </c>
      <c r="X49" s="148">
        <v>10</v>
      </c>
      <c r="Y49" s="148">
        <f>W49*X49</f>
        <v>220</v>
      </c>
      <c r="AB49" s="149" t="s">
        <v>573</v>
      </c>
    </row>
    <row r="50" spans="1:28" ht="18.75" customHeight="1" x14ac:dyDescent="0.25">
      <c r="A50" s="812">
        <v>41</v>
      </c>
      <c r="B50" s="810"/>
      <c r="C50" s="1073"/>
      <c r="D50" s="1073"/>
      <c r="E50" s="1073"/>
      <c r="F50" s="1076"/>
      <c r="G50" s="815"/>
      <c r="H50" s="813"/>
      <c r="I50" s="815"/>
      <c r="J50" s="819"/>
      <c r="K50" s="816"/>
      <c r="M50" s="147" t="s">
        <v>574</v>
      </c>
      <c r="N50" s="398">
        <f>G15+H15</f>
        <v>31</v>
      </c>
      <c r="O50" s="148">
        <v>1</v>
      </c>
      <c r="P50" s="398">
        <f t="shared" si="3"/>
        <v>31</v>
      </c>
      <c r="S50" s="149"/>
      <c r="U50" s="147" t="s">
        <v>575</v>
      </c>
      <c r="W50" s="398">
        <f>SUM('LAP. PENJUALAN REGULER'!N74,'LAP. PENJUALAN GRABFOOD'!N74,'LAP. PENJUALAN REGULER'!N21,'LAP. PENJUALAN GRABFOOD'!N21,'LAP. PENJUALAN GOFOOD'!N21,'LAP. PENJUALAN GOFOOD'!N74,'LAP. PENJUALAN SHOPEFOOD'!N21,'LAP. PENJUALAN SHOPEFOOD'!N74)</f>
        <v>17</v>
      </c>
      <c r="X50" s="148">
        <v>20</v>
      </c>
      <c r="Y50" s="148">
        <f>W50*X50</f>
        <v>340</v>
      </c>
      <c r="Z50" s="148" t="s">
        <v>10</v>
      </c>
      <c r="AA50" s="148">
        <f>SUM(Y46:Y51)</f>
        <v>3134.5454545454545</v>
      </c>
      <c r="AB50" s="149">
        <f>AA50/AA51</f>
        <v>3.1345454545454543</v>
      </c>
    </row>
    <row r="51" spans="1:28" ht="18.75" customHeight="1" thickBot="1" x14ac:dyDescent="0.3">
      <c r="A51" s="812">
        <v>42</v>
      </c>
      <c r="B51" s="810"/>
      <c r="C51" s="1073"/>
      <c r="D51" s="1073"/>
      <c r="E51" s="1073"/>
      <c r="F51" s="1076"/>
      <c r="G51" s="815"/>
      <c r="H51" s="813"/>
      <c r="I51" s="815"/>
      <c r="J51" s="819"/>
      <c r="K51" s="816"/>
      <c r="M51" s="147" t="s">
        <v>229</v>
      </c>
      <c r="N51" s="879">
        <f>G24+H24</f>
        <v>58</v>
      </c>
      <c r="O51" s="148">
        <v>1</v>
      </c>
      <c r="P51" s="398">
        <f t="shared" si="3"/>
        <v>58</v>
      </c>
      <c r="S51" s="149" t="s">
        <v>573</v>
      </c>
      <c r="U51" s="155"/>
      <c r="V51" s="156"/>
      <c r="W51" s="156"/>
      <c r="X51" s="156"/>
      <c r="Y51" s="156"/>
      <c r="Z51" s="156"/>
      <c r="AA51" s="156">
        <v>1000</v>
      </c>
      <c r="AB51" s="157"/>
    </row>
    <row r="52" spans="1:28" ht="18.75" customHeight="1" x14ac:dyDescent="0.25">
      <c r="A52" s="812">
        <v>43</v>
      </c>
      <c r="B52" s="810" t="str">
        <f>VENDOR!D128</f>
        <v>BUTTER MIX</v>
      </c>
      <c r="C52" s="1073">
        <f>VENDOR!H128</f>
        <v>4</v>
      </c>
      <c r="D52" s="1073">
        <f>VENDOR!AJ128</f>
        <v>0</v>
      </c>
      <c r="E52" s="1073">
        <f>VENDOR!AL128</f>
        <v>3</v>
      </c>
      <c r="F52" s="1077">
        <f t="shared" si="0"/>
        <v>1</v>
      </c>
      <c r="G52" s="818">
        <f>P39</f>
        <v>0.66666666666666663</v>
      </c>
      <c r="H52" s="811">
        <f>Z39</f>
        <v>0</v>
      </c>
      <c r="I52" s="815">
        <f t="shared" si="2"/>
        <v>-0.33333333333333337</v>
      </c>
      <c r="J52" s="817"/>
      <c r="K52" s="814"/>
      <c r="M52" s="147" t="s">
        <v>576</v>
      </c>
      <c r="N52" s="879">
        <f>G21+H21</f>
        <v>2.5</v>
      </c>
      <c r="O52" s="148">
        <v>10</v>
      </c>
      <c r="P52" s="398">
        <f t="shared" si="3"/>
        <v>25</v>
      </c>
      <c r="Q52" s="148" t="s">
        <v>10</v>
      </c>
      <c r="R52" s="398">
        <f>SUM(P46:P57)</f>
        <v>1705</v>
      </c>
      <c r="S52" s="1165">
        <f>R52/R53</f>
        <v>51.666666666666664</v>
      </c>
    </row>
    <row r="53" spans="1:28" ht="18.75" customHeight="1" x14ac:dyDescent="0.25">
      <c r="A53" s="812">
        <v>44</v>
      </c>
      <c r="B53" s="810" t="str">
        <f>VENDOR!D129</f>
        <v>MAYONASE</v>
      </c>
      <c r="C53" s="1073">
        <f>VENDOR!H129</f>
        <v>0</v>
      </c>
      <c r="D53" s="1073">
        <f>VENDOR!AJ129</f>
        <v>0</v>
      </c>
      <c r="E53" s="1073">
        <f>VENDOR!AL129</f>
        <v>0</v>
      </c>
      <c r="F53" s="1077">
        <f t="shared" si="0"/>
        <v>0</v>
      </c>
      <c r="G53" s="818">
        <f>U32</f>
        <v>0.44285714285714284</v>
      </c>
      <c r="H53" s="811">
        <f>AE32</f>
        <v>0</v>
      </c>
      <c r="I53" s="815">
        <f t="shared" si="2"/>
        <v>0.44285714285714284</v>
      </c>
      <c r="J53" s="817"/>
      <c r="K53" s="814"/>
      <c r="M53" s="147" t="s">
        <v>220</v>
      </c>
      <c r="N53" s="879">
        <f>G16+H16</f>
        <v>98</v>
      </c>
      <c r="O53" s="148">
        <v>7</v>
      </c>
      <c r="P53" s="148">
        <f t="shared" si="3"/>
        <v>686</v>
      </c>
      <c r="R53" s="148">
        <v>33</v>
      </c>
      <c r="S53" s="149"/>
    </row>
    <row r="54" spans="1:28" ht="18.75" customHeight="1" x14ac:dyDescent="0.25">
      <c r="A54" s="812">
        <v>45</v>
      </c>
      <c r="B54" s="810" t="str">
        <f>VENDOR!D130</f>
        <v>SAOS BLACKPEPPER</v>
      </c>
      <c r="C54" s="1073">
        <f>VENDOR!H130</f>
        <v>0.8</v>
      </c>
      <c r="D54" s="1073">
        <f>VENDOR!AJ130</f>
        <v>1</v>
      </c>
      <c r="E54" s="1073">
        <f>VENDOR!AL130</f>
        <v>0.4</v>
      </c>
      <c r="F54" s="1077">
        <f>C54+D54-E54</f>
        <v>1.4</v>
      </c>
      <c r="G54" s="818">
        <f>U42</f>
        <v>0.6470588235294118</v>
      </c>
      <c r="H54" s="811"/>
      <c r="I54" s="815">
        <f>G54+H54-(F54-J54)</f>
        <v>-0.75294117647058811</v>
      </c>
      <c r="J54" s="817"/>
      <c r="K54" s="814"/>
      <c r="M54" s="147" t="s">
        <v>228</v>
      </c>
      <c r="N54" s="398">
        <f>SUM(N63,Q63)/2</f>
        <v>2</v>
      </c>
      <c r="O54" s="148">
        <v>1</v>
      </c>
      <c r="P54" s="148">
        <f t="shared" si="3"/>
        <v>2</v>
      </c>
      <c r="S54" s="149"/>
    </row>
    <row r="55" spans="1:28" ht="18.75" customHeight="1" x14ac:dyDescent="0.25">
      <c r="A55" s="812">
        <v>46</v>
      </c>
      <c r="B55" s="810" t="str">
        <f>VENDOR!D131</f>
        <v>TEPUNG CAKRA</v>
      </c>
      <c r="C55" s="1073">
        <f>VENDOR!H131</f>
        <v>130</v>
      </c>
      <c r="D55" s="1073">
        <f>VENDOR!AJ131</f>
        <v>75</v>
      </c>
      <c r="E55" s="1073">
        <f>VENDOR!AL131</f>
        <v>175</v>
      </c>
      <c r="F55" s="1077">
        <f t="shared" si="0"/>
        <v>30</v>
      </c>
      <c r="G55" s="818">
        <f>U30</f>
        <v>73.047619047619051</v>
      </c>
      <c r="H55" s="811">
        <f>AE30</f>
        <v>0</v>
      </c>
      <c r="I55" s="815">
        <f t="shared" si="2"/>
        <v>43.047619047619051</v>
      </c>
      <c r="J55" s="817"/>
      <c r="K55" s="814"/>
      <c r="M55" s="147" t="s">
        <v>595</v>
      </c>
      <c r="N55" s="398">
        <f>SUM(O63,R63)/6</f>
        <v>0</v>
      </c>
      <c r="O55" s="148">
        <v>1</v>
      </c>
      <c r="P55" s="148">
        <f t="shared" si="3"/>
        <v>0</v>
      </c>
      <c r="S55" s="1165"/>
    </row>
    <row r="56" spans="1:28" ht="18.75" customHeight="1" x14ac:dyDescent="0.25">
      <c r="A56" s="812">
        <v>47</v>
      </c>
      <c r="B56" s="810">
        <f>VENDOR!D132</f>
        <v>0</v>
      </c>
      <c r="C56" s="1073">
        <f>VENDOR!H132</f>
        <v>0</v>
      </c>
      <c r="D56" s="1073">
        <f>VENDOR!AJ132</f>
        <v>0</v>
      </c>
      <c r="E56" s="1073">
        <f>VENDOR!AL132</f>
        <v>0</v>
      </c>
      <c r="F56" s="1072">
        <f t="shared" si="0"/>
        <v>0</v>
      </c>
      <c r="G56" s="818"/>
      <c r="H56" s="818"/>
      <c r="I56" s="815">
        <f t="shared" si="2"/>
        <v>0</v>
      </c>
      <c r="J56" s="824"/>
      <c r="K56" s="814"/>
      <c r="M56" s="147" t="s">
        <v>596</v>
      </c>
      <c r="N56" s="398">
        <f>SUM(P63,S63)/3</f>
        <v>0</v>
      </c>
      <c r="O56" s="148">
        <v>1</v>
      </c>
      <c r="P56" s="148">
        <f>N56*O56</f>
        <v>0</v>
      </c>
      <c r="S56" s="149"/>
    </row>
    <row r="57" spans="1:28" ht="18.75" customHeight="1" thickBot="1" x14ac:dyDescent="0.3">
      <c r="A57" s="809">
        <v>48</v>
      </c>
      <c r="B57" s="810">
        <f>VENDOR!D133</f>
        <v>0</v>
      </c>
      <c r="C57" s="1073">
        <f>VENDOR!H133</f>
        <v>0</v>
      </c>
      <c r="D57" s="1073">
        <f>VENDOR!AJ133</f>
        <v>0</v>
      </c>
      <c r="E57" s="1073">
        <f>VENDOR!AL133</f>
        <v>0</v>
      </c>
      <c r="F57" s="1077">
        <f t="shared" si="0"/>
        <v>0</v>
      </c>
      <c r="G57" s="811"/>
      <c r="H57" s="811"/>
      <c r="I57" s="815">
        <f t="shared" si="2"/>
        <v>0</v>
      </c>
      <c r="J57" s="825"/>
      <c r="K57" s="826"/>
      <c r="M57" s="155" t="s">
        <v>878</v>
      </c>
      <c r="N57" s="1166">
        <f>G17</f>
        <v>0</v>
      </c>
      <c r="O57" s="156">
        <v>1</v>
      </c>
      <c r="P57" s="1166">
        <f>N57*O57</f>
        <v>0</v>
      </c>
      <c r="Q57" s="156"/>
      <c r="R57" s="156"/>
      <c r="S57" s="157"/>
    </row>
    <row r="58" spans="1:28" ht="18.75" customHeight="1" x14ac:dyDescent="0.25">
      <c r="A58" s="812">
        <v>49</v>
      </c>
      <c r="B58" s="810" t="str">
        <f>VENDOR!D134</f>
        <v>SAMBAL SACHET</v>
      </c>
      <c r="C58" s="1073">
        <f>VENDOR!H134</f>
        <v>51</v>
      </c>
      <c r="D58" s="1073">
        <f>VENDOR!AJ134</f>
        <v>1248</v>
      </c>
      <c r="E58" s="1073">
        <f>VENDOR!AL134</f>
        <v>315</v>
      </c>
      <c r="F58" s="1077">
        <f t="shared" si="0"/>
        <v>984</v>
      </c>
      <c r="G58" s="818"/>
      <c r="H58" s="811"/>
      <c r="I58" s="815">
        <f t="shared" si="2"/>
        <v>-984</v>
      </c>
      <c r="J58" s="817"/>
      <c r="K58" s="814"/>
      <c r="M58" s="1175" t="s">
        <v>970</v>
      </c>
      <c r="N58" s="1176" t="s">
        <v>228</v>
      </c>
      <c r="O58" s="1176" t="s">
        <v>595</v>
      </c>
      <c r="P58" s="1176" t="s">
        <v>596</v>
      </c>
      <c r="Q58" s="1177" t="s">
        <v>228</v>
      </c>
      <c r="R58" s="1177" t="s">
        <v>595</v>
      </c>
      <c r="S58" s="1178" t="s">
        <v>596</v>
      </c>
    </row>
    <row r="59" spans="1:28" ht="18.75" customHeight="1" x14ac:dyDescent="0.25">
      <c r="A59" s="812">
        <v>50</v>
      </c>
      <c r="B59" s="810" t="str">
        <f>VENDOR!D135</f>
        <v>TOMATO SACHET</v>
      </c>
      <c r="C59" s="1073">
        <f>VENDOR!H135</f>
        <v>292</v>
      </c>
      <c r="D59" s="1073">
        <f>VENDOR!AJ135</f>
        <v>936</v>
      </c>
      <c r="E59" s="1073">
        <f>VENDOR!AL135</f>
        <v>437</v>
      </c>
      <c r="F59" s="1077">
        <f t="shared" si="0"/>
        <v>791</v>
      </c>
      <c r="G59" s="818"/>
      <c r="H59" s="811"/>
      <c r="I59" s="815">
        <f t="shared" si="2"/>
        <v>-791</v>
      </c>
      <c r="J59" s="817"/>
      <c r="K59" s="814"/>
      <c r="M59" s="147" t="s">
        <v>597</v>
      </c>
      <c r="P59" s="148">
        <f>SUM('LAP. PENJUALAN REGULER'!N65)*3</f>
        <v>0</v>
      </c>
      <c r="S59" s="149">
        <f>SUM('LAP. PENJUALAN GRABFOOD'!N65,'LAP. PENJUALAN GOFOOD'!N65,'LAP. PENJUALAN SHOPEFOOD'!N60)*3</f>
        <v>0</v>
      </c>
    </row>
    <row r="60" spans="1:28" ht="18.75" customHeight="1" x14ac:dyDescent="0.25">
      <c r="A60" s="812">
        <v>51</v>
      </c>
      <c r="B60" s="810" t="str">
        <f>VENDOR!D136</f>
        <v>PREMIX MIE GORENG</v>
      </c>
      <c r="C60" s="1073">
        <f>VENDOR!H136</f>
        <v>2.9</v>
      </c>
      <c r="D60" s="1073">
        <f>VENDOR!AJ136</f>
        <v>0</v>
      </c>
      <c r="E60" s="1073">
        <f>VENDOR!AL136</f>
        <v>2</v>
      </c>
      <c r="F60" s="1077">
        <f t="shared" si="0"/>
        <v>0.89999999999999991</v>
      </c>
      <c r="G60" s="818">
        <f>N15/28</f>
        <v>0.42857142857142855</v>
      </c>
      <c r="H60" s="811">
        <f>X15/28</f>
        <v>0</v>
      </c>
      <c r="I60" s="815">
        <f>G60+H60-(F60-J60)</f>
        <v>-0.47142857142857136</v>
      </c>
      <c r="J60" s="817"/>
      <c r="K60" s="814"/>
      <c r="M60" s="147" t="s">
        <v>598</v>
      </c>
      <c r="N60" s="398">
        <f>SUM('LAP. PENJUALAN REGULER'!N66)*2</f>
        <v>4</v>
      </c>
      <c r="P60" s="398"/>
      <c r="Q60" s="148">
        <f>SUM('LAP. PENJUALAN GRABFOOD'!N66,'LAP. PENJUALAN GOFOOD'!N66,'LAP. PENJUALAN SHOPEFOOD'!N66)*2</f>
        <v>0</v>
      </c>
      <c r="S60" s="1165"/>
    </row>
    <row r="61" spans="1:28" ht="18.75" customHeight="1" x14ac:dyDescent="0.25">
      <c r="A61" s="812">
        <v>52</v>
      </c>
      <c r="B61" s="810" t="str">
        <f>VENDOR!D137</f>
        <v>PREMIX GEPREK</v>
      </c>
      <c r="C61" s="1073">
        <f>VENDOR!H137</f>
        <v>5</v>
      </c>
      <c r="D61" s="1073">
        <f>VENDOR!AJ137</f>
        <v>10</v>
      </c>
      <c r="E61" s="1073">
        <f>VENDOR!AL137</f>
        <v>13</v>
      </c>
      <c r="F61" s="1077">
        <f t="shared" si="0"/>
        <v>2</v>
      </c>
      <c r="G61" s="818">
        <f>U35</f>
        <v>4.9090909090909092</v>
      </c>
      <c r="H61" s="811">
        <f>AE35</f>
        <v>0</v>
      </c>
      <c r="I61" s="815">
        <f t="shared" si="2"/>
        <v>2.9090909090909092</v>
      </c>
      <c r="J61" s="817"/>
      <c r="K61" s="814"/>
      <c r="M61" s="147" t="s">
        <v>599</v>
      </c>
      <c r="O61" s="148">
        <f>SUM('LAP. PENJUALAN REGULER'!N67)*6</f>
        <v>0</v>
      </c>
      <c r="R61" s="148">
        <f>SUM('LAP. PENJUALAN GRABFOOD'!N67,'LAP. PENJUALAN GOFOOD'!N67,'LAP. PENJUALAN SHOPEFOOD'!N67)*6</f>
        <v>0</v>
      </c>
      <c r="S61" s="149"/>
    </row>
    <row r="62" spans="1:28" ht="18.75" customHeight="1" x14ac:dyDescent="0.25">
      <c r="A62" s="812">
        <v>53</v>
      </c>
      <c r="B62" s="810" t="str">
        <f>VENDOR!D138</f>
        <v>PREMIK STEAK</v>
      </c>
      <c r="C62" s="1073">
        <f>VENDOR!H138</f>
        <v>1</v>
      </c>
      <c r="D62" s="1073">
        <f>VENDOR!AJ138</f>
        <v>1</v>
      </c>
      <c r="E62" s="1073">
        <f>VENDOR!AL138</f>
        <v>1</v>
      </c>
      <c r="F62" s="1077">
        <f t="shared" si="0"/>
        <v>1</v>
      </c>
      <c r="G62" s="818">
        <f>P42</f>
        <v>0.41428571428571431</v>
      </c>
      <c r="H62" s="811">
        <f>Z42</f>
        <v>0</v>
      </c>
      <c r="I62" s="815">
        <f t="shared" si="2"/>
        <v>-0.58571428571428563</v>
      </c>
      <c r="J62" s="817"/>
      <c r="K62" s="814"/>
      <c r="M62" s="147" t="s">
        <v>600</v>
      </c>
      <c r="N62" s="148">
        <f>SUM('LAP. PENJUALAN REGULER'!N68)</f>
        <v>0</v>
      </c>
      <c r="O62" s="148">
        <f>N62*3</f>
        <v>0</v>
      </c>
      <c r="P62" s="148">
        <f>N62</f>
        <v>0</v>
      </c>
      <c r="Q62" s="148">
        <f>SUM('LAP. PENJUALAN GRABFOOD'!N68,'LAP. PENJUALAN GOFOOD'!N68,'LAP. PENJUALAN SHOPEFOOD'!N68)</f>
        <v>0</v>
      </c>
      <c r="R62" s="148">
        <f>Q62*3</f>
        <v>0</v>
      </c>
      <c r="S62" s="149">
        <f>Q62</f>
        <v>0</v>
      </c>
    </row>
    <row r="63" spans="1:28" ht="18.75" customHeight="1" thickBot="1" x14ac:dyDescent="0.3">
      <c r="A63" s="812">
        <v>54</v>
      </c>
      <c r="B63" s="810" t="str">
        <f>VENDOR!D139</f>
        <v>PREMIK NASGOR</v>
      </c>
      <c r="C63" s="1073">
        <f>VENDOR!H139</f>
        <v>2</v>
      </c>
      <c r="D63" s="1073">
        <f>VENDOR!AJ139</f>
        <v>2</v>
      </c>
      <c r="E63" s="1073">
        <f>VENDOR!AL139</f>
        <v>2</v>
      </c>
      <c r="F63" s="1077">
        <f t="shared" si="0"/>
        <v>2</v>
      </c>
      <c r="G63" s="818">
        <f>S12/25</f>
        <v>0.88</v>
      </c>
      <c r="H63" s="811">
        <f>AC12/25</f>
        <v>0</v>
      </c>
      <c r="I63" s="815">
        <f t="shared" si="2"/>
        <v>-1.1200000000000001</v>
      </c>
      <c r="J63" s="817"/>
      <c r="K63" s="814"/>
      <c r="M63" s="155" t="s">
        <v>10</v>
      </c>
      <c r="N63" s="1166">
        <f>SUM(N59:N62)</f>
        <v>4</v>
      </c>
      <c r="O63" s="1166">
        <f>SUM(O59:O62)</f>
        <v>0</v>
      </c>
      <c r="P63" s="1166">
        <f>SUM(P59:P62)</f>
        <v>0</v>
      </c>
      <c r="Q63" s="1166">
        <f>SUM(Q59:Q62)</f>
        <v>0</v>
      </c>
      <c r="R63" s="1166">
        <f t="shared" ref="R63:S63" si="4">SUM(R59:R62)</f>
        <v>0</v>
      </c>
      <c r="S63" s="1166">
        <f t="shared" si="4"/>
        <v>0</v>
      </c>
    </row>
    <row r="64" spans="1:28" ht="18.75" customHeight="1" x14ac:dyDescent="0.25">
      <c r="A64" s="812">
        <v>55</v>
      </c>
      <c r="B64" s="810"/>
      <c r="C64" s="1073"/>
      <c r="D64" s="1073"/>
      <c r="E64" s="1073"/>
      <c r="F64" s="1077"/>
      <c r="G64" s="818"/>
      <c r="H64" s="811"/>
      <c r="I64" s="815">
        <f t="shared" si="2"/>
        <v>0</v>
      </c>
      <c r="J64" s="817"/>
      <c r="K64" s="814"/>
      <c r="P64" s="398"/>
    </row>
    <row r="65" spans="1:23" ht="18.75" customHeight="1" x14ac:dyDescent="0.25">
      <c r="A65" s="812">
        <v>56</v>
      </c>
      <c r="B65" s="810" t="str">
        <f>VENDOR!D141</f>
        <v>MIE GORENG CAP 3</v>
      </c>
      <c r="C65" s="1073">
        <f>VENDOR!H141</f>
        <v>0</v>
      </c>
      <c r="D65" s="1073">
        <f>VENDOR!AJ141</f>
        <v>8</v>
      </c>
      <c r="E65" s="1073">
        <f>VENDOR!AL141</f>
        <v>4</v>
      </c>
      <c r="F65" s="1077">
        <f t="shared" si="0"/>
        <v>4</v>
      </c>
      <c r="G65" s="818">
        <f>N15/3</f>
        <v>4</v>
      </c>
      <c r="H65" s="811">
        <f>X15/3</f>
        <v>0</v>
      </c>
      <c r="I65" s="815">
        <f t="shared" si="2"/>
        <v>0</v>
      </c>
      <c r="J65" s="817"/>
      <c r="K65" s="814"/>
      <c r="P65" s="398"/>
    </row>
    <row r="66" spans="1:23" ht="18.75" customHeight="1" x14ac:dyDescent="0.25">
      <c r="A66" s="812">
        <v>57</v>
      </c>
      <c r="B66" s="810" t="str">
        <f>VENDOR!D142</f>
        <v>PREMIX BUMBU INTI</v>
      </c>
      <c r="C66" s="1073">
        <f>VENDOR!H142</f>
        <v>8.5</v>
      </c>
      <c r="D66" s="1073">
        <f>VENDOR!AJ142</f>
        <v>30</v>
      </c>
      <c r="E66" s="1073">
        <f>VENDOR!AL142</f>
        <v>31</v>
      </c>
      <c r="F66" s="1077">
        <f t="shared" si="0"/>
        <v>7.5</v>
      </c>
      <c r="G66" s="818">
        <f>P32</f>
        <v>14.609523809523809</v>
      </c>
      <c r="H66" s="811">
        <f>Z32</f>
        <v>0</v>
      </c>
      <c r="I66" s="815">
        <f t="shared" si="2"/>
        <v>7.1095238095238091</v>
      </c>
      <c r="J66" s="817"/>
      <c r="K66" s="814"/>
    </row>
    <row r="67" spans="1:23" ht="18.75" customHeight="1" x14ac:dyDescent="0.25">
      <c r="A67" s="812">
        <v>58</v>
      </c>
      <c r="B67" s="810" t="str">
        <f>VENDOR!D143</f>
        <v>SAMBAL POUCH ( 1KG )</v>
      </c>
      <c r="C67" s="1073">
        <f>VENDOR!H143</f>
        <v>3</v>
      </c>
      <c r="D67" s="1073">
        <f>VENDOR!AJ143</f>
        <v>5</v>
      </c>
      <c r="E67" s="1073">
        <f>VENDOR!AL143</f>
        <v>5</v>
      </c>
      <c r="F67" s="1077">
        <f t="shared" si="0"/>
        <v>3</v>
      </c>
      <c r="G67" s="818"/>
      <c r="H67" s="811"/>
      <c r="I67" s="815">
        <f t="shared" si="2"/>
        <v>-3</v>
      </c>
      <c r="J67" s="817"/>
      <c r="K67" s="814"/>
      <c r="N67" s="398"/>
      <c r="S67" s="398"/>
    </row>
    <row r="68" spans="1:23" ht="18.75" customHeight="1" x14ac:dyDescent="0.25">
      <c r="A68" s="812">
        <v>59</v>
      </c>
      <c r="B68" s="810" t="str">
        <f>VENDOR!D144</f>
        <v>TOMAT POUCH ( 1 KG )</v>
      </c>
      <c r="C68" s="1073">
        <f>VENDOR!H144</f>
        <v>3</v>
      </c>
      <c r="D68" s="1073">
        <f>VENDOR!AJ144</f>
        <v>5</v>
      </c>
      <c r="E68" s="1073">
        <f>VENDOR!AL144</f>
        <v>5</v>
      </c>
      <c r="F68" s="1077">
        <f t="shared" si="0"/>
        <v>3</v>
      </c>
      <c r="G68" s="818"/>
      <c r="H68" s="811"/>
      <c r="I68" s="815">
        <f t="shared" si="2"/>
        <v>-3</v>
      </c>
      <c r="J68" s="817"/>
      <c r="K68" s="814"/>
    </row>
    <row r="69" spans="1:23" ht="18.75" customHeight="1" x14ac:dyDescent="0.25">
      <c r="A69" s="812">
        <v>60</v>
      </c>
      <c r="B69" s="810" t="str">
        <f>VENDOR!D145</f>
        <v>SAMBAL GEPREK</v>
      </c>
      <c r="C69" s="1073">
        <f>VENDOR!H145</f>
        <v>0.5</v>
      </c>
      <c r="D69" s="1073">
        <f>VENDOR!AJ145</f>
        <v>0</v>
      </c>
      <c r="E69" s="1073">
        <f>VENDOR!AL145</f>
        <v>0.3</v>
      </c>
      <c r="F69" s="1077">
        <f t="shared" si="0"/>
        <v>0.2</v>
      </c>
      <c r="G69" s="818"/>
      <c r="H69" s="811"/>
      <c r="I69" s="811">
        <f>G69+H69-(F69-J69)</f>
        <v>-0.2</v>
      </c>
      <c r="J69" s="817"/>
      <c r="K69" s="814"/>
    </row>
    <row r="70" spans="1:23" ht="18.75" customHeight="1" x14ac:dyDescent="0.25">
      <c r="A70" s="812">
        <v>61</v>
      </c>
      <c r="B70" s="810" t="str">
        <f>VENDOR!D146</f>
        <v>SAUS STEAK</v>
      </c>
      <c r="C70" s="1073">
        <f>VENDOR!H146</f>
        <v>0.6</v>
      </c>
      <c r="D70" s="1073">
        <f>VENDOR!AJ146</f>
        <v>0</v>
      </c>
      <c r="E70" s="1073">
        <f>VENDOR!AL146</f>
        <v>1</v>
      </c>
      <c r="F70" s="1077">
        <f t="shared" si="0"/>
        <v>-0.4</v>
      </c>
      <c r="G70" s="818"/>
      <c r="H70" s="811"/>
      <c r="I70" s="811">
        <f>G70+H70-(F70-J70)</f>
        <v>0.4</v>
      </c>
      <c r="J70" s="817"/>
      <c r="K70" s="814"/>
    </row>
    <row r="71" spans="1:23" ht="18.75" customHeight="1" x14ac:dyDescent="0.25">
      <c r="A71" s="812">
        <v>62</v>
      </c>
      <c r="B71" s="810">
        <f>VENDOR!D147</f>
        <v>0</v>
      </c>
      <c r="C71" s="1073"/>
      <c r="D71" s="1073">
        <f>VENDOR!AJ147</f>
        <v>0</v>
      </c>
      <c r="E71" s="1073">
        <f>VENDOR!AL147</f>
        <v>0</v>
      </c>
      <c r="F71" s="1077">
        <f t="shared" si="0"/>
        <v>0</v>
      </c>
      <c r="G71" s="818"/>
      <c r="H71" s="811"/>
      <c r="I71" s="811">
        <f t="shared" ref="I71:I74" si="5">G71-(F71-J71)</f>
        <v>0</v>
      </c>
      <c r="J71" s="817"/>
      <c r="K71" s="814"/>
    </row>
    <row r="72" spans="1:23" ht="18.75" customHeight="1" x14ac:dyDescent="0.25">
      <c r="A72" s="812">
        <v>63</v>
      </c>
      <c r="B72" s="810">
        <f>VENDOR!D148</f>
        <v>0</v>
      </c>
      <c r="C72" s="1073">
        <f>VENDOR!H148</f>
        <v>0</v>
      </c>
      <c r="D72" s="1073">
        <f>VENDOR!AJ148</f>
        <v>0</v>
      </c>
      <c r="E72" s="1073">
        <f>VENDOR!AL148</f>
        <v>0</v>
      </c>
      <c r="F72" s="1077">
        <f t="shared" si="0"/>
        <v>0</v>
      </c>
      <c r="G72" s="818"/>
      <c r="H72" s="811"/>
      <c r="I72" s="811">
        <f t="shared" si="5"/>
        <v>0</v>
      </c>
      <c r="J72" s="817"/>
      <c r="K72" s="814"/>
    </row>
    <row r="73" spans="1:23" ht="18.75" customHeight="1" x14ac:dyDescent="0.25">
      <c r="A73" s="812">
        <v>64</v>
      </c>
      <c r="B73" s="810">
        <f>VENDOR!D149</f>
        <v>0</v>
      </c>
      <c r="C73" s="1073">
        <f>VENDOR!H149</f>
        <v>0</v>
      </c>
      <c r="D73" s="1073">
        <f>VENDOR!AJ149</f>
        <v>0</v>
      </c>
      <c r="E73" s="1073">
        <f>VENDOR!AL149</f>
        <v>0</v>
      </c>
      <c r="F73" s="1077">
        <f t="shared" si="0"/>
        <v>0</v>
      </c>
      <c r="G73" s="827"/>
      <c r="H73" s="818"/>
      <c r="I73" s="811">
        <f t="shared" si="5"/>
        <v>0</v>
      </c>
      <c r="J73" s="828"/>
      <c r="K73" s="829"/>
    </row>
    <row r="74" spans="1:23" ht="18.75" customHeight="1" x14ac:dyDescent="0.25">
      <c r="A74" s="812">
        <v>65</v>
      </c>
      <c r="B74" s="810">
        <f>VENDOR!D150</f>
        <v>0</v>
      </c>
      <c r="C74" s="1073">
        <f>VENDOR!H150</f>
        <v>0</v>
      </c>
      <c r="D74" s="1073">
        <f>VENDOR!AJ150</f>
        <v>0</v>
      </c>
      <c r="E74" s="1073">
        <f>VENDOR!AL150</f>
        <v>0</v>
      </c>
      <c r="F74" s="1077">
        <f t="shared" si="0"/>
        <v>0</v>
      </c>
      <c r="G74" s="827"/>
      <c r="H74" s="818"/>
      <c r="I74" s="811">
        <f t="shared" si="5"/>
        <v>0</v>
      </c>
      <c r="J74" s="828"/>
      <c r="K74" s="829"/>
      <c r="N74" s="398"/>
      <c r="P74" s="398"/>
    </row>
    <row r="75" spans="1:23" ht="18.75" customHeight="1" x14ac:dyDescent="0.25">
      <c r="A75" s="812">
        <v>66</v>
      </c>
      <c r="B75" s="810"/>
      <c r="C75" s="1072"/>
      <c r="D75" s="1072"/>
      <c r="E75" s="1072"/>
      <c r="F75" s="1077"/>
      <c r="G75" s="827"/>
      <c r="H75" s="818"/>
      <c r="I75" s="811"/>
      <c r="J75" s="828"/>
      <c r="K75" s="829"/>
      <c r="N75" s="398"/>
      <c r="P75" s="398"/>
    </row>
    <row r="76" spans="1:23" ht="18.75" customHeight="1" x14ac:dyDescent="0.25">
      <c r="A76" s="812">
        <v>67</v>
      </c>
      <c r="B76" s="810"/>
      <c r="C76" s="1078"/>
      <c r="D76" s="1078"/>
      <c r="E76" s="1078"/>
      <c r="F76" s="1077"/>
      <c r="G76" s="827"/>
      <c r="H76" s="818"/>
      <c r="I76" s="811"/>
      <c r="J76" s="828"/>
      <c r="K76" s="829"/>
      <c r="N76" s="398"/>
      <c r="P76" s="398"/>
      <c r="W76" s="398"/>
    </row>
    <row r="77" spans="1:23" ht="18.75" customHeight="1" x14ac:dyDescent="0.25">
      <c r="A77" s="812">
        <v>68</v>
      </c>
      <c r="B77" s="823"/>
      <c r="C77" s="1078"/>
      <c r="D77" s="1078"/>
      <c r="E77" s="1078"/>
      <c r="F77" s="1077"/>
      <c r="G77" s="827"/>
      <c r="H77" s="818"/>
      <c r="I77" s="811"/>
      <c r="J77" s="828"/>
      <c r="K77" s="829"/>
      <c r="P77" s="398"/>
      <c r="W77" s="398"/>
    </row>
    <row r="78" spans="1:23" ht="18.75" customHeight="1" x14ac:dyDescent="0.25">
      <c r="A78" s="812">
        <v>69</v>
      </c>
      <c r="B78" s="823"/>
      <c r="C78" s="1078"/>
      <c r="D78" s="1078"/>
      <c r="E78" s="1078"/>
      <c r="F78" s="1077"/>
      <c r="G78" s="827"/>
      <c r="H78" s="818"/>
      <c r="I78" s="811"/>
      <c r="J78" s="828"/>
      <c r="K78" s="829"/>
      <c r="N78" s="398"/>
      <c r="P78" s="398"/>
      <c r="W78" s="398"/>
    </row>
    <row r="79" spans="1:23" ht="18.75" customHeight="1" x14ac:dyDescent="0.25">
      <c r="A79" s="812">
        <v>70</v>
      </c>
      <c r="B79" s="823"/>
      <c r="C79" s="1078"/>
      <c r="D79" s="1078"/>
      <c r="E79" s="1078"/>
      <c r="F79" s="1077"/>
      <c r="G79" s="827"/>
      <c r="H79" s="818"/>
      <c r="I79" s="811"/>
      <c r="J79" s="828"/>
      <c r="K79" s="829"/>
      <c r="N79" s="879"/>
      <c r="P79" s="398"/>
    </row>
    <row r="80" spans="1:23" ht="18.75" customHeight="1" thickBot="1" x14ac:dyDescent="0.3">
      <c r="A80" s="812">
        <v>71</v>
      </c>
      <c r="B80" s="830"/>
      <c r="C80" s="1079"/>
      <c r="D80" s="1079"/>
      <c r="E80" s="1079"/>
      <c r="F80" s="1080"/>
      <c r="G80" s="831"/>
      <c r="H80" s="831"/>
      <c r="I80" s="832"/>
      <c r="J80" s="833"/>
      <c r="K80" s="834"/>
      <c r="N80" s="879"/>
      <c r="P80" s="398"/>
      <c r="R80" s="398"/>
      <c r="S80" s="398"/>
    </row>
    <row r="81" spans="2:14" x14ac:dyDescent="0.2">
      <c r="B81" s="835"/>
      <c r="F81" s="836"/>
      <c r="N81" s="879"/>
    </row>
    <row r="82" spans="2:14" x14ac:dyDescent="0.25">
      <c r="I82" s="1486"/>
      <c r="J82" s="1486"/>
      <c r="K82" s="1486"/>
    </row>
    <row r="83" spans="2:14" x14ac:dyDescent="0.25">
      <c r="B83" s="837" t="s">
        <v>577</v>
      </c>
      <c r="C83" s="838"/>
      <c r="D83" s="838"/>
      <c r="E83" s="838"/>
      <c r="F83" s="838"/>
      <c r="I83" s="1487" t="s">
        <v>20</v>
      </c>
      <c r="J83" s="1487"/>
    </row>
    <row r="84" spans="2:14" x14ac:dyDescent="0.2">
      <c r="B84" s="837" t="s">
        <v>578</v>
      </c>
      <c r="C84" s="838"/>
      <c r="D84" s="838"/>
      <c r="E84" s="838"/>
      <c r="F84" s="838"/>
      <c r="I84" s="839"/>
    </row>
    <row r="85" spans="2:14" x14ac:dyDescent="0.2">
      <c r="I85" s="839"/>
    </row>
    <row r="86" spans="2:14" x14ac:dyDescent="0.2">
      <c r="I86" s="839"/>
    </row>
    <row r="87" spans="2:14" x14ac:dyDescent="0.2">
      <c r="I87" s="839"/>
    </row>
  </sheetData>
  <mergeCells count="26">
    <mergeCell ref="M8:U9"/>
    <mergeCell ref="W8:AE9"/>
    <mergeCell ref="I82:K82"/>
    <mergeCell ref="I83:J83"/>
    <mergeCell ref="F8:F9"/>
    <mergeCell ref="G8:G9"/>
    <mergeCell ref="I8:I9"/>
    <mergeCell ref="J8:J9"/>
    <mergeCell ref="K8:K9"/>
    <mergeCell ref="I11:I12"/>
    <mergeCell ref="J11:J12"/>
    <mergeCell ref="K13:K14"/>
    <mergeCell ref="H8:H9"/>
    <mergeCell ref="G47:H47"/>
    <mergeCell ref="G48:H48"/>
    <mergeCell ref="I47:I48"/>
    <mergeCell ref="B2:K2"/>
    <mergeCell ref="J5:K5"/>
    <mergeCell ref="A6:B6"/>
    <mergeCell ref="J6:K6"/>
    <mergeCell ref="A7:B7"/>
    <mergeCell ref="A8:A9"/>
    <mergeCell ref="B8:B9"/>
    <mergeCell ref="C8:C9"/>
    <mergeCell ref="D8:D9"/>
    <mergeCell ref="E8:E9"/>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9F566-70A7-4ACB-805C-7376CE7CE382}">
  <sheetPr>
    <tabColor rgb="FFFFFF00"/>
  </sheetPr>
  <dimension ref="A2:G108"/>
  <sheetViews>
    <sheetView workbookViewId="0">
      <selection activeCell="F8" sqref="F8"/>
    </sheetView>
  </sheetViews>
  <sheetFormatPr defaultRowHeight="15" x14ac:dyDescent="0.25"/>
  <cols>
    <col min="1" max="1" width="9.140625" style="570"/>
    <col min="2" max="2" width="31.5703125" style="570" hidden="1" customWidth="1"/>
    <col min="3" max="3" width="31.5703125" style="570" customWidth="1"/>
    <col min="4" max="4" width="45.28515625" style="570" bestFit="1" customWidth="1"/>
    <col min="5" max="5" width="10" style="570" customWidth="1"/>
    <col min="6" max="257" width="9.140625" style="570"/>
    <col min="258" max="258" width="0" style="570" hidden="1" customWidth="1"/>
    <col min="259" max="259" width="31.5703125" style="570" customWidth="1"/>
    <col min="260" max="260" width="45.28515625" style="570" bestFit="1" customWidth="1"/>
    <col min="261" max="513" width="9.140625" style="570"/>
    <col min="514" max="514" width="0" style="570" hidden="1" customWidth="1"/>
    <col min="515" max="515" width="31.5703125" style="570" customWidth="1"/>
    <col min="516" max="516" width="45.28515625" style="570" bestFit="1" customWidth="1"/>
    <col min="517" max="769" width="9.140625" style="570"/>
    <col min="770" max="770" width="0" style="570" hidden="1" customWidth="1"/>
    <col min="771" max="771" width="31.5703125" style="570" customWidth="1"/>
    <col min="772" max="772" width="45.28515625" style="570" bestFit="1" customWidth="1"/>
    <col min="773" max="1025" width="9.140625" style="570"/>
    <col min="1026" max="1026" width="0" style="570" hidden="1" customWidth="1"/>
    <col min="1027" max="1027" width="31.5703125" style="570" customWidth="1"/>
    <col min="1028" max="1028" width="45.28515625" style="570" bestFit="1" customWidth="1"/>
    <col min="1029" max="1281" width="9.140625" style="570"/>
    <col min="1282" max="1282" width="0" style="570" hidden="1" customWidth="1"/>
    <col min="1283" max="1283" width="31.5703125" style="570" customWidth="1"/>
    <col min="1284" max="1284" width="45.28515625" style="570" bestFit="1" customWidth="1"/>
    <col min="1285" max="1537" width="9.140625" style="570"/>
    <col min="1538" max="1538" width="0" style="570" hidden="1" customWidth="1"/>
    <col min="1539" max="1539" width="31.5703125" style="570" customWidth="1"/>
    <col min="1540" max="1540" width="45.28515625" style="570" bestFit="1" customWidth="1"/>
    <col min="1541" max="1793" width="9.140625" style="570"/>
    <col min="1794" max="1794" width="0" style="570" hidden="1" customWidth="1"/>
    <col min="1795" max="1795" width="31.5703125" style="570" customWidth="1"/>
    <col min="1796" max="1796" width="45.28515625" style="570" bestFit="1" customWidth="1"/>
    <col min="1797" max="2049" width="9.140625" style="570"/>
    <col min="2050" max="2050" width="0" style="570" hidden="1" customWidth="1"/>
    <col min="2051" max="2051" width="31.5703125" style="570" customWidth="1"/>
    <col min="2052" max="2052" width="45.28515625" style="570" bestFit="1" customWidth="1"/>
    <col min="2053" max="2305" width="9.140625" style="570"/>
    <col min="2306" max="2306" width="0" style="570" hidden="1" customWidth="1"/>
    <col min="2307" max="2307" width="31.5703125" style="570" customWidth="1"/>
    <col min="2308" max="2308" width="45.28515625" style="570" bestFit="1" customWidth="1"/>
    <col min="2309" max="2561" width="9.140625" style="570"/>
    <col min="2562" max="2562" width="0" style="570" hidden="1" customWidth="1"/>
    <col min="2563" max="2563" width="31.5703125" style="570" customWidth="1"/>
    <col min="2564" max="2564" width="45.28515625" style="570" bestFit="1" customWidth="1"/>
    <col min="2565" max="2817" width="9.140625" style="570"/>
    <col min="2818" max="2818" width="0" style="570" hidden="1" customWidth="1"/>
    <col min="2819" max="2819" width="31.5703125" style="570" customWidth="1"/>
    <col min="2820" max="2820" width="45.28515625" style="570" bestFit="1" customWidth="1"/>
    <col min="2821" max="3073" width="9.140625" style="570"/>
    <col min="3074" max="3074" width="0" style="570" hidden="1" customWidth="1"/>
    <col min="3075" max="3075" width="31.5703125" style="570" customWidth="1"/>
    <col min="3076" max="3076" width="45.28515625" style="570" bestFit="1" customWidth="1"/>
    <col min="3077" max="3329" width="9.140625" style="570"/>
    <col min="3330" max="3330" width="0" style="570" hidden="1" customWidth="1"/>
    <col min="3331" max="3331" width="31.5703125" style="570" customWidth="1"/>
    <col min="3332" max="3332" width="45.28515625" style="570" bestFit="1" customWidth="1"/>
    <col min="3333" max="3585" width="9.140625" style="570"/>
    <col min="3586" max="3586" width="0" style="570" hidden="1" customWidth="1"/>
    <col min="3587" max="3587" width="31.5703125" style="570" customWidth="1"/>
    <col min="3588" max="3588" width="45.28515625" style="570" bestFit="1" customWidth="1"/>
    <col min="3589" max="3841" width="9.140625" style="570"/>
    <col min="3842" max="3842" width="0" style="570" hidden="1" customWidth="1"/>
    <col min="3843" max="3843" width="31.5703125" style="570" customWidth="1"/>
    <col min="3844" max="3844" width="45.28515625" style="570" bestFit="1" customWidth="1"/>
    <col min="3845" max="4097" width="9.140625" style="570"/>
    <col min="4098" max="4098" width="0" style="570" hidden="1" customWidth="1"/>
    <col min="4099" max="4099" width="31.5703125" style="570" customWidth="1"/>
    <col min="4100" max="4100" width="45.28515625" style="570" bestFit="1" customWidth="1"/>
    <col min="4101" max="4353" width="9.140625" style="570"/>
    <col min="4354" max="4354" width="0" style="570" hidden="1" customWidth="1"/>
    <col min="4355" max="4355" width="31.5703125" style="570" customWidth="1"/>
    <col min="4356" max="4356" width="45.28515625" style="570" bestFit="1" customWidth="1"/>
    <col min="4357" max="4609" width="9.140625" style="570"/>
    <col min="4610" max="4610" width="0" style="570" hidden="1" customWidth="1"/>
    <col min="4611" max="4611" width="31.5703125" style="570" customWidth="1"/>
    <col min="4612" max="4612" width="45.28515625" style="570" bestFit="1" customWidth="1"/>
    <col min="4613" max="4865" width="9.140625" style="570"/>
    <col min="4866" max="4866" width="0" style="570" hidden="1" customWidth="1"/>
    <col min="4867" max="4867" width="31.5703125" style="570" customWidth="1"/>
    <col min="4868" max="4868" width="45.28515625" style="570" bestFit="1" customWidth="1"/>
    <col min="4869" max="5121" width="9.140625" style="570"/>
    <col min="5122" max="5122" width="0" style="570" hidden="1" customWidth="1"/>
    <col min="5123" max="5123" width="31.5703125" style="570" customWidth="1"/>
    <col min="5124" max="5124" width="45.28515625" style="570" bestFit="1" customWidth="1"/>
    <col min="5125" max="5377" width="9.140625" style="570"/>
    <col min="5378" max="5378" width="0" style="570" hidden="1" customWidth="1"/>
    <col min="5379" max="5379" width="31.5703125" style="570" customWidth="1"/>
    <col min="5380" max="5380" width="45.28515625" style="570" bestFit="1" customWidth="1"/>
    <col min="5381" max="5633" width="9.140625" style="570"/>
    <col min="5634" max="5634" width="0" style="570" hidden="1" customWidth="1"/>
    <col min="5635" max="5635" width="31.5703125" style="570" customWidth="1"/>
    <col min="5636" max="5636" width="45.28515625" style="570" bestFit="1" customWidth="1"/>
    <col min="5637" max="5889" width="9.140625" style="570"/>
    <col min="5890" max="5890" width="0" style="570" hidden="1" customWidth="1"/>
    <col min="5891" max="5891" width="31.5703125" style="570" customWidth="1"/>
    <col min="5892" max="5892" width="45.28515625" style="570" bestFit="1" customWidth="1"/>
    <col min="5893" max="6145" width="9.140625" style="570"/>
    <col min="6146" max="6146" width="0" style="570" hidden="1" customWidth="1"/>
    <col min="6147" max="6147" width="31.5703125" style="570" customWidth="1"/>
    <col min="6148" max="6148" width="45.28515625" style="570" bestFit="1" customWidth="1"/>
    <col min="6149" max="6401" width="9.140625" style="570"/>
    <col min="6402" max="6402" width="0" style="570" hidden="1" customWidth="1"/>
    <col min="6403" max="6403" width="31.5703125" style="570" customWidth="1"/>
    <col min="6404" max="6404" width="45.28515625" style="570" bestFit="1" customWidth="1"/>
    <col min="6405" max="6657" width="9.140625" style="570"/>
    <col min="6658" max="6658" width="0" style="570" hidden="1" customWidth="1"/>
    <col min="6659" max="6659" width="31.5703125" style="570" customWidth="1"/>
    <col min="6660" max="6660" width="45.28515625" style="570" bestFit="1" customWidth="1"/>
    <col min="6661" max="6913" width="9.140625" style="570"/>
    <col min="6914" max="6914" width="0" style="570" hidden="1" customWidth="1"/>
    <col min="6915" max="6915" width="31.5703125" style="570" customWidth="1"/>
    <col min="6916" max="6916" width="45.28515625" style="570" bestFit="1" customWidth="1"/>
    <col min="6917" max="7169" width="9.140625" style="570"/>
    <col min="7170" max="7170" width="0" style="570" hidden="1" customWidth="1"/>
    <col min="7171" max="7171" width="31.5703125" style="570" customWidth="1"/>
    <col min="7172" max="7172" width="45.28515625" style="570" bestFit="1" customWidth="1"/>
    <col min="7173" max="7425" width="9.140625" style="570"/>
    <col min="7426" max="7426" width="0" style="570" hidden="1" customWidth="1"/>
    <col min="7427" max="7427" width="31.5703125" style="570" customWidth="1"/>
    <col min="7428" max="7428" width="45.28515625" style="570" bestFit="1" customWidth="1"/>
    <col min="7429" max="7681" width="9.140625" style="570"/>
    <col min="7682" max="7682" width="0" style="570" hidden="1" customWidth="1"/>
    <col min="7683" max="7683" width="31.5703125" style="570" customWidth="1"/>
    <col min="7684" max="7684" width="45.28515625" style="570" bestFit="1" customWidth="1"/>
    <col min="7685" max="7937" width="9.140625" style="570"/>
    <col min="7938" max="7938" width="0" style="570" hidden="1" customWidth="1"/>
    <col min="7939" max="7939" width="31.5703125" style="570" customWidth="1"/>
    <col min="7940" max="7940" width="45.28515625" style="570" bestFit="1" customWidth="1"/>
    <col min="7941" max="8193" width="9.140625" style="570"/>
    <col min="8194" max="8194" width="0" style="570" hidden="1" customWidth="1"/>
    <col min="8195" max="8195" width="31.5703125" style="570" customWidth="1"/>
    <col min="8196" max="8196" width="45.28515625" style="570" bestFit="1" customWidth="1"/>
    <col min="8197" max="8449" width="9.140625" style="570"/>
    <col min="8450" max="8450" width="0" style="570" hidden="1" customWidth="1"/>
    <col min="8451" max="8451" width="31.5703125" style="570" customWidth="1"/>
    <col min="8452" max="8452" width="45.28515625" style="570" bestFit="1" customWidth="1"/>
    <col min="8453" max="8705" width="9.140625" style="570"/>
    <col min="8706" max="8706" width="0" style="570" hidden="1" customWidth="1"/>
    <col min="8707" max="8707" width="31.5703125" style="570" customWidth="1"/>
    <col min="8708" max="8708" width="45.28515625" style="570" bestFit="1" customWidth="1"/>
    <col min="8709" max="8961" width="9.140625" style="570"/>
    <col min="8962" max="8962" width="0" style="570" hidden="1" customWidth="1"/>
    <col min="8963" max="8963" width="31.5703125" style="570" customWidth="1"/>
    <col min="8964" max="8964" width="45.28515625" style="570" bestFit="1" customWidth="1"/>
    <col min="8965" max="9217" width="9.140625" style="570"/>
    <col min="9218" max="9218" width="0" style="570" hidden="1" customWidth="1"/>
    <col min="9219" max="9219" width="31.5703125" style="570" customWidth="1"/>
    <col min="9220" max="9220" width="45.28515625" style="570" bestFit="1" customWidth="1"/>
    <col min="9221" max="9473" width="9.140625" style="570"/>
    <col min="9474" max="9474" width="0" style="570" hidden="1" customWidth="1"/>
    <col min="9475" max="9475" width="31.5703125" style="570" customWidth="1"/>
    <col min="9476" max="9476" width="45.28515625" style="570" bestFit="1" customWidth="1"/>
    <col min="9477" max="9729" width="9.140625" style="570"/>
    <col min="9730" max="9730" width="0" style="570" hidden="1" customWidth="1"/>
    <col min="9731" max="9731" width="31.5703125" style="570" customWidth="1"/>
    <col min="9732" max="9732" width="45.28515625" style="570" bestFit="1" customWidth="1"/>
    <col min="9733" max="9985" width="9.140625" style="570"/>
    <col min="9986" max="9986" width="0" style="570" hidden="1" customWidth="1"/>
    <col min="9987" max="9987" width="31.5703125" style="570" customWidth="1"/>
    <col min="9988" max="9988" width="45.28515625" style="570" bestFit="1" customWidth="1"/>
    <col min="9989" max="10241" width="9.140625" style="570"/>
    <col min="10242" max="10242" width="0" style="570" hidden="1" customWidth="1"/>
    <col min="10243" max="10243" width="31.5703125" style="570" customWidth="1"/>
    <col min="10244" max="10244" width="45.28515625" style="570" bestFit="1" customWidth="1"/>
    <col min="10245" max="10497" width="9.140625" style="570"/>
    <col min="10498" max="10498" width="0" style="570" hidden="1" customWidth="1"/>
    <col min="10499" max="10499" width="31.5703125" style="570" customWidth="1"/>
    <col min="10500" max="10500" width="45.28515625" style="570" bestFit="1" customWidth="1"/>
    <col min="10501" max="10753" width="9.140625" style="570"/>
    <col min="10754" max="10754" width="0" style="570" hidden="1" customWidth="1"/>
    <col min="10755" max="10755" width="31.5703125" style="570" customWidth="1"/>
    <col min="10756" max="10756" width="45.28515625" style="570" bestFit="1" customWidth="1"/>
    <col min="10757" max="11009" width="9.140625" style="570"/>
    <col min="11010" max="11010" width="0" style="570" hidden="1" customWidth="1"/>
    <col min="11011" max="11011" width="31.5703125" style="570" customWidth="1"/>
    <col min="11012" max="11012" width="45.28515625" style="570" bestFit="1" customWidth="1"/>
    <col min="11013" max="11265" width="9.140625" style="570"/>
    <col min="11266" max="11266" width="0" style="570" hidden="1" customWidth="1"/>
    <col min="11267" max="11267" width="31.5703125" style="570" customWidth="1"/>
    <col min="11268" max="11268" width="45.28515625" style="570" bestFit="1" customWidth="1"/>
    <col min="11269" max="11521" width="9.140625" style="570"/>
    <col min="11522" max="11522" width="0" style="570" hidden="1" customWidth="1"/>
    <col min="11523" max="11523" width="31.5703125" style="570" customWidth="1"/>
    <col min="11524" max="11524" width="45.28515625" style="570" bestFit="1" customWidth="1"/>
    <col min="11525" max="11777" width="9.140625" style="570"/>
    <col min="11778" max="11778" width="0" style="570" hidden="1" customWidth="1"/>
    <col min="11779" max="11779" width="31.5703125" style="570" customWidth="1"/>
    <col min="11780" max="11780" width="45.28515625" style="570" bestFit="1" customWidth="1"/>
    <col min="11781" max="12033" width="9.140625" style="570"/>
    <col min="12034" max="12034" width="0" style="570" hidden="1" customWidth="1"/>
    <col min="12035" max="12035" width="31.5703125" style="570" customWidth="1"/>
    <col min="12036" max="12036" width="45.28515625" style="570" bestFit="1" customWidth="1"/>
    <col min="12037" max="12289" width="9.140625" style="570"/>
    <col min="12290" max="12290" width="0" style="570" hidden="1" customWidth="1"/>
    <col min="12291" max="12291" width="31.5703125" style="570" customWidth="1"/>
    <col min="12292" max="12292" width="45.28515625" style="570" bestFit="1" customWidth="1"/>
    <col min="12293" max="12545" width="9.140625" style="570"/>
    <col min="12546" max="12546" width="0" style="570" hidden="1" customWidth="1"/>
    <col min="12547" max="12547" width="31.5703125" style="570" customWidth="1"/>
    <col min="12548" max="12548" width="45.28515625" style="570" bestFit="1" customWidth="1"/>
    <col min="12549" max="12801" width="9.140625" style="570"/>
    <col min="12802" max="12802" width="0" style="570" hidden="1" customWidth="1"/>
    <col min="12803" max="12803" width="31.5703125" style="570" customWidth="1"/>
    <col min="12804" max="12804" width="45.28515625" style="570" bestFit="1" customWidth="1"/>
    <col min="12805" max="13057" width="9.140625" style="570"/>
    <col min="13058" max="13058" width="0" style="570" hidden="1" customWidth="1"/>
    <col min="13059" max="13059" width="31.5703125" style="570" customWidth="1"/>
    <col min="13060" max="13060" width="45.28515625" style="570" bestFit="1" customWidth="1"/>
    <col min="13061" max="13313" width="9.140625" style="570"/>
    <col min="13314" max="13314" width="0" style="570" hidden="1" customWidth="1"/>
    <col min="13315" max="13315" width="31.5703125" style="570" customWidth="1"/>
    <col min="13316" max="13316" width="45.28515625" style="570" bestFit="1" customWidth="1"/>
    <col min="13317" max="13569" width="9.140625" style="570"/>
    <col min="13570" max="13570" width="0" style="570" hidden="1" customWidth="1"/>
    <col min="13571" max="13571" width="31.5703125" style="570" customWidth="1"/>
    <col min="13572" max="13572" width="45.28515625" style="570" bestFit="1" customWidth="1"/>
    <col min="13573" max="13825" width="9.140625" style="570"/>
    <col min="13826" max="13826" width="0" style="570" hidden="1" customWidth="1"/>
    <col min="13827" max="13827" width="31.5703125" style="570" customWidth="1"/>
    <col min="13828" max="13828" width="45.28515625" style="570" bestFit="1" customWidth="1"/>
    <col min="13829" max="14081" width="9.140625" style="570"/>
    <col min="14082" max="14082" width="0" style="570" hidden="1" customWidth="1"/>
    <col min="14083" max="14083" width="31.5703125" style="570" customWidth="1"/>
    <col min="14084" max="14084" width="45.28515625" style="570" bestFit="1" customWidth="1"/>
    <col min="14085" max="14337" width="9.140625" style="570"/>
    <col min="14338" max="14338" width="0" style="570" hidden="1" customWidth="1"/>
    <col min="14339" max="14339" width="31.5703125" style="570" customWidth="1"/>
    <col min="14340" max="14340" width="45.28515625" style="570" bestFit="1" customWidth="1"/>
    <col min="14341" max="14593" width="9.140625" style="570"/>
    <col min="14594" max="14594" width="0" style="570" hidden="1" customWidth="1"/>
    <col min="14595" max="14595" width="31.5703125" style="570" customWidth="1"/>
    <col min="14596" max="14596" width="45.28515625" style="570" bestFit="1" customWidth="1"/>
    <col min="14597" max="14849" width="9.140625" style="570"/>
    <col min="14850" max="14850" width="0" style="570" hidden="1" customWidth="1"/>
    <col min="14851" max="14851" width="31.5703125" style="570" customWidth="1"/>
    <col min="14852" max="14852" width="45.28515625" style="570" bestFit="1" customWidth="1"/>
    <col min="14853" max="15105" width="9.140625" style="570"/>
    <col min="15106" max="15106" width="0" style="570" hidden="1" customWidth="1"/>
    <col min="15107" max="15107" width="31.5703125" style="570" customWidth="1"/>
    <col min="15108" max="15108" width="45.28515625" style="570" bestFit="1" customWidth="1"/>
    <col min="15109" max="15361" width="9.140625" style="570"/>
    <col min="15362" max="15362" width="0" style="570" hidden="1" customWidth="1"/>
    <col min="15363" max="15363" width="31.5703125" style="570" customWidth="1"/>
    <col min="15364" max="15364" width="45.28515625" style="570" bestFit="1" customWidth="1"/>
    <col min="15365" max="15617" width="9.140625" style="570"/>
    <col min="15618" max="15618" width="0" style="570" hidden="1" customWidth="1"/>
    <col min="15619" max="15619" width="31.5703125" style="570" customWidth="1"/>
    <col min="15620" max="15620" width="45.28515625" style="570" bestFit="1" customWidth="1"/>
    <col min="15621" max="15873" width="9.140625" style="570"/>
    <col min="15874" max="15874" width="0" style="570" hidden="1" customWidth="1"/>
    <col min="15875" max="15875" width="31.5703125" style="570" customWidth="1"/>
    <col min="15876" max="15876" width="45.28515625" style="570" bestFit="1" customWidth="1"/>
    <col min="15877" max="16129" width="9.140625" style="570"/>
    <col min="16130" max="16130" width="0" style="570" hidden="1" customWidth="1"/>
    <col min="16131" max="16131" width="31.5703125" style="570" customWidth="1"/>
    <col min="16132" max="16132" width="45.28515625" style="570" bestFit="1" customWidth="1"/>
    <col min="16133" max="16384" width="9.140625" style="570"/>
  </cols>
  <sheetData>
    <row r="2" spans="1:7" x14ac:dyDescent="0.25">
      <c r="D2" s="1505" t="s">
        <v>601</v>
      </c>
    </row>
    <row r="3" spans="1:7" x14ac:dyDescent="0.25">
      <c r="D3" s="1505"/>
    </row>
    <row r="6" spans="1:7" ht="19.5" thickBot="1" x14ac:dyDescent="0.3">
      <c r="A6" s="914"/>
      <c r="B6" s="915" t="s">
        <v>548</v>
      </c>
      <c r="C6" s="916" t="str">
        <f>B6</f>
        <v>ITEM</v>
      </c>
      <c r="D6" s="917" t="s">
        <v>602</v>
      </c>
      <c r="E6" s="918" t="s">
        <v>9</v>
      </c>
      <c r="F6" s="919" t="s">
        <v>603</v>
      </c>
      <c r="G6" s="915" t="s">
        <v>426</v>
      </c>
    </row>
    <row r="7" spans="1:7" ht="18.75" x14ac:dyDescent="0.25">
      <c r="A7" s="920">
        <v>1</v>
      </c>
      <c r="B7" s="924" t="s">
        <v>431</v>
      </c>
      <c r="C7" s="921" t="s">
        <v>431</v>
      </c>
      <c r="D7" s="1095"/>
      <c r="E7" s="922">
        <v>15000</v>
      </c>
      <c r="F7" s="923">
        <f>'HPP PRODUCT'!E17</f>
        <v>8138.2873678514461</v>
      </c>
      <c r="G7" s="896">
        <f>F7/E7</f>
        <v>0.54255249119009641</v>
      </c>
    </row>
    <row r="8" spans="1:7" ht="18.75" x14ac:dyDescent="0.25">
      <c r="A8" s="667">
        <v>2</v>
      </c>
      <c r="B8" s="925" t="s">
        <v>432</v>
      </c>
      <c r="C8" s="681" t="s">
        <v>432</v>
      </c>
      <c r="D8" s="1096"/>
      <c r="E8" s="880">
        <v>15000</v>
      </c>
      <c r="F8" s="881">
        <f>'HPP PRODUCT'!E30</f>
        <v>8339.8498678514461</v>
      </c>
      <c r="G8" s="898">
        <f>F8/E8</f>
        <v>0.5559899911900964</v>
      </c>
    </row>
    <row r="9" spans="1:7" ht="18.75" x14ac:dyDescent="0.25">
      <c r="A9" s="667">
        <v>3</v>
      </c>
      <c r="B9" s="925" t="s">
        <v>433</v>
      </c>
      <c r="C9" s="681" t="s">
        <v>433</v>
      </c>
      <c r="D9" s="1096"/>
      <c r="E9" s="880">
        <v>13500</v>
      </c>
      <c r="F9" s="882">
        <f>'HPP PRODUCT'!E43</f>
        <v>6525.7873678514461</v>
      </c>
      <c r="G9" s="898">
        <f t="shared" ref="G9:G74" si="0">F9/E9</f>
        <v>0.48339165687788488</v>
      </c>
    </row>
    <row r="10" spans="1:7" ht="18.75" x14ac:dyDescent="0.25">
      <c r="A10" s="667">
        <v>4</v>
      </c>
      <c r="B10" s="925" t="s">
        <v>434</v>
      </c>
      <c r="C10" s="681" t="s">
        <v>434</v>
      </c>
      <c r="D10" s="1096"/>
      <c r="E10" s="880">
        <v>12500</v>
      </c>
      <c r="F10" s="882">
        <f>'HPP PRODUCT'!E56</f>
        <v>6129.8682502043876</v>
      </c>
      <c r="G10" s="898">
        <f t="shared" si="0"/>
        <v>0.49038946001635103</v>
      </c>
    </row>
    <row r="11" spans="1:7" ht="18.75" x14ac:dyDescent="0.25">
      <c r="A11" s="667">
        <v>5</v>
      </c>
      <c r="B11" s="925" t="s">
        <v>435</v>
      </c>
      <c r="C11" s="681" t="s">
        <v>435</v>
      </c>
      <c r="D11" s="1096" t="s">
        <v>914</v>
      </c>
      <c r="E11" s="880">
        <v>13000</v>
      </c>
      <c r="F11" s="882">
        <f>'HPP PRODUCT'!E100</f>
        <v>5519.5088277511959</v>
      </c>
      <c r="G11" s="898">
        <f t="shared" si="0"/>
        <v>0.42457760213470735</v>
      </c>
    </row>
    <row r="12" spans="1:7" ht="18.75" x14ac:dyDescent="0.25">
      <c r="A12" s="667">
        <v>6</v>
      </c>
      <c r="B12" s="925" t="s">
        <v>436</v>
      </c>
      <c r="C12" s="681" t="s">
        <v>436</v>
      </c>
      <c r="D12" s="1096"/>
      <c r="E12" s="880">
        <v>14000</v>
      </c>
      <c r="F12" s="882">
        <f>'HPP PRODUCT'!E83</f>
        <v>31153.422565219869</v>
      </c>
      <c r="G12" s="898">
        <f t="shared" si="0"/>
        <v>2.2252444689442763</v>
      </c>
    </row>
    <row r="13" spans="1:7" ht="18.75" x14ac:dyDescent="0.25">
      <c r="A13" s="667">
        <v>7</v>
      </c>
      <c r="B13" s="925"/>
      <c r="C13" s="680" t="s">
        <v>437</v>
      </c>
      <c r="D13" s="1096"/>
      <c r="E13" s="883">
        <v>15000</v>
      </c>
      <c r="F13" s="884">
        <f>'HPP PRODUCT'!E17</f>
        <v>8138.2873678514461</v>
      </c>
      <c r="G13" s="898">
        <f t="shared" si="0"/>
        <v>0.54255249119009641</v>
      </c>
    </row>
    <row r="14" spans="1:7" ht="18.75" x14ac:dyDescent="0.25">
      <c r="A14" s="667">
        <v>8</v>
      </c>
      <c r="B14" s="925" t="s">
        <v>438</v>
      </c>
      <c r="C14" s="681" t="s">
        <v>438</v>
      </c>
      <c r="D14" s="1096"/>
      <c r="E14" s="885">
        <v>12000</v>
      </c>
      <c r="F14" s="882">
        <f>'HPP PRODUCT'!H70</f>
        <v>4409.7724242424238</v>
      </c>
      <c r="G14" s="898">
        <f t="shared" si="0"/>
        <v>0.36748103535353532</v>
      </c>
    </row>
    <row r="15" spans="1:7" ht="18.75" x14ac:dyDescent="0.25">
      <c r="A15" s="667">
        <v>9</v>
      </c>
      <c r="B15" s="925" t="s">
        <v>439</v>
      </c>
      <c r="C15" s="681" t="s">
        <v>439</v>
      </c>
      <c r="D15" s="1096"/>
      <c r="E15" s="885">
        <v>5000</v>
      </c>
      <c r="F15" s="882">
        <f>'HPP PRODUCT'!H61</f>
        <v>1477.7327935222672</v>
      </c>
      <c r="G15" s="898">
        <f t="shared" si="0"/>
        <v>0.29554655870445345</v>
      </c>
    </row>
    <row r="16" spans="1:7" ht="18.75" x14ac:dyDescent="0.25">
      <c r="A16" s="667">
        <v>10</v>
      </c>
      <c r="B16" s="925" t="s">
        <v>440</v>
      </c>
      <c r="C16" s="681" t="s">
        <v>440</v>
      </c>
      <c r="D16" s="1096"/>
      <c r="E16" s="885">
        <v>6000</v>
      </c>
      <c r="F16" s="882">
        <f>'HPP PRODUCT'!H71</f>
        <v>4508.0057575757573</v>
      </c>
      <c r="G16" s="898">
        <f t="shared" si="0"/>
        <v>0.75133429292929288</v>
      </c>
    </row>
    <row r="17" spans="1:7" ht="18.75" x14ac:dyDescent="0.25">
      <c r="A17" s="667">
        <v>11</v>
      </c>
      <c r="B17" s="925" t="s">
        <v>441</v>
      </c>
      <c r="C17" s="681" t="s">
        <v>441</v>
      </c>
      <c r="D17" s="1096"/>
      <c r="E17" s="885">
        <v>16000</v>
      </c>
      <c r="F17" s="882">
        <f>'HPP PRODUCT'!H136</f>
        <v>6991.9992099567098</v>
      </c>
      <c r="G17" s="898">
        <f t="shared" si="0"/>
        <v>0.43699995062229435</v>
      </c>
    </row>
    <row r="18" spans="1:7" ht="18.75" x14ac:dyDescent="0.25">
      <c r="A18" s="667">
        <v>12</v>
      </c>
      <c r="B18" s="925" t="s">
        <v>442</v>
      </c>
      <c r="C18" s="681" t="s">
        <v>442</v>
      </c>
      <c r="D18" s="1096" t="s">
        <v>913</v>
      </c>
      <c r="E18" s="885">
        <v>18000</v>
      </c>
      <c r="F18" s="882">
        <f>'HPP PRODUCT'!H152</f>
        <v>8157.9992099567098</v>
      </c>
      <c r="G18" s="898">
        <f t="shared" si="0"/>
        <v>0.45322217833092832</v>
      </c>
    </row>
    <row r="19" spans="1:7" ht="18.75" x14ac:dyDescent="0.25">
      <c r="A19" s="667">
        <v>13</v>
      </c>
      <c r="B19" s="925" t="s">
        <v>443</v>
      </c>
      <c r="C19" s="681" t="s">
        <v>443</v>
      </c>
      <c r="D19" s="1096"/>
      <c r="E19" s="883">
        <v>17000</v>
      </c>
      <c r="F19" s="884">
        <f>'HPP PRODUCT'!H97</f>
        <v>9926.6650650717711</v>
      </c>
      <c r="G19" s="898">
        <f t="shared" si="0"/>
        <v>0.58392147441598652</v>
      </c>
    </row>
    <row r="20" spans="1:7" ht="18.75" x14ac:dyDescent="0.25">
      <c r="A20" s="667">
        <v>14</v>
      </c>
      <c r="B20" s="925" t="s">
        <v>444</v>
      </c>
      <c r="C20" s="681" t="s">
        <v>445</v>
      </c>
      <c r="D20" s="1096" t="s">
        <v>912</v>
      </c>
      <c r="E20" s="883">
        <v>20000</v>
      </c>
      <c r="F20" s="882">
        <f>'HPP PRODUCT'!H98</f>
        <v>10307.037965071771</v>
      </c>
      <c r="G20" s="898">
        <f t="shared" si="0"/>
        <v>0.51535189825358863</v>
      </c>
    </row>
    <row r="21" spans="1:7" ht="18.75" x14ac:dyDescent="0.25">
      <c r="A21" s="667">
        <v>15</v>
      </c>
      <c r="B21" s="925" t="s">
        <v>446</v>
      </c>
      <c r="C21" s="681" t="s">
        <v>447</v>
      </c>
      <c r="D21" s="1096"/>
      <c r="E21" s="883">
        <v>17000</v>
      </c>
      <c r="F21" s="886">
        <f>'HPP PRODUCT'!H193</f>
        <v>9379.1854000000003</v>
      </c>
      <c r="G21" s="898">
        <f t="shared" si="0"/>
        <v>0.55171678823529413</v>
      </c>
    </row>
    <row r="22" spans="1:7" ht="18.75" x14ac:dyDescent="0.25">
      <c r="A22" s="667">
        <v>16</v>
      </c>
      <c r="B22" s="925"/>
      <c r="C22" s="680" t="s">
        <v>448</v>
      </c>
      <c r="D22" s="1096" t="s">
        <v>911</v>
      </c>
      <c r="E22" s="883">
        <v>26000</v>
      </c>
      <c r="F22" s="886">
        <f>F7+F9</f>
        <v>14664.074735702892</v>
      </c>
      <c r="G22" s="898">
        <f t="shared" si="0"/>
        <v>0.56400287445011121</v>
      </c>
    </row>
    <row r="23" spans="1:7" ht="18.75" x14ac:dyDescent="0.25">
      <c r="A23" s="667">
        <v>17</v>
      </c>
      <c r="B23" s="925"/>
      <c r="C23" s="681" t="s">
        <v>871</v>
      </c>
      <c r="D23" s="1096"/>
      <c r="E23" s="883">
        <v>11000</v>
      </c>
      <c r="F23" s="886"/>
      <c r="G23" s="898">
        <f t="shared" si="0"/>
        <v>0</v>
      </c>
    </row>
    <row r="24" spans="1:7" ht="18.75" x14ac:dyDescent="0.25">
      <c r="A24" s="667">
        <v>18</v>
      </c>
      <c r="B24" s="925"/>
      <c r="C24" s="681"/>
      <c r="D24" s="1096"/>
      <c r="E24" s="883"/>
      <c r="F24" s="886"/>
      <c r="G24" s="898" t="e">
        <f t="shared" si="0"/>
        <v>#DIV/0!</v>
      </c>
    </row>
    <row r="25" spans="1:7" ht="18.75" x14ac:dyDescent="0.25">
      <c r="A25" s="667">
        <v>19</v>
      </c>
      <c r="B25" s="925" t="s">
        <v>449</v>
      </c>
      <c r="C25" s="681" t="s">
        <v>450</v>
      </c>
      <c r="D25" s="1096" t="s">
        <v>879</v>
      </c>
      <c r="E25" s="880">
        <v>13000</v>
      </c>
      <c r="F25" s="882">
        <f>'HPP PRODUCT'!K14</f>
        <v>10970.708368288058</v>
      </c>
      <c r="G25" s="898">
        <f t="shared" si="0"/>
        <v>0.84390064371446605</v>
      </c>
    </row>
    <row r="26" spans="1:7" ht="18.75" x14ac:dyDescent="0.25">
      <c r="A26" s="667">
        <v>20</v>
      </c>
      <c r="B26" s="925" t="s">
        <v>451</v>
      </c>
      <c r="C26" s="681" t="s">
        <v>452</v>
      </c>
      <c r="D26" s="1096" t="s">
        <v>880</v>
      </c>
      <c r="E26" s="880">
        <v>15000</v>
      </c>
      <c r="F26" s="882">
        <f>'HPP PRODUCT'!M14</f>
        <v>35994.262683303547</v>
      </c>
      <c r="G26" s="898">
        <f t="shared" si="0"/>
        <v>2.3996175122202366</v>
      </c>
    </row>
    <row r="27" spans="1:7" ht="18.75" x14ac:dyDescent="0.25">
      <c r="A27" s="667">
        <v>21</v>
      </c>
      <c r="B27" s="925" t="s">
        <v>453</v>
      </c>
      <c r="C27" s="681" t="s">
        <v>454</v>
      </c>
      <c r="D27" s="1096" t="s">
        <v>881</v>
      </c>
      <c r="E27" s="880">
        <v>26000</v>
      </c>
      <c r="F27" s="882">
        <f>'HPP PRODUCT'!O14</f>
        <v>12979.127485935116</v>
      </c>
      <c r="G27" s="898">
        <f t="shared" si="0"/>
        <v>0.49919721099750447</v>
      </c>
    </row>
    <row r="28" spans="1:7" ht="18.75" x14ac:dyDescent="0.25">
      <c r="A28" s="667">
        <v>22</v>
      </c>
      <c r="B28" s="925" t="s">
        <v>455</v>
      </c>
      <c r="C28" s="681" t="s">
        <v>456</v>
      </c>
      <c r="D28" s="1096" t="s">
        <v>882</v>
      </c>
      <c r="E28" s="880">
        <v>26000</v>
      </c>
      <c r="F28" s="882">
        <f>'HPP PRODUCT'!Q14</f>
        <v>13180.689985935116</v>
      </c>
      <c r="G28" s="898">
        <f t="shared" si="0"/>
        <v>0.5069496148436583</v>
      </c>
    </row>
    <row r="29" spans="1:7" ht="18.75" x14ac:dyDescent="0.25">
      <c r="A29" s="667">
        <v>23</v>
      </c>
      <c r="B29" s="925" t="s">
        <v>457</v>
      </c>
      <c r="C29" s="681" t="s">
        <v>458</v>
      </c>
      <c r="D29" s="1096" t="s">
        <v>883</v>
      </c>
      <c r="E29" s="880">
        <v>25000</v>
      </c>
      <c r="F29" s="882">
        <f>'HPP PRODUCT'!S14</f>
        <v>11253.817007611649</v>
      </c>
      <c r="G29" s="898">
        <f t="shared" si="0"/>
        <v>0.45015268030446598</v>
      </c>
    </row>
    <row r="30" spans="1:7" ht="18.75" x14ac:dyDescent="0.25">
      <c r="A30" s="667">
        <v>24</v>
      </c>
      <c r="B30" s="925" t="s">
        <v>459</v>
      </c>
      <c r="C30" s="681" t="s">
        <v>460</v>
      </c>
      <c r="D30" s="1096" t="s">
        <v>884</v>
      </c>
      <c r="E30" s="880">
        <v>30000</v>
      </c>
      <c r="F30" s="882">
        <f>'HPP PRODUCT'!U14</f>
        <v>15236.455493848256</v>
      </c>
      <c r="G30" s="898">
        <f t="shared" si="0"/>
        <v>0.50788184979494189</v>
      </c>
    </row>
    <row r="31" spans="1:7" ht="18.75" x14ac:dyDescent="0.25">
      <c r="A31" s="667">
        <v>25</v>
      </c>
      <c r="B31" s="925" t="s">
        <v>461</v>
      </c>
      <c r="C31" s="681" t="s">
        <v>462</v>
      </c>
      <c r="D31" s="1096" t="s">
        <v>885</v>
      </c>
      <c r="E31" s="880">
        <v>21000</v>
      </c>
      <c r="F31" s="882">
        <f>'HPP PRODUCT'!W14</f>
        <v>14183.240451409956</v>
      </c>
      <c r="G31" s="898">
        <f t="shared" si="0"/>
        <v>0.67539240244809318</v>
      </c>
    </row>
    <row r="32" spans="1:7" ht="18.75" x14ac:dyDescent="0.25">
      <c r="A32" s="667">
        <v>26</v>
      </c>
      <c r="B32" s="925"/>
      <c r="C32" s="681" t="s">
        <v>867</v>
      </c>
      <c r="D32" s="1098" t="s">
        <v>886</v>
      </c>
      <c r="E32" s="880">
        <v>25000</v>
      </c>
      <c r="F32" s="882">
        <f>'HPP PRODUCT'!Y15</f>
        <v>36887.730745080327</v>
      </c>
      <c r="G32" s="898">
        <f t="shared" si="0"/>
        <v>1.4755092298032131</v>
      </c>
    </row>
    <row r="33" spans="1:7" ht="18.75" x14ac:dyDescent="0.25">
      <c r="A33" s="667">
        <v>27</v>
      </c>
      <c r="B33" s="925" t="s">
        <v>463</v>
      </c>
      <c r="C33" s="680" t="s">
        <v>857</v>
      </c>
      <c r="D33" s="1098" t="s">
        <v>887</v>
      </c>
      <c r="E33" s="880">
        <v>15000</v>
      </c>
      <c r="F33" s="882">
        <f>'HPP PRODUCT'!AA15</f>
        <v>9459.8567847503382</v>
      </c>
      <c r="G33" s="898">
        <f t="shared" si="0"/>
        <v>0.63065711898335586</v>
      </c>
    </row>
    <row r="34" spans="1:7" ht="18.75" x14ac:dyDescent="0.25">
      <c r="A34" s="667">
        <v>28</v>
      </c>
      <c r="B34" s="926"/>
      <c r="C34" s="681"/>
      <c r="D34" s="1098"/>
      <c r="E34" s="880"/>
      <c r="F34" s="882"/>
      <c r="G34" s="898" t="e">
        <f t="shared" si="0"/>
        <v>#DIV/0!</v>
      </c>
    </row>
    <row r="35" spans="1:7" ht="18.75" x14ac:dyDescent="0.25">
      <c r="A35" s="667">
        <v>29</v>
      </c>
      <c r="B35" s="927" t="s">
        <v>464</v>
      </c>
      <c r="C35" s="681" t="s">
        <v>465</v>
      </c>
      <c r="D35" s="1096" t="s">
        <v>888</v>
      </c>
      <c r="E35" s="883">
        <v>24000</v>
      </c>
      <c r="F35" s="1103">
        <f>'HPP PRODUCT'!AC15</f>
        <v>18195.61559673151</v>
      </c>
      <c r="G35" s="898">
        <f t="shared" si="0"/>
        <v>0.75815064986381286</v>
      </c>
    </row>
    <row r="36" spans="1:7" ht="18.75" x14ac:dyDescent="0.25">
      <c r="A36" s="667">
        <v>30</v>
      </c>
      <c r="B36" s="927" t="s">
        <v>466</v>
      </c>
      <c r="C36" s="681" t="s">
        <v>467</v>
      </c>
      <c r="D36" s="1098" t="s">
        <v>889</v>
      </c>
      <c r="E36" s="880">
        <v>25000</v>
      </c>
      <c r="F36" s="882">
        <f>'HPP PRODUCT'!AE15</f>
        <v>18591.534714378566</v>
      </c>
      <c r="G36" s="898">
        <f t="shared" si="0"/>
        <v>0.74366138857514263</v>
      </c>
    </row>
    <row r="37" spans="1:7" ht="18.75" x14ac:dyDescent="0.25">
      <c r="A37" s="667">
        <v>31</v>
      </c>
      <c r="B37" s="927"/>
      <c r="C37" s="681" t="s">
        <v>868</v>
      </c>
      <c r="D37" s="1098" t="s">
        <v>890</v>
      </c>
      <c r="E37" s="880">
        <v>27000</v>
      </c>
      <c r="F37" s="882">
        <f>'HPP PRODUCT'!AG15</f>
        <v>20204.034714378566</v>
      </c>
      <c r="G37" s="898">
        <f t="shared" si="0"/>
        <v>0.74829758201402097</v>
      </c>
    </row>
    <row r="38" spans="1:7" ht="18.75" x14ac:dyDescent="0.25">
      <c r="A38" s="667">
        <v>32</v>
      </c>
      <c r="B38" s="927"/>
      <c r="C38" s="681" t="s">
        <v>869</v>
      </c>
      <c r="D38" s="1098" t="s">
        <v>891</v>
      </c>
      <c r="E38" s="880">
        <v>27000</v>
      </c>
      <c r="F38" s="882">
        <f>'HPP PRODUCT'!AI15</f>
        <v>20405.597214378566</v>
      </c>
      <c r="G38" s="898">
        <f t="shared" si="0"/>
        <v>0.75576285979179869</v>
      </c>
    </row>
    <row r="39" spans="1:7" ht="18.75" x14ac:dyDescent="0.25">
      <c r="A39" s="667">
        <v>33</v>
      </c>
      <c r="B39" s="927" t="s">
        <v>468</v>
      </c>
      <c r="C39" s="680"/>
      <c r="D39" s="1098"/>
      <c r="E39" s="880"/>
      <c r="F39" s="882"/>
      <c r="G39" s="898" t="e">
        <f t="shared" si="0"/>
        <v>#DIV/0!</v>
      </c>
    </row>
    <row r="40" spans="1:7" ht="18.75" x14ac:dyDescent="0.25">
      <c r="A40" s="667">
        <v>34</v>
      </c>
      <c r="B40" s="927" t="s">
        <v>469</v>
      </c>
      <c r="C40" s="681" t="s">
        <v>470</v>
      </c>
      <c r="D40" s="1098" t="s">
        <v>892</v>
      </c>
      <c r="E40" s="880">
        <v>25000</v>
      </c>
      <c r="F40" s="882">
        <f>'HPP PRODUCT'!U25</f>
        <v>12888.551570042444</v>
      </c>
      <c r="G40" s="898">
        <f t="shared" si="0"/>
        <v>0.51554206280169779</v>
      </c>
    </row>
    <row r="41" spans="1:7" ht="18.75" x14ac:dyDescent="0.25">
      <c r="A41" s="667">
        <v>35</v>
      </c>
      <c r="B41" s="927" t="s">
        <v>471</v>
      </c>
      <c r="C41" s="681" t="s">
        <v>472</v>
      </c>
      <c r="D41" s="1096" t="s">
        <v>893</v>
      </c>
      <c r="E41" s="883">
        <v>26000</v>
      </c>
      <c r="F41" s="886">
        <f>'HPP PRODUCT'!W25</f>
        <v>12426.328881045232</v>
      </c>
      <c r="G41" s="898">
        <f t="shared" si="0"/>
        <v>0.47793572619404739</v>
      </c>
    </row>
    <row r="42" spans="1:7" ht="18.75" x14ac:dyDescent="0.25">
      <c r="A42" s="667">
        <v>36</v>
      </c>
      <c r="B42" s="927" t="s">
        <v>473</v>
      </c>
      <c r="C42" s="681" t="s">
        <v>474</v>
      </c>
      <c r="D42" s="1098" t="s">
        <v>894</v>
      </c>
      <c r="E42" s="887">
        <v>25000</v>
      </c>
      <c r="F42" s="882">
        <f>'HPP PRODUCT'!Y25</f>
        <v>15098.533187689503</v>
      </c>
      <c r="G42" s="898">
        <f t="shared" si="0"/>
        <v>0.60394132750758012</v>
      </c>
    </row>
    <row r="43" spans="1:7" ht="18.75" x14ac:dyDescent="0.25">
      <c r="A43" s="667">
        <v>37</v>
      </c>
      <c r="B43" s="927" t="s">
        <v>475</v>
      </c>
      <c r="C43" s="681" t="s">
        <v>476</v>
      </c>
      <c r="D43" s="1098" t="s">
        <v>895</v>
      </c>
      <c r="E43" s="887">
        <v>23000</v>
      </c>
      <c r="F43" s="882">
        <f>'HPP PRODUCT'!AA25</f>
        <v>9776.0842140893819</v>
      </c>
      <c r="G43" s="898">
        <f t="shared" si="0"/>
        <v>0.42504713974301661</v>
      </c>
    </row>
    <row r="44" spans="1:7" ht="18.75" x14ac:dyDescent="0.25">
      <c r="A44" s="667">
        <v>38</v>
      </c>
      <c r="B44" s="927"/>
      <c r="C44" s="681"/>
      <c r="D44" s="1098"/>
      <c r="E44" s="887"/>
      <c r="F44" s="882"/>
      <c r="G44" s="898" t="e">
        <f t="shared" si="0"/>
        <v>#DIV/0!</v>
      </c>
    </row>
    <row r="45" spans="1:7" ht="18.75" x14ac:dyDescent="0.25">
      <c r="A45" s="667">
        <v>39</v>
      </c>
      <c r="B45" s="927" t="s">
        <v>477</v>
      </c>
      <c r="C45" s="681" t="s">
        <v>478</v>
      </c>
      <c r="D45" s="1096"/>
      <c r="E45" s="880">
        <v>15000</v>
      </c>
      <c r="F45" s="884">
        <f>'HPP PRODUCT'!Q36</f>
        <v>12461.307416871055</v>
      </c>
      <c r="G45" s="898">
        <f t="shared" si="0"/>
        <v>0.83075382779140372</v>
      </c>
    </row>
    <row r="46" spans="1:7" ht="18.75" x14ac:dyDescent="0.25">
      <c r="A46" s="667">
        <v>40</v>
      </c>
      <c r="B46" s="927" t="s">
        <v>479</v>
      </c>
      <c r="C46" s="681" t="s">
        <v>480</v>
      </c>
      <c r="D46" s="1096"/>
      <c r="E46" s="887">
        <v>16000</v>
      </c>
      <c r="F46" s="882">
        <f>'HPP PRODUCT'!O36</f>
        <v>12857.226534518113</v>
      </c>
      <c r="G46" s="898">
        <f t="shared" si="0"/>
        <v>0.80357665840738202</v>
      </c>
    </row>
    <row r="47" spans="1:7" ht="18.75" x14ac:dyDescent="0.25">
      <c r="A47" s="667">
        <v>41</v>
      </c>
      <c r="B47" s="927" t="s">
        <v>481</v>
      </c>
      <c r="C47" s="680" t="s">
        <v>482</v>
      </c>
      <c r="D47" s="1096"/>
      <c r="E47" s="887">
        <v>18000</v>
      </c>
      <c r="F47" s="882">
        <f>'HPP PRODUCT'!M36</f>
        <v>14671.289034518113</v>
      </c>
      <c r="G47" s="898">
        <f t="shared" si="0"/>
        <v>0.81507161302878406</v>
      </c>
    </row>
    <row r="48" spans="1:7" ht="16.5" customHeight="1" x14ac:dyDescent="0.25">
      <c r="A48" s="667">
        <v>42</v>
      </c>
      <c r="B48" s="927" t="s">
        <v>478</v>
      </c>
      <c r="C48" s="681" t="s">
        <v>483</v>
      </c>
      <c r="D48" s="1096"/>
      <c r="E48" s="887">
        <v>5000</v>
      </c>
      <c r="F48" s="882">
        <f>'HPP PRODUCT'!H51</f>
        <v>4885.1725000000006</v>
      </c>
      <c r="G48" s="898">
        <f t="shared" si="0"/>
        <v>0.97703450000000014</v>
      </c>
    </row>
    <row r="49" spans="1:7" ht="16.5" customHeight="1" x14ac:dyDescent="0.25">
      <c r="A49" s="667">
        <v>43</v>
      </c>
      <c r="B49" s="927"/>
      <c r="C49" s="681"/>
      <c r="D49" s="1096"/>
      <c r="E49" s="887"/>
      <c r="F49" s="888"/>
      <c r="G49" s="898" t="e">
        <f t="shared" si="0"/>
        <v>#DIV/0!</v>
      </c>
    </row>
    <row r="50" spans="1:7" ht="16.5" customHeight="1" x14ac:dyDescent="0.25">
      <c r="A50" s="667">
        <v>44</v>
      </c>
      <c r="B50" s="927" t="s">
        <v>480</v>
      </c>
      <c r="C50" s="681" t="s">
        <v>484</v>
      </c>
      <c r="D50" s="1096" t="s">
        <v>896</v>
      </c>
      <c r="E50" s="883">
        <v>24000</v>
      </c>
      <c r="F50" s="886">
        <f>'HPP PRODUCT'!K25</f>
        <v>36577.422025408807</v>
      </c>
      <c r="G50" s="898">
        <f t="shared" si="0"/>
        <v>1.5240592510587003</v>
      </c>
    </row>
    <row r="51" spans="1:7" ht="16.5" customHeight="1" x14ac:dyDescent="0.25">
      <c r="A51" s="667">
        <v>45</v>
      </c>
      <c r="B51" s="927" t="s">
        <v>485</v>
      </c>
      <c r="C51" s="681" t="s">
        <v>486</v>
      </c>
      <c r="D51" s="1096" t="s">
        <v>897</v>
      </c>
      <c r="E51" s="887">
        <v>25000</v>
      </c>
      <c r="F51" s="882">
        <f>'HPP PRODUCT'!M26</f>
        <v>44715.709393260251</v>
      </c>
      <c r="G51" s="898">
        <f t="shared" si="0"/>
        <v>1.78862837573041</v>
      </c>
    </row>
    <row r="52" spans="1:7" ht="16.5" customHeight="1" x14ac:dyDescent="0.25">
      <c r="A52" s="667">
        <v>46</v>
      </c>
      <c r="B52" s="927" t="s">
        <v>487</v>
      </c>
      <c r="C52" s="681" t="s">
        <v>488</v>
      </c>
      <c r="D52" s="1096" t="s">
        <v>898</v>
      </c>
      <c r="E52" s="887">
        <v>19000</v>
      </c>
      <c r="F52" s="882">
        <f>'HPP PRODUCT'!O25</f>
        <v>9895.3832879401307</v>
      </c>
      <c r="G52" s="898">
        <f t="shared" si="0"/>
        <v>0.52080964673369112</v>
      </c>
    </row>
    <row r="53" spans="1:7" ht="16.5" customHeight="1" x14ac:dyDescent="0.25">
      <c r="A53" s="667">
        <v>47</v>
      </c>
      <c r="B53" s="927"/>
      <c r="C53" s="681" t="s">
        <v>489</v>
      </c>
      <c r="D53" s="1096" t="s">
        <v>899</v>
      </c>
      <c r="E53" s="887">
        <v>25000</v>
      </c>
      <c r="F53" s="882">
        <f>'HPP PRODUCT'!Q25</f>
        <v>8234.3081798604526</v>
      </c>
      <c r="G53" s="898">
        <f t="shared" si="0"/>
        <v>0.32937232719441811</v>
      </c>
    </row>
    <row r="54" spans="1:7" ht="16.5" customHeight="1" x14ac:dyDescent="0.25">
      <c r="A54" s="667">
        <v>48</v>
      </c>
      <c r="B54" s="927" t="s">
        <v>490</v>
      </c>
      <c r="C54" s="681"/>
      <c r="D54" s="1096"/>
      <c r="E54" s="883"/>
      <c r="F54" s="886"/>
      <c r="G54" s="898" t="e">
        <f t="shared" si="0"/>
        <v>#DIV/0!</v>
      </c>
    </row>
    <row r="55" spans="1:7" ht="16.5" customHeight="1" x14ac:dyDescent="0.25">
      <c r="A55" s="667">
        <v>49</v>
      </c>
      <c r="B55" s="927" t="s">
        <v>491</v>
      </c>
      <c r="C55" s="680" t="s">
        <v>492</v>
      </c>
      <c r="D55" s="1098" t="s">
        <v>900</v>
      </c>
      <c r="E55" s="887">
        <v>13000</v>
      </c>
      <c r="F55" s="882">
        <f>'HPP PRODUCT'!AC25</f>
        <v>9053.8677103933223</v>
      </c>
      <c r="G55" s="898">
        <f t="shared" si="0"/>
        <v>0.69645136233794791</v>
      </c>
    </row>
    <row r="56" spans="1:7" ht="16.5" customHeight="1" x14ac:dyDescent="0.25">
      <c r="A56" s="667">
        <v>50</v>
      </c>
      <c r="B56" s="927" t="s">
        <v>493</v>
      </c>
      <c r="C56" s="681" t="s">
        <v>494</v>
      </c>
      <c r="D56" s="1098" t="s">
        <v>901</v>
      </c>
      <c r="E56" s="887">
        <v>15000</v>
      </c>
      <c r="F56" s="882">
        <f>'HPP PRODUCT'!AE25</f>
        <v>34077.422025408807</v>
      </c>
      <c r="G56" s="898">
        <f t="shared" si="0"/>
        <v>2.271828135027254</v>
      </c>
    </row>
    <row r="57" spans="1:7" ht="16.5" customHeight="1" x14ac:dyDescent="0.25">
      <c r="A57" s="667">
        <v>51</v>
      </c>
      <c r="B57" s="927" t="s">
        <v>495</v>
      </c>
      <c r="C57" s="681" t="s">
        <v>496</v>
      </c>
      <c r="D57" s="1098" t="s">
        <v>902</v>
      </c>
      <c r="E57" s="887">
        <v>17000</v>
      </c>
      <c r="F57" s="882">
        <f>'HPP PRODUCT'!AG25</f>
        <v>11062.28682804038</v>
      </c>
      <c r="G57" s="898">
        <f t="shared" si="0"/>
        <v>0.65072275459061057</v>
      </c>
    </row>
    <row r="58" spans="1:7" ht="16.5" customHeight="1" x14ac:dyDescent="0.25">
      <c r="A58" s="667">
        <v>52</v>
      </c>
      <c r="B58" s="927" t="s">
        <v>497</v>
      </c>
      <c r="C58" s="681"/>
      <c r="D58" s="1097"/>
      <c r="E58" s="880"/>
      <c r="F58" s="884"/>
      <c r="G58" s="898" t="e">
        <f t="shared" si="0"/>
        <v>#DIV/0!</v>
      </c>
    </row>
    <row r="59" spans="1:7" ht="16.5" customHeight="1" x14ac:dyDescent="0.25">
      <c r="A59" s="667">
        <v>53</v>
      </c>
      <c r="B59" s="927" t="s">
        <v>498</v>
      </c>
      <c r="C59" s="681" t="s">
        <v>499</v>
      </c>
      <c r="D59" s="1099" t="s">
        <v>903</v>
      </c>
      <c r="E59" s="887">
        <v>75000</v>
      </c>
      <c r="F59" s="882">
        <f>'HPP PRODUCT'!AC36</f>
        <v>37092.749339257236</v>
      </c>
      <c r="G59" s="898">
        <f t="shared" si="0"/>
        <v>0.49456999119009648</v>
      </c>
    </row>
    <row r="60" spans="1:7" ht="16.5" customHeight="1" x14ac:dyDescent="0.25">
      <c r="A60" s="667">
        <v>54</v>
      </c>
      <c r="B60" s="927" t="s">
        <v>500</v>
      </c>
      <c r="C60" s="681" t="s">
        <v>501</v>
      </c>
      <c r="D60" s="1099" t="s">
        <v>904</v>
      </c>
      <c r="E60" s="887">
        <v>85000</v>
      </c>
      <c r="F60" s="882">
        <f>'HPP PRODUCT'!AE36</f>
        <v>61518.611839257239</v>
      </c>
      <c r="G60" s="898">
        <f t="shared" si="0"/>
        <v>0.72374837457949692</v>
      </c>
    </row>
    <row r="61" spans="1:7" ht="16.5" customHeight="1" x14ac:dyDescent="0.25">
      <c r="A61" s="667">
        <v>55</v>
      </c>
      <c r="B61" s="927"/>
      <c r="C61" s="681" t="s">
        <v>502</v>
      </c>
      <c r="D61" s="1099" t="s">
        <v>905</v>
      </c>
      <c r="E61" s="887">
        <v>90000</v>
      </c>
      <c r="F61" s="882">
        <f>'HPP PRODUCT'!AG36</f>
        <v>54065.616596342254</v>
      </c>
      <c r="G61" s="898">
        <f t="shared" si="0"/>
        <v>0.60072907329269176</v>
      </c>
    </row>
    <row r="62" spans="1:7" ht="16.5" customHeight="1" x14ac:dyDescent="0.25">
      <c r="A62" s="667">
        <v>56</v>
      </c>
      <c r="B62" s="889" t="s">
        <v>503</v>
      </c>
      <c r="C62" s="681" t="s">
        <v>504</v>
      </c>
      <c r="D62" s="1099" t="s">
        <v>906</v>
      </c>
      <c r="E62" s="883">
        <v>100000</v>
      </c>
      <c r="F62" s="882">
        <f>'HPP PRODUCT'!AI37</f>
        <v>78491.479096342257</v>
      </c>
      <c r="G62" s="898">
        <f t="shared" si="0"/>
        <v>0.78491479096342254</v>
      </c>
    </row>
    <row r="63" spans="1:7" ht="18.75" x14ac:dyDescent="0.25">
      <c r="A63" s="667">
        <v>57</v>
      </c>
      <c r="B63" s="890" t="s">
        <v>505</v>
      </c>
      <c r="C63" s="681"/>
      <c r="D63" s="1098"/>
      <c r="E63" s="887"/>
      <c r="F63" s="882"/>
      <c r="G63" s="898" t="e">
        <f t="shared" si="0"/>
        <v>#DIV/0!</v>
      </c>
    </row>
    <row r="64" spans="1:7" ht="18.75" x14ac:dyDescent="0.25">
      <c r="A64" s="667">
        <v>58</v>
      </c>
      <c r="B64" s="890" t="s">
        <v>506</v>
      </c>
      <c r="C64" s="681" t="s">
        <v>507</v>
      </c>
      <c r="D64" s="1098" t="s">
        <v>907</v>
      </c>
      <c r="E64" s="887">
        <v>11000</v>
      </c>
      <c r="F64" s="882">
        <f>'HPP PRODUCT'!U36</f>
        <v>7691.4627684596107</v>
      </c>
      <c r="G64" s="898">
        <f t="shared" si="0"/>
        <v>0.69922388804178282</v>
      </c>
    </row>
    <row r="65" spans="1:7" ht="18.75" x14ac:dyDescent="0.25">
      <c r="A65" s="667">
        <v>59</v>
      </c>
      <c r="B65" s="890"/>
      <c r="C65" s="681" t="s">
        <v>508</v>
      </c>
      <c r="D65" s="1098" t="s">
        <v>908</v>
      </c>
      <c r="E65" s="887">
        <v>12000</v>
      </c>
      <c r="F65" s="882">
        <f>'HPP PRODUCT'!W36</f>
        <v>8491.4627684596107</v>
      </c>
      <c r="G65" s="898">
        <f t="shared" si="0"/>
        <v>0.70762189737163428</v>
      </c>
    </row>
    <row r="66" spans="1:7" ht="18.75" x14ac:dyDescent="0.25">
      <c r="A66" s="667">
        <v>60</v>
      </c>
      <c r="B66" s="890"/>
      <c r="C66" s="681" t="s">
        <v>509</v>
      </c>
      <c r="D66" s="1100" t="s">
        <v>909</v>
      </c>
      <c r="E66" s="887">
        <v>13000</v>
      </c>
      <c r="F66" s="882">
        <f>'HPP PRODUCT'!Y36</f>
        <v>9731.4627684596107</v>
      </c>
      <c r="G66" s="898">
        <f t="shared" si="0"/>
        <v>0.7485740591122777</v>
      </c>
    </row>
    <row r="67" spans="1:7" ht="18.75" x14ac:dyDescent="0.25">
      <c r="A67" s="667">
        <v>61</v>
      </c>
      <c r="B67" s="890"/>
      <c r="C67" s="681" t="s">
        <v>510</v>
      </c>
      <c r="D67" s="1100" t="s">
        <v>910</v>
      </c>
      <c r="E67" s="887">
        <v>15000</v>
      </c>
      <c r="F67" s="882">
        <f>'HPP PRODUCT'!AA38</f>
        <v>9711.4627684596107</v>
      </c>
      <c r="G67" s="898">
        <f t="shared" si="0"/>
        <v>0.6474308512306407</v>
      </c>
    </row>
    <row r="68" spans="1:7" ht="18.75" x14ac:dyDescent="0.25">
      <c r="A68" s="667">
        <v>62</v>
      </c>
      <c r="B68" s="890"/>
      <c r="C68" s="681"/>
      <c r="D68" s="1100"/>
      <c r="E68" s="887"/>
      <c r="F68" s="882"/>
      <c r="G68" s="898" t="e">
        <f t="shared" si="0"/>
        <v>#DIV/0!</v>
      </c>
    </row>
    <row r="69" spans="1:7" ht="18.75" x14ac:dyDescent="0.25">
      <c r="A69" s="667">
        <v>63</v>
      </c>
      <c r="B69" s="889"/>
      <c r="C69" s="681" t="s">
        <v>987</v>
      </c>
      <c r="D69" s="1097" t="s">
        <v>997</v>
      </c>
      <c r="E69" s="883">
        <v>55000</v>
      </c>
      <c r="F69" s="886"/>
      <c r="G69" s="898">
        <f t="shared" si="0"/>
        <v>0</v>
      </c>
    </row>
    <row r="70" spans="1:7" ht="18.75" x14ac:dyDescent="0.25">
      <c r="A70" s="667">
        <v>64</v>
      </c>
      <c r="B70" s="889"/>
      <c r="C70" s="681" t="s">
        <v>988</v>
      </c>
      <c r="D70" s="1098" t="s">
        <v>998</v>
      </c>
      <c r="E70" s="891">
        <v>60000</v>
      </c>
      <c r="F70" s="884"/>
      <c r="G70" s="898">
        <f t="shared" si="0"/>
        <v>0</v>
      </c>
    </row>
    <row r="71" spans="1:7" ht="18.75" x14ac:dyDescent="0.25">
      <c r="A71" s="1181">
        <v>65</v>
      </c>
      <c r="B71" s="1182"/>
      <c r="C71" s="681" t="s">
        <v>989</v>
      </c>
      <c r="D71" s="1183" t="s">
        <v>999</v>
      </c>
      <c r="E71" s="1184">
        <v>65000</v>
      </c>
      <c r="F71" s="1185"/>
      <c r="G71" s="898">
        <f t="shared" si="0"/>
        <v>0</v>
      </c>
    </row>
    <row r="72" spans="1:7" ht="18.75" x14ac:dyDescent="0.25">
      <c r="A72" s="1181">
        <v>66</v>
      </c>
      <c r="B72" s="1182"/>
      <c r="C72" s="681" t="s">
        <v>990</v>
      </c>
      <c r="D72" s="1183" t="s">
        <v>1000</v>
      </c>
      <c r="E72" s="1184">
        <v>70000</v>
      </c>
      <c r="F72" s="1185"/>
      <c r="G72" s="898">
        <f t="shared" si="0"/>
        <v>0</v>
      </c>
    </row>
    <row r="73" spans="1:7" ht="18.75" x14ac:dyDescent="0.25">
      <c r="A73" s="1181">
        <v>67</v>
      </c>
      <c r="B73" s="1182"/>
      <c r="C73" s="681" t="s">
        <v>991</v>
      </c>
      <c r="D73" s="1183" t="s">
        <v>1001</v>
      </c>
      <c r="E73" s="1184">
        <v>120000</v>
      </c>
      <c r="F73" s="1185"/>
      <c r="G73" s="898">
        <f t="shared" si="0"/>
        <v>0</v>
      </c>
    </row>
    <row r="74" spans="1:7" ht="18.75" x14ac:dyDescent="0.25">
      <c r="A74" s="1091">
        <v>68</v>
      </c>
      <c r="B74" s="1092"/>
      <c r="C74" s="681" t="s">
        <v>992</v>
      </c>
      <c r="D74" s="1101" t="s">
        <v>1002</v>
      </c>
      <c r="E74" s="1093">
        <v>130000</v>
      </c>
      <c r="F74" s="1094"/>
      <c r="G74" s="898">
        <f t="shared" si="0"/>
        <v>0</v>
      </c>
    </row>
    <row r="75" spans="1:7" ht="19.5" thickBot="1" x14ac:dyDescent="0.3">
      <c r="A75" s="1084"/>
      <c r="B75" s="1085"/>
      <c r="C75" s="1086"/>
      <c r="D75" s="1087"/>
      <c r="E75" s="1088"/>
      <c r="F75" s="1089"/>
      <c r="G75" s="1090"/>
    </row>
    <row r="76" spans="1:7" ht="18.75" x14ac:dyDescent="0.3">
      <c r="A76" s="893">
        <v>1</v>
      </c>
      <c r="B76" s="904" t="s">
        <v>512</v>
      </c>
      <c r="C76" s="908" t="str">
        <f>B76</f>
        <v xml:space="preserve">Air Mineral Botol </v>
      </c>
      <c r="D76" s="1083"/>
      <c r="E76" s="894">
        <v>4000</v>
      </c>
      <c r="F76" s="895">
        <f>WEEKLY!E81</f>
        <v>1750</v>
      </c>
      <c r="G76" s="896">
        <f t="shared" ref="G76:G103" si="1">F76/E76</f>
        <v>0.4375</v>
      </c>
    </row>
    <row r="77" spans="1:7" ht="18.75" x14ac:dyDescent="0.3">
      <c r="A77" s="897">
        <v>2</v>
      </c>
      <c r="B77" s="905" t="s">
        <v>513</v>
      </c>
      <c r="C77" s="909" t="str">
        <f>B77</f>
        <v>Air Mineral Cup</v>
      </c>
      <c r="D77" s="1081"/>
      <c r="E77" s="891">
        <v>2000</v>
      </c>
      <c r="F77" s="882">
        <f>WEEKLY!E82</f>
        <v>0</v>
      </c>
      <c r="G77" s="898">
        <f t="shared" si="1"/>
        <v>0</v>
      </c>
    </row>
    <row r="78" spans="1:7" ht="18.75" x14ac:dyDescent="0.3">
      <c r="A78" s="897">
        <v>3</v>
      </c>
      <c r="B78" s="905" t="s">
        <v>514</v>
      </c>
      <c r="C78" s="909" t="str">
        <f>B78</f>
        <v>Teh Botol</v>
      </c>
      <c r="D78" s="1081"/>
      <c r="E78" s="891">
        <v>7000</v>
      </c>
      <c r="F78" s="882">
        <f>WEEKLY!E76</f>
        <v>2500</v>
      </c>
      <c r="G78" s="898">
        <f t="shared" si="1"/>
        <v>0.35714285714285715</v>
      </c>
    </row>
    <row r="79" spans="1:7" ht="18.75" x14ac:dyDescent="0.3">
      <c r="A79" s="897">
        <v>4</v>
      </c>
      <c r="B79" s="905" t="s">
        <v>515</v>
      </c>
      <c r="C79" s="909" t="str">
        <f>B79</f>
        <v>Teh Sosro Genggam</v>
      </c>
      <c r="D79" s="1081"/>
      <c r="E79" s="891">
        <v>7000</v>
      </c>
      <c r="F79" s="882">
        <f>WEEKLY!E77</f>
        <v>2500</v>
      </c>
      <c r="G79" s="898">
        <f t="shared" si="1"/>
        <v>0.35714285714285715</v>
      </c>
    </row>
    <row r="80" spans="1:7" ht="18.75" x14ac:dyDescent="0.3">
      <c r="A80" s="897">
        <v>5</v>
      </c>
      <c r="B80" s="905" t="s">
        <v>516</v>
      </c>
      <c r="C80" s="909" t="s">
        <v>517</v>
      </c>
      <c r="D80" s="1081"/>
      <c r="E80" s="891">
        <v>5000</v>
      </c>
      <c r="F80" s="882">
        <f>WEEKLY!E78</f>
        <v>0</v>
      </c>
      <c r="G80" s="898">
        <f t="shared" si="1"/>
        <v>0</v>
      </c>
    </row>
    <row r="81" spans="1:7" ht="18.75" x14ac:dyDescent="0.3">
      <c r="A81" s="897">
        <v>6</v>
      </c>
      <c r="B81" s="905" t="s">
        <v>518</v>
      </c>
      <c r="C81" s="909" t="s">
        <v>519</v>
      </c>
      <c r="D81" s="1081"/>
      <c r="E81" s="891">
        <v>3000</v>
      </c>
      <c r="F81" s="882">
        <f>WEEKLY!E79</f>
        <v>0</v>
      </c>
      <c r="G81" s="898">
        <f t="shared" si="1"/>
        <v>0</v>
      </c>
    </row>
    <row r="82" spans="1:7" ht="18.75" x14ac:dyDescent="0.3">
      <c r="A82" s="897"/>
      <c r="B82" s="905" t="s">
        <v>520</v>
      </c>
      <c r="C82" s="909"/>
      <c r="D82" s="1081"/>
      <c r="E82" s="891"/>
      <c r="F82" s="882"/>
      <c r="G82" s="898" t="e">
        <f t="shared" si="1"/>
        <v>#DIV/0!</v>
      </c>
    </row>
    <row r="83" spans="1:7" ht="18.75" x14ac:dyDescent="0.3">
      <c r="A83" s="897">
        <v>7</v>
      </c>
      <c r="B83" s="905" t="s">
        <v>521</v>
      </c>
      <c r="C83" s="909" t="s">
        <v>522</v>
      </c>
      <c r="D83" s="1081"/>
      <c r="E83" s="891">
        <v>10000</v>
      </c>
      <c r="F83" s="882">
        <f>'HPP PRODUCT'!B79</f>
        <v>3834.683859649123</v>
      </c>
      <c r="G83" s="898">
        <f t="shared" si="1"/>
        <v>0.38346838596491228</v>
      </c>
    </row>
    <row r="84" spans="1:7" ht="18.75" x14ac:dyDescent="0.3">
      <c r="A84" s="897">
        <v>8</v>
      </c>
      <c r="B84" s="905"/>
      <c r="C84" s="910" t="s">
        <v>523</v>
      </c>
      <c r="D84" s="1081"/>
      <c r="E84" s="891">
        <v>8000</v>
      </c>
      <c r="F84" s="882">
        <f>'HPP PRODUCT'!B56</f>
        <v>2810.3087196715192</v>
      </c>
      <c r="G84" s="898">
        <f t="shared" si="1"/>
        <v>0.35128858995893991</v>
      </c>
    </row>
    <row r="85" spans="1:7" ht="18.75" x14ac:dyDescent="0.3">
      <c r="A85" s="897">
        <v>9</v>
      </c>
      <c r="B85" s="905" t="s">
        <v>524</v>
      </c>
      <c r="C85" s="909" t="s">
        <v>525</v>
      </c>
      <c r="D85" s="1081"/>
      <c r="E85" s="891">
        <v>8000</v>
      </c>
      <c r="F85" s="882">
        <f>'HPP PRODUCT'!B100</f>
        <v>2967.4633082706764</v>
      </c>
      <c r="G85" s="898">
        <f t="shared" si="1"/>
        <v>0.37093291353383456</v>
      </c>
    </row>
    <row r="86" spans="1:7" ht="18.75" x14ac:dyDescent="0.3">
      <c r="A86" s="897">
        <v>10</v>
      </c>
      <c r="B86" s="905" t="s">
        <v>526</v>
      </c>
      <c r="C86" s="909" t="s">
        <v>527</v>
      </c>
      <c r="D86" s="1081"/>
      <c r="E86" s="891">
        <v>9000</v>
      </c>
      <c r="F86" s="882"/>
      <c r="G86" s="898">
        <f t="shared" si="1"/>
        <v>0</v>
      </c>
    </row>
    <row r="87" spans="1:7" ht="18.75" x14ac:dyDescent="0.3">
      <c r="A87" s="897">
        <v>11</v>
      </c>
      <c r="B87" s="905" t="s">
        <v>528</v>
      </c>
      <c r="C87" s="909" t="s">
        <v>529</v>
      </c>
      <c r="D87" s="1081"/>
      <c r="E87" s="891">
        <v>15000</v>
      </c>
      <c r="F87" s="882"/>
      <c r="G87" s="898">
        <f t="shared" si="1"/>
        <v>0</v>
      </c>
    </row>
    <row r="88" spans="1:7" ht="18.75" x14ac:dyDescent="0.3">
      <c r="A88" s="897">
        <v>12</v>
      </c>
      <c r="B88" s="905" t="s">
        <v>530</v>
      </c>
      <c r="C88" s="909" t="s">
        <v>531</v>
      </c>
      <c r="D88" s="1081"/>
      <c r="E88" s="891">
        <v>7000</v>
      </c>
      <c r="F88" s="882"/>
      <c r="G88" s="898">
        <f t="shared" si="1"/>
        <v>0</v>
      </c>
    </row>
    <row r="89" spans="1:7" ht="18.75" x14ac:dyDescent="0.3">
      <c r="A89" s="897">
        <v>13</v>
      </c>
      <c r="B89" s="905" t="s">
        <v>532</v>
      </c>
      <c r="C89" s="909" t="s">
        <v>533</v>
      </c>
      <c r="D89" s="1081"/>
      <c r="E89" s="891">
        <v>5000</v>
      </c>
      <c r="F89" s="882">
        <f>'HPP PRODUCT'!B136</f>
        <v>1916.8406578947368</v>
      </c>
      <c r="G89" s="898">
        <f t="shared" si="1"/>
        <v>0.38336813157894734</v>
      </c>
    </row>
    <row r="90" spans="1:7" ht="18.75" x14ac:dyDescent="0.3">
      <c r="A90" s="897">
        <v>14</v>
      </c>
      <c r="B90" s="905" t="s">
        <v>534</v>
      </c>
      <c r="C90" s="909" t="s">
        <v>535</v>
      </c>
      <c r="D90" s="1081"/>
      <c r="E90" s="891">
        <v>3000</v>
      </c>
      <c r="F90" s="882"/>
      <c r="G90" s="898">
        <f t="shared" si="1"/>
        <v>0</v>
      </c>
    </row>
    <row r="91" spans="1:7" ht="15.75" x14ac:dyDescent="0.25">
      <c r="A91" s="899"/>
      <c r="B91" s="906"/>
      <c r="C91" s="911"/>
      <c r="D91" s="1081"/>
      <c r="E91" s="891"/>
      <c r="F91" s="882"/>
      <c r="G91" s="898" t="e">
        <f t="shared" si="1"/>
        <v>#DIV/0!</v>
      </c>
    </row>
    <row r="92" spans="1:7" ht="18.75" x14ac:dyDescent="0.25">
      <c r="A92" s="1186">
        <v>15</v>
      </c>
      <c r="B92" s="1187"/>
      <c r="C92" s="1188" t="s">
        <v>993</v>
      </c>
      <c r="D92" s="1081"/>
      <c r="E92" s="891">
        <v>5000</v>
      </c>
      <c r="F92" s="882"/>
      <c r="G92" s="898">
        <f t="shared" si="1"/>
        <v>0</v>
      </c>
    </row>
    <row r="93" spans="1:7" ht="18.75" x14ac:dyDescent="0.25">
      <c r="A93" s="1186">
        <v>16</v>
      </c>
      <c r="B93" s="1187"/>
      <c r="C93" s="1188" t="s">
        <v>994</v>
      </c>
      <c r="D93" s="1081"/>
      <c r="E93" s="891">
        <v>12000</v>
      </c>
      <c r="F93" s="882"/>
      <c r="G93" s="898">
        <f t="shared" si="1"/>
        <v>0</v>
      </c>
    </row>
    <row r="94" spans="1:7" ht="18.75" x14ac:dyDescent="0.25">
      <c r="A94" s="1186">
        <v>17</v>
      </c>
      <c r="B94" s="1187"/>
      <c r="C94" s="1188" t="s">
        <v>995</v>
      </c>
      <c r="D94" s="1081"/>
      <c r="E94" s="891">
        <v>8000</v>
      </c>
      <c r="F94" s="882"/>
      <c r="G94" s="898">
        <f t="shared" si="1"/>
        <v>0</v>
      </c>
    </row>
    <row r="95" spans="1:7" ht="18.75" x14ac:dyDescent="0.25">
      <c r="A95" s="1186">
        <v>18</v>
      </c>
      <c r="B95" s="1187"/>
      <c r="C95" s="1188" t="s">
        <v>996</v>
      </c>
      <c r="D95" s="1081"/>
      <c r="E95" s="891">
        <v>10000</v>
      </c>
      <c r="F95" s="882"/>
      <c r="G95" s="898">
        <f t="shared" si="1"/>
        <v>0</v>
      </c>
    </row>
    <row r="96" spans="1:7" ht="18.75" x14ac:dyDescent="0.25">
      <c r="A96" s="1186">
        <v>19</v>
      </c>
      <c r="B96" s="1187"/>
      <c r="C96" s="1188"/>
      <c r="D96" s="1081"/>
      <c r="E96" s="891"/>
      <c r="F96" s="882"/>
      <c r="G96" s="898" t="e">
        <f t="shared" si="1"/>
        <v>#DIV/0!</v>
      </c>
    </row>
    <row r="97" spans="1:7" ht="15.75" x14ac:dyDescent="0.25">
      <c r="A97" s="899"/>
      <c r="B97" s="906"/>
      <c r="C97" s="911"/>
      <c r="D97" s="1081"/>
      <c r="E97" s="891"/>
      <c r="F97" s="882"/>
      <c r="G97" s="898" t="e">
        <f t="shared" si="1"/>
        <v>#DIV/0!</v>
      </c>
    </row>
    <row r="98" spans="1:7" ht="15.75" x14ac:dyDescent="0.25">
      <c r="A98" s="899"/>
      <c r="B98" s="906"/>
      <c r="C98" s="911"/>
      <c r="D98" s="1081"/>
      <c r="E98" s="891"/>
      <c r="F98" s="882"/>
      <c r="G98" s="898" t="e">
        <f t="shared" si="1"/>
        <v>#DIV/0!</v>
      </c>
    </row>
    <row r="99" spans="1:7" ht="15.75" x14ac:dyDescent="0.25">
      <c r="A99" s="899"/>
      <c r="B99" s="906"/>
      <c r="C99" s="911"/>
      <c r="D99" s="1081"/>
      <c r="E99" s="891"/>
      <c r="F99" s="882"/>
      <c r="G99" s="898" t="e">
        <f t="shared" si="1"/>
        <v>#DIV/0!</v>
      </c>
    </row>
    <row r="100" spans="1:7" ht="15.75" x14ac:dyDescent="0.25">
      <c r="A100" s="899"/>
      <c r="B100" s="906"/>
      <c r="C100" s="911"/>
      <c r="D100" s="1081"/>
      <c r="E100" s="891"/>
      <c r="F100" s="882"/>
      <c r="G100" s="898" t="e">
        <f t="shared" si="1"/>
        <v>#DIV/0!</v>
      </c>
    </row>
    <row r="101" spans="1:7" ht="15.75" x14ac:dyDescent="0.25">
      <c r="A101" s="899"/>
      <c r="B101" s="906"/>
      <c r="C101" s="911"/>
      <c r="D101" s="1081"/>
      <c r="E101" s="891"/>
      <c r="F101" s="882"/>
      <c r="G101" s="898" t="e">
        <f t="shared" si="1"/>
        <v>#DIV/0!</v>
      </c>
    </row>
    <row r="102" spans="1:7" ht="15.75" x14ac:dyDescent="0.25">
      <c r="A102" s="899"/>
      <c r="B102" s="906"/>
      <c r="C102" s="911"/>
      <c r="D102" s="1081"/>
      <c r="E102" s="891"/>
      <c r="F102" s="882"/>
      <c r="G102" s="898" t="e">
        <f t="shared" si="1"/>
        <v>#DIV/0!</v>
      </c>
    </row>
    <row r="103" spans="1:7" ht="15.75" x14ac:dyDescent="0.25">
      <c r="A103" s="899"/>
      <c r="B103" s="906"/>
      <c r="C103" s="911"/>
      <c r="D103" s="1081"/>
      <c r="E103" s="891"/>
      <c r="F103" s="882"/>
      <c r="G103" s="898" t="e">
        <f t="shared" si="1"/>
        <v>#DIV/0!</v>
      </c>
    </row>
    <row r="104" spans="1:7" ht="15.75" x14ac:dyDescent="0.25">
      <c r="A104" s="899"/>
      <c r="B104" s="889"/>
      <c r="C104" s="912"/>
      <c r="D104" s="1081"/>
      <c r="E104" s="891"/>
      <c r="F104" s="884"/>
      <c r="G104" s="898"/>
    </row>
    <row r="105" spans="1:7" ht="15.75" x14ac:dyDescent="0.25">
      <c r="A105" s="899"/>
      <c r="B105" s="889"/>
      <c r="C105" s="912"/>
      <c r="D105" s="1081"/>
      <c r="E105" s="891"/>
      <c r="F105" s="884"/>
      <c r="G105" s="898"/>
    </row>
    <row r="106" spans="1:7" ht="16.5" thickBot="1" x14ac:dyDescent="0.3">
      <c r="A106" s="900"/>
      <c r="B106" s="907"/>
      <c r="C106" s="913"/>
      <c r="D106" s="1082"/>
      <c r="E106" s="901"/>
      <c r="F106" s="902"/>
      <c r="G106" s="903"/>
    </row>
    <row r="108" spans="1:7" ht="34.5" customHeight="1" x14ac:dyDescent="0.25">
      <c r="B108" s="892"/>
      <c r="C108" s="892"/>
      <c r="D108" s="892"/>
    </row>
  </sheetData>
  <mergeCells count="1">
    <mergeCell ref="D2:D3"/>
  </mergeCells>
  <phoneticPr fontId="63" type="noConversion"/>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03CB0-120A-47A6-9719-DD07BED25E98}">
  <sheetPr>
    <tabColor rgb="FFC00000"/>
  </sheetPr>
  <dimension ref="A1:M34"/>
  <sheetViews>
    <sheetView topLeftCell="A6" workbookViewId="0">
      <selection activeCell="D10" sqref="D10"/>
    </sheetView>
  </sheetViews>
  <sheetFormatPr defaultColWidth="9" defaultRowHeight="12.75" x14ac:dyDescent="0.25"/>
  <cols>
    <col min="1" max="1" width="25.7109375" style="148" customWidth="1"/>
    <col min="2" max="11" width="13.7109375" style="148" customWidth="1"/>
    <col min="12" max="12" width="15.7109375" style="148" customWidth="1"/>
    <col min="13" max="13" width="12.85546875" style="148" bestFit="1" customWidth="1"/>
    <col min="14" max="256" width="9" style="148"/>
    <col min="257" max="257" width="25.7109375" style="148" customWidth="1"/>
    <col min="258" max="267" width="13.7109375" style="148" customWidth="1"/>
    <col min="268" max="268" width="15.7109375" style="148" customWidth="1"/>
    <col min="269" max="269" width="12.85546875" style="148" bestFit="1" customWidth="1"/>
    <col min="270" max="512" width="9" style="148"/>
    <col min="513" max="513" width="25.7109375" style="148" customWidth="1"/>
    <col min="514" max="523" width="13.7109375" style="148" customWidth="1"/>
    <col min="524" max="524" width="15.7109375" style="148" customWidth="1"/>
    <col min="525" max="525" width="12.85546875" style="148" bestFit="1" customWidth="1"/>
    <col min="526" max="768" width="9" style="148"/>
    <col min="769" max="769" width="25.7109375" style="148" customWidth="1"/>
    <col min="770" max="779" width="13.7109375" style="148" customWidth="1"/>
    <col min="780" max="780" width="15.7109375" style="148" customWidth="1"/>
    <col min="781" max="781" width="12.85546875" style="148" bestFit="1" customWidth="1"/>
    <col min="782" max="1024" width="9" style="148"/>
    <col min="1025" max="1025" width="25.7109375" style="148" customWidth="1"/>
    <col min="1026" max="1035" width="13.7109375" style="148" customWidth="1"/>
    <col min="1036" max="1036" width="15.7109375" style="148" customWidth="1"/>
    <col min="1037" max="1037" width="12.85546875" style="148" bestFit="1" customWidth="1"/>
    <col min="1038" max="1280" width="9" style="148"/>
    <col min="1281" max="1281" width="25.7109375" style="148" customWidth="1"/>
    <col min="1282" max="1291" width="13.7109375" style="148" customWidth="1"/>
    <col min="1292" max="1292" width="15.7109375" style="148" customWidth="1"/>
    <col min="1293" max="1293" width="12.85546875" style="148" bestFit="1" customWidth="1"/>
    <col min="1294" max="1536" width="9" style="148"/>
    <col min="1537" max="1537" width="25.7109375" style="148" customWidth="1"/>
    <col min="1538" max="1547" width="13.7109375" style="148" customWidth="1"/>
    <col min="1548" max="1548" width="15.7109375" style="148" customWidth="1"/>
    <col min="1549" max="1549" width="12.85546875" style="148" bestFit="1" customWidth="1"/>
    <col min="1550" max="1792" width="9" style="148"/>
    <col min="1793" max="1793" width="25.7109375" style="148" customWidth="1"/>
    <col min="1794" max="1803" width="13.7109375" style="148" customWidth="1"/>
    <col min="1804" max="1804" width="15.7109375" style="148" customWidth="1"/>
    <col min="1805" max="1805" width="12.85546875" style="148" bestFit="1" customWidth="1"/>
    <col min="1806" max="2048" width="9" style="148"/>
    <col min="2049" max="2049" width="25.7109375" style="148" customWidth="1"/>
    <col min="2050" max="2059" width="13.7109375" style="148" customWidth="1"/>
    <col min="2060" max="2060" width="15.7109375" style="148" customWidth="1"/>
    <col min="2061" max="2061" width="12.85546875" style="148" bestFit="1" customWidth="1"/>
    <col min="2062" max="2304" width="9" style="148"/>
    <col min="2305" max="2305" width="25.7109375" style="148" customWidth="1"/>
    <col min="2306" max="2315" width="13.7109375" style="148" customWidth="1"/>
    <col min="2316" max="2316" width="15.7109375" style="148" customWidth="1"/>
    <col min="2317" max="2317" width="12.85546875" style="148" bestFit="1" customWidth="1"/>
    <col min="2318" max="2560" width="9" style="148"/>
    <col min="2561" max="2561" width="25.7109375" style="148" customWidth="1"/>
    <col min="2562" max="2571" width="13.7109375" style="148" customWidth="1"/>
    <col min="2572" max="2572" width="15.7109375" style="148" customWidth="1"/>
    <col min="2573" max="2573" width="12.85546875" style="148" bestFit="1" customWidth="1"/>
    <col min="2574" max="2816" width="9" style="148"/>
    <col min="2817" max="2817" width="25.7109375" style="148" customWidth="1"/>
    <col min="2818" max="2827" width="13.7109375" style="148" customWidth="1"/>
    <col min="2828" max="2828" width="15.7109375" style="148" customWidth="1"/>
    <col min="2829" max="2829" width="12.85546875" style="148" bestFit="1" customWidth="1"/>
    <col min="2830" max="3072" width="9" style="148"/>
    <col min="3073" max="3073" width="25.7109375" style="148" customWidth="1"/>
    <col min="3074" max="3083" width="13.7109375" style="148" customWidth="1"/>
    <col min="3084" max="3084" width="15.7109375" style="148" customWidth="1"/>
    <col min="3085" max="3085" width="12.85546875" style="148" bestFit="1" customWidth="1"/>
    <col min="3086" max="3328" width="9" style="148"/>
    <col min="3329" max="3329" width="25.7109375" style="148" customWidth="1"/>
    <col min="3330" max="3339" width="13.7109375" style="148" customWidth="1"/>
    <col min="3340" max="3340" width="15.7109375" style="148" customWidth="1"/>
    <col min="3341" max="3341" width="12.85546875" style="148" bestFit="1" customWidth="1"/>
    <col min="3342" max="3584" width="9" style="148"/>
    <col min="3585" max="3585" width="25.7109375" style="148" customWidth="1"/>
    <col min="3586" max="3595" width="13.7109375" style="148" customWidth="1"/>
    <col min="3596" max="3596" width="15.7109375" style="148" customWidth="1"/>
    <col min="3597" max="3597" width="12.85546875" style="148" bestFit="1" customWidth="1"/>
    <col min="3598" max="3840" width="9" style="148"/>
    <col min="3841" max="3841" width="25.7109375" style="148" customWidth="1"/>
    <col min="3842" max="3851" width="13.7109375" style="148" customWidth="1"/>
    <col min="3852" max="3852" width="15.7109375" style="148" customWidth="1"/>
    <col min="3853" max="3853" width="12.85546875" style="148" bestFit="1" customWidth="1"/>
    <col min="3854" max="4096" width="9" style="148"/>
    <col min="4097" max="4097" width="25.7109375" style="148" customWidth="1"/>
    <col min="4098" max="4107" width="13.7109375" style="148" customWidth="1"/>
    <col min="4108" max="4108" width="15.7109375" style="148" customWidth="1"/>
    <col min="4109" max="4109" width="12.85546875" style="148" bestFit="1" customWidth="1"/>
    <col min="4110" max="4352" width="9" style="148"/>
    <col min="4353" max="4353" width="25.7109375" style="148" customWidth="1"/>
    <col min="4354" max="4363" width="13.7109375" style="148" customWidth="1"/>
    <col min="4364" max="4364" width="15.7109375" style="148" customWidth="1"/>
    <col min="4365" max="4365" width="12.85546875" style="148" bestFit="1" customWidth="1"/>
    <col min="4366" max="4608" width="9" style="148"/>
    <col min="4609" max="4609" width="25.7109375" style="148" customWidth="1"/>
    <col min="4610" max="4619" width="13.7109375" style="148" customWidth="1"/>
    <col min="4620" max="4620" width="15.7109375" style="148" customWidth="1"/>
    <col min="4621" max="4621" width="12.85546875" style="148" bestFit="1" customWidth="1"/>
    <col min="4622" max="4864" width="9" style="148"/>
    <col min="4865" max="4865" width="25.7109375" style="148" customWidth="1"/>
    <col min="4866" max="4875" width="13.7109375" style="148" customWidth="1"/>
    <col min="4876" max="4876" width="15.7109375" style="148" customWidth="1"/>
    <col min="4877" max="4877" width="12.85546875" style="148" bestFit="1" customWidth="1"/>
    <col min="4878" max="5120" width="9" style="148"/>
    <col min="5121" max="5121" width="25.7109375" style="148" customWidth="1"/>
    <col min="5122" max="5131" width="13.7109375" style="148" customWidth="1"/>
    <col min="5132" max="5132" width="15.7109375" style="148" customWidth="1"/>
    <col min="5133" max="5133" width="12.85546875" style="148" bestFit="1" customWidth="1"/>
    <col min="5134" max="5376" width="9" style="148"/>
    <col min="5377" max="5377" width="25.7109375" style="148" customWidth="1"/>
    <col min="5378" max="5387" width="13.7109375" style="148" customWidth="1"/>
    <col min="5388" max="5388" width="15.7109375" style="148" customWidth="1"/>
    <col min="5389" max="5389" width="12.85546875" style="148" bestFit="1" customWidth="1"/>
    <col min="5390" max="5632" width="9" style="148"/>
    <col min="5633" max="5633" width="25.7109375" style="148" customWidth="1"/>
    <col min="5634" max="5643" width="13.7109375" style="148" customWidth="1"/>
    <col min="5644" max="5644" width="15.7109375" style="148" customWidth="1"/>
    <col min="5645" max="5645" width="12.85546875" style="148" bestFit="1" customWidth="1"/>
    <col min="5646" max="5888" width="9" style="148"/>
    <col min="5889" max="5889" width="25.7109375" style="148" customWidth="1"/>
    <col min="5890" max="5899" width="13.7109375" style="148" customWidth="1"/>
    <col min="5900" max="5900" width="15.7109375" style="148" customWidth="1"/>
    <col min="5901" max="5901" width="12.85546875" style="148" bestFit="1" customWidth="1"/>
    <col min="5902" max="6144" width="9" style="148"/>
    <col min="6145" max="6145" width="25.7109375" style="148" customWidth="1"/>
    <col min="6146" max="6155" width="13.7109375" style="148" customWidth="1"/>
    <col min="6156" max="6156" width="15.7109375" style="148" customWidth="1"/>
    <col min="6157" max="6157" width="12.85546875" style="148" bestFit="1" customWidth="1"/>
    <col min="6158" max="6400" width="9" style="148"/>
    <col min="6401" max="6401" width="25.7109375" style="148" customWidth="1"/>
    <col min="6402" max="6411" width="13.7109375" style="148" customWidth="1"/>
    <col min="6412" max="6412" width="15.7109375" style="148" customWidth="1"/>
    <col min="6413" max="6413" width="12.85546875" style="148" bestFit="1" customWidth="1"/>
    <col min="6414" max="6656" width="9" style="148"/>
    <col min="6657" max="6657" width="25.7109375" style="148" customWidth="1"/>
    <col min="6658" max="6667" width="13.7109375" style="148" customWidth="1"/>
    <col min="6668" max="6668" width="15.7109375" style="148" customWidth="1"/>
    <col min="6669" max="6669" width="12.85546875" style="148" bestFit="1" customWidth="1"/>
    <col min="6670" max="6912" width="9" style="148"/>
    <col min="6913" max="6913" width="25.7109375" style="148" customWidth="1"/>
    <col min="6914" max="6923" width="13.7109375" style="148" customWidth="1"/>
    <col min="6924" max="6924" width="15.7109375" style="148" customWidth="1"/>
    <col min="6925" max="6925" width="12.85546875" style="148" bestFit="1" customWidth="1"/>
    <col min="6926" max="7168" width="9" style="148"/>
    <col min="7169" max="7169" width="25.7109375" style="148" customWidth="1"/>
    <col min="7170" max="7179" width="13.7109375" style="148" customWidth="1"/>
    <col min="7180" max="7180" width="15.7109375" style="148" customWidth="1"/>
    <col min="7181" max="7181" width="12.85546875" style="148" bestFit="1" customWidth="1"/>
    <col min="7182" max="7424" width="9" style="148"/>
    <col min="7425" max="7425" width="25.7109375" style="148" customWidth="1"/>
    <col min="7426" max="7435" width="13.7109375" style="148" customWidth="1"/>
    <col min="7436" max="7436" width="15.7109375" style="148" customWidth="1"/>
    <col min="7437" max="7437" width="12.85546875" style="148" bestFit="1" customWidth="1"/>
    <col min="7438" max="7680" width="9" style="148"/>
    <col min="7681" max="7681" width="25.7109375" style="148" customWidth="1"/>
    <col min="7682" max="7691" width="13.7109375" style="148" customWidth="1"/>
    <col min="7692" max="7692" width="15.7109375" style="148" customWidth="1"/>
    <col min="7693" max="7693" width="12.85546875" style="148" bestFit="1" customWidth="1"/>
    <col min="7694" max="7936" width="9" style="148"/>
    <col min="7937" max="7937" width="25.7109375" style="148" customWidth="1"/>
    <col min="7938" max="7947" width="13.7109375" style="148" customWidth="1"/>
    <col min="7948" max="7948" width="15.7109375" style="148" customWidth="1"/>
    <col min="7949" max="7949" width="12.85546875" style="148" bestFit="1" customWidth="1"/>
    <col min="7950" max="8192" width="9" style="148"/>
    <col min="8193" max="8193" width="25.7109375" style="148" customWidth="1"/>
    <col min="8194" max="8203" width="13.7109375" style="148" customWidth="1"/>
    <col min="8204" max="8204" width="15.7109375" style="148" customWidth="1"/>
    <col min="8205" max="8205" width="12.85546875" style="148" bestFit="1" customWidth="1"/>
    <col min="8206" max="8448" width="9" style="148"/>
    <col min="8449" max="8449" width="25.7109375" style="148" customWidth="1"/>
    <col min="8450" max="8459" width="13.7109375" style="148" customWidth="1"/>
    <col min="8460" max="8460" width="15.7109375" style="148" customWidth="1"/>
    <col min="8461" max="8461" width="12.85546875" style="148" bestFit="1" customWidth="1"/>
    <col min="8462" max="8704" width="9" style="148"/>
    <col min="8705" max="8705" width="25.7109375" style="148" customWidth="1"/>
    <col min="8706" max="8715" width="13.7109375" style="148" customWidth="1"/>
    <col min="8716" max="8716" width="15.7109375" style="148" customWidth="1"/>
    <col min="8717" max="8717" width="12.85546875" style="148" bestFit="1" customWidth="1"/>
    <col min="8718" max="8960" width="9" style="148"/>
    <col min="8961" max="8961" width="25.7109375" style="148" customWidth="1"/>
    <col min="8962" max="8971" width="13.7109375" style="148" customWidth="1"/>
    <col min="8972" max="8972" width="15.7109375" style="148" customWidth="1"/>
    <col min="8973" max="8973" width="12.85546875" style="148" bestFit="1" customWidth="1"/>
    <col min="8974" max="9216" width="9" style="148"/>
    <col min="9217" max="9217" width="25.7109375" style="148" customWidth="1"/>
    <col min="9218" max="9227" width="13.7109375" style="148" customWidth="1"/>
    <col min="9228" max="9228" width="15.7109375" style="148" customWidth="1"/>
    <col min="9229" max="9229" width="12.85546875" style="148" bestFit="1" customWidth="1"/>
    <col min="9230" max="9472" width="9" style="148"/>
    <col min="9473" max="9473" width="25.7109375" style="148" customWidth="1"/>
    <col min="9474" max="9483" width="13.7109375" style="148" customWidth="1"/>
    <col min="9484" max="9484" width="15.7109375" style="148" customWidth="1"/>
    <col min="9485" max="9485" width="12.85546875" style="148" bestFit="1" customWidth="1"/>
    <col min="9486" max="9728" width="9" style="148"/>
    <col min="9729" max="9729" width="25.7109375" style="148" customWidth="1"/>
    <col min="9730" max="9739" width="13.7109375" style="148" customWidth="1"/>
    <col min="9740" max="9740" width="15.7109375" style="148" customWidth="1"/>
    <col min="9741" max="9741" width="12.85546875" style="148" bestFit="1" customWidth="1"/>
    <col min="9742" max="9984" width="9" style="148"/>
    <col min="9985" max="9985" width="25.7109375" style="148" customWidth="1"/>
    <col min="9986" max="9995" width="13.7109375" style="148" customWidth="1"/>
    <col min="9996" max="9996" width="15.7109375" style="148" customWidth="1"/>
    <col min="9997" max="9997" width="12.85546875" style="148" bestFit="1" customWidth="1"/>
    <col min="9998" max="10240" width="9" style="148"/>
    <col min="10241" max="10241" width="25.7109375" style="148" customWidth="1"/>
    <col min="10242" max="10251" width="13.7109375" style="148" customWidth="1"/>
    <col min="10252" max="10252" width="15.7109375" style="148" customWidth="1"/>
    <col min="10253" max="10253" width="12.85546875" style="148" bestFit="1" customWidth="1"/>
    <col min="10254" max="10496" width="9" style="148"/>
    <col min="10497" max="10497" width="25.7109375" style="148" customWidth="1"/>
    <col min="10498" max="10507" width="13.7109375" style="148" customWidth="1"/>
    <col min="10508" max="10508" width="15.7109375" style="148" customWidth="1"/>
    <col min="10509" max="10509" width="12.85546875" style="148" bestFit="1" customWidth="1"/>
    <col min="10510" max="10752" width="9" style="148"/>
    <col min="10753" max="10753" width="25.7109375" style="148" customWidth="1"/>
    <col min="10754" max="10763" width="13.7109375" style="148" customWidth="1"/>
    <col min="10764" max="10764" width="15.7109375" style="148" customWidth="1"/>
    <col min="10765" max="10765" width="12.85546875" style="148" bestFit="1" customWidth="1"/>
    <col min="10766" max="11008" width="9" style="148"/>
    <col min="11009" max="11009" width="25.7109375" style="148" customWidth="1"/>
    <col min="11010" max="11019" width="13.7109375" style="148" customWidth="1"/>
    <col min="11020" max="11020" width="15.7109375" style="148" customWidth="1"/>
    <col min="11021" max="11021" width="12.85546875" style="148" bestFit="1" customWidth="1"/>
    <col min="11022" max="11264" width="9" style="148"/>
    <col min="11265" max="11265" width="25.7109375" style="148" customWidth="1"/>
    <col min="11266" max="11275" width="13.7109375" style="148" customWidth="1"/>
    <col min="11276" max="11276" width="15.7109375" style="148" customWidth="1"/>
    <col min="11277" max="11277" width="12.85546875" style="148" bestFit="1" customWidth="1"/>
    <col min="11278" max="11520" width="9" style="148"/>
    <col min="11521" max="11521" width="25.7109375" style="148" customWidth="1"/>
    <col min="11522" max="11531" width="13.7109375" style="148" customWidth="1"/>
    <col min="11532" max="11532" width="15.7109375" style="148" customWidth="1"/>
    <col min="11533" max="11533" width="12.85546875" style="148" bestFit="1" customWidth="1"/>
    <col min="11534" max="11776" width="9" style="148"/>
    <col min="11777" max="11777" width="25.7109375" style="148" customWidth="1"/>
    <col min="11778" max="11787" width="13.7109375" style="148" customWidth="1"/>
    <col min="11788" max="11788" width="15.7109375" style="148" customWidth="1"/>
    <col min="11789" max="11789" width="12.85546875" style="148" bestFit="1" customWidth="1"/>
    <col min="11790" max="12032" width="9" style="148"/>
    <col min="12033" max="12033" width="25.7109375" style="148" customWidth="1"/>
    <col min="12034" max="12043" width="13.7109375" style="148" customWidth="1"/>
    <col min="12044" max="12044" width="15.7109375" style="148" customWidth="1"/>
    <col min="12045" max="12045" width="12.85546875" style="148" bestFit="1" customWidth="1"/>
    <col min="12046" max="12288" width="9" style="148"/>
    <col min="12289" max="12289" width="25.7109375" style="148" customWidth="1"/>
    <col min="12290" max="12299" width="13.7109375" style="148" customWidth="1"/>
    <col min="12300" max="12300" width="15.7109375" style="148" customWidth="1"/>
    <col min="12301" max="12301" width="12.85546875" style="148" bestFit="1" customWidth="1"/>
    <col min="12302" max="12544" width="9" style="148"/>
    <col min="12545" max="12545" width="25.7109375" style="148" customWidth="1"/>
    <col min="12546" max="12555" width="13.7109375" style="148" customWidth="1"/>
    <col min="12556" max="12556" width="15.7109375" style="148" customWidth="1"/>
    <col min="12557" max="12557" width="12.85546875" style="148" bestFit="1" customWidth="1"/>
    <col min="12558" max="12800" width="9" style="148"/>
    <col min="12801" max="12801" width="25.7109375" style="148" customWidth="1"/>
    <col min="12802" max="12811" width="13.7109375" style="148" customWidth="1"/>
    <col min="12812" max="12812" width="15.7109375" style="148" customWidth="1"/>
    <col min="12813" max="12813" width="12.85546875" style="148" bestFit="1" customWidth="1"/>
    <col min="12814" max="13056" width="9" style="148"/>
    <col min="13057" max="13057" width="25.7109375" style="148" customWidth="1"/>
    <col min="13058" max="13067" width="13.7109375" style="148" customWidth="1"/>
    <col min="13068" max="13068" width="15.7109375" style="148" customWidth="1"/>
    <col min="13069" max="13069" width="12.85546875" style="148" bestFit="1" customWidth="1"/>
    <col min="13070" max="13312" width="9" style="148"/>
    <col min="13313" max="13313" width="25.7109375" style="148" customWidth="1"/>
    <col min="13314" max="13323" width="13.7109375" style="148" customWidth="1"/>
    <col min="13324" max="13324" width="15.7109375" style="148" customWidth="1"/>
    <col min="13325" max="13325" width="12.85546875" style="148" bestFit="1" customWidth="1"/>
    <col min="13326" max="13568" width="9" style="148"/>
    <col min="13569" max="13569" width="25.7109375" style="148" customWidth="1"/>
    <col min="13570" max="13579" width="13.7109375" style="148" customWidth="1"/>
    <col min="13580" max="13580" width="15.7109375" style="148" customWidth="1"/>
    <col min="13581" max="13581" width="12.85546875" style="148" bestFit="1" customWidth="1"/>
    <col min="13582" max="13824" width="9" style="148"/>
    <col min="13825" max="13825" width="25.7109375" style="148" customWidth="1"/>
    <col min="13826" max="13835" width="13.7109375" style="148" customWidth="1"/>
    <col min="13836" max="13836" width="15.7109375" style="148" customWidth="1"/>
    <col min="13837" max="13837" width="12.85546875" style="148" bestFit="1" customWidth="1"/>
    <col min="13838" max="14080" width="9" style="148"/>
    <col min="14081" max="14081" width="25.7109375" style="148" customWidth="1"/>
    <col min="14082" max="14091" width="13.7109375" style="148" customWidth="1"/>
    <col min="14092" max="14092" width="15.7109375" style="148" customWidth="1"/>
    <col min="14093" max="14093" width="12.85546875" style="148" bestFit="1" customWidth="1"/>
    <col min="14094" max="14336" width="9" style="148"/>
    <col min="14337" max="14337" width="25.7109375" style="148" customWidth="1"/>
    <col min="14338" max="14347" width="13.7109375" style="148" customWidth="1"/>
    <col min="14348" max="14348" width="15.7109375" style="148" customWidth="1"/>
    <col min="14349" max="14349" width="12.85546875" style="148" bestFit="1" customWidth="1"/>
    <col min="14350" max="14592" width="9" style="148"/>
    <col min="14593" max="14593" width="25.7109375" style="148" customWidth="1"/>
    <col min="14594" max="14603" width="13.7109375" style="148" customWidth="1"/>
    <col min="14604" max="14604" width="15.7109375" style="148" customWidth="1"/>
    <col min="14605" max="14605" width="12.85546875" style="148" bestFit="1" customWidth="1"/>
    <col min="14606" max="14848" width="9" style="148"/>
    <col min="14849" max="14849" width="25.7109375" style="148" customWidth="1"/>
    <col min="14850" max="14859" width="13.7109375" style="148" customWidth="1"/>
    <col min="14860" max="14860" width="15.7109375" style="148" customWidth="1"/>
    <col min="14861" max="14861" width="12.85546875" style="148" bestFit="1" customWidth="1"/>
    <col min="14862" max="15104" width="9" style="148"/>
    <col min="15105" max="15105" width="25.7109375" style="148" customWidth="1"/>
    <col min="15106" max="15115" width="13.7109375" style="148" customWidth="1"/>
    <col min="15116" max="15116" width="15.7109375" style="148" customWidth="1"/>
    <col min="15117" max="15117" width="12.85546875" style="148" bestFit="1" customWidth="1"/>
    <col min="15118" max="15360" width="9" style="148"/>
    <col min="15361" max="15361" width="25.7109375" style="148" customWidth="1"/>
    <col min="15362" max="15371" width="13.7109375" style="148" customWidth="1"/>
    <col min="15372" max="15372" width="15.7109375" style="148" customWidth="1"/>
    <col min="15373" max="15373" width="12.85546875" style="148" bestFit="1" customWidth="1"/>
    <col min="15374" max="15616" width="9" style="148"/>
    <col min="15617" max="15617" width="25.7109375" style="148" customWidth="1"/>
    <col min="15618" max="15627" width="13.7109375" style="148" customWidth="1"/>
    <col min="15628" max="15628" width="15.7109375" style="148" customWidth="1"/>
    <col min="15629" max="15629" width="12.85546875" style="148" bestFit="1" customWidth="1"/>
    <col min="15630" max="15872" width="9" style="148"/>
    <col min="15873" max="15873" width="25.7109375" style="148" customWidth="1"/>
    <col min="15874" max="15883" width="13.7109375" style="148" customWidth="1"/>
    <col min="15884" max="15884" width="15.7109375" style="148" customWidth="1"/>
    <col min="15885" max="15885" width="12.85546875" style="148" bestFit="1" customWidth="1"/>
    <col min="15886" max="16128" width="9" style="148"/>
    <col min="16129" max="16129" width="25.7109375" style="148" customWidth="1"/>
    <col min="16130" max="16139" width="13.7109375" style="148" customWidth="1"/>
    <col min="16140" max="16140" width="15.7109375" style="148" customWidth="1"/>
    <col min="16141" max="16141" width="12.85546875" style="148" bestFit="1" customWidth="1"/>
    <col min="16142" max="16384" width="9" style="148"/>
  </cols>
  <sheetData>
    <row r="1" spans="1:12" ht="15" x14ac:dyDescent="0.25">
      <c r="A1" s="572" t="s">
        <v>112</v>
      </c>
      <c r="B1" s="572"/>
      <c r="C1" s="572"/>
      <c r="D1" s="572"/>
      <c r="E1" s="572"/>
      <c r="F1" s="572"/>
      <c r="G1" s="572"/>
      <c r="H1" s="572"/>
      <c r="I1" s="572"/>
      <c r="J1" s="572"/>
      <c r="K1" s="572"/>
      <c r="L1" s="572"/>
    </row>
    <row r="2" spans="1:12" ht="26.25" x14ac:dyDescent="0.4">
      <c r="A2" s="1507" t="s">
        <v>579</v>
      </c>
      <c r="B2" s="1507"/>
      <c r="C2" s="1507"/>
      <c r="D2" s="1507"/>
      <c r="E2" s="1507"/>
      <c r="F2" s="1507"/>
      <c r="G2" s="1507"/>
      <c r="H2" s="1507"/>
      <c r="I2" s="1507"/>
      <c r="J2" s="1507"/>
      <c r="K2" s="1507"/>
      <c r="L2" s="1507"/>
    </row>
    <row r="3" spans="1:12" ht="15" x14ac:dyDescent="0.25">
      <c r="A3" s="572"/>
      <c r="B3" s="572"/>
      <c r="C3" s="572"/>
      <c r="D3" s="572"/>
      <c r="E3" s="572"/>
      <c r="F3" s="572"/>
      <c r="G3" s="572"/>
      <c r="H3" s="572"/>
      <c r="I3" s="572"/>
      <c r="J3" s="572" t="s">
        <v>580</v>
      </c>
      <c r="K3" s="840" t="str">
        <f>LPKK!Q4</f>
        <v>SC MARABAHAN</v>
      </c>
    </row>
    <row r="4" spans="1:12" ht="15" x14ac:dyDescent="0.25">
      <c r="A4" s="572"/>
      <c r="B4" s="572"/>
      <c r="C4" s="572"/>
      <c r="D4" s="572"/>
      <c r="E4" s="572"/>
      <c r="F4" s="572"/>
      <c r="G4" s="572"/>
      <c r="H4" s="572"/>
      <c r="I4" s="572"/>
      <c r="J4" s="841" t="s">
        <v>581</v>
      </c>
      <c r="K4" s="840" t="str">
        <f>LPKK!Q5</f>
        <v>1-7 JULI 2026</v>
      </c>
    </row>
    <row r="5" spans="1:12" ht="15" x14ac:dyDescent="0.25">
      <c r="A5" s="572"/>
      <c r="B5" s="572"/>
      <c r="C5" s="572"/>
      <c r="D5" s="572"/>
      <c r="E5" s="572"/>
      <c r="F5" s="572"/>
      <c r="G5" s="572"/>
      <c r="H5" s="572"/>
      <c r="I5" s="572"/>
      <c r="J5" s="572"/>
      <c r="K5" s="572"/>
      <c r="L5" s="572"/>
    </row>
    <row r="6" spans="1:12" ht="15.75" thickBot="1" x14ac:dyDescent="0.3">
      <c r="A6" s="572"/>
      <c r="B6" s="572"/>
      <c r="C6" s="572"/>
      <c r="D6" s="572"/>
      <c r="E6" s="572"/>
      <c r="F6" s="572"/>
      <c r="G6" s="572"/>
      <c r="H6" s="572"/>
      <c r="I6" s="572"/>
      <c r="J6" s="572"/>
      <c r="K6" s="572"/>
      <c r="L6" s="572"/>
    </row>
    <row r="7" spans="1:12" ht="15" customHeight="1" x14ac:dyDescent="0.2">
      <c r="A7" s="1508" t="s">
        <v>548</v>
      </c>
      <c r="B7" s="842" t="s">
        <v>1039</v>
      </c>
      <c r="C7" s="842" t="str">
        <f>'LAPORAN KAS PERIODE'!E6</f>
        <v>2-Juli-2026</v>
      </c>
      <c r="D7" s="842" t="str">
        <f>'LAPORAN KAS PERIODE'!F6</f>
        <v>3-Juli-2026</v>
      </c>
      <c r="E7" s="842" t="str">
        <f>'LAPORAN KAS PERIODE'!G6</f>
        <v>4-Juli-2026</v>
      </c>
      <c r="F7" s="842" t="str">
        <f>'LAPORAN KAS PERIODE'!H6</f>
        <v>5-Juli-2026</v>
      </c>
      <c r="G7" s="842" t="str">
        <f>'LAPORAN KAS PERIODE'!I6</f>
        <v>6-Juli-2026</v>
      </c>
      <c r="H7" s="842" t="str">
        <f>'LAPORAN KAS PERIODE'!J6</f>
        <v>7-Juli-2026</v>
      </c>
      <c r="I7" s="842">
        <f>'LAPORAN KAS PERIODE'!K6</f>
        <v>0</v>
      </c>
      <c r="J7" s="842">
        <f>'LAPORAN KAS PERIODE'!L6</f>
        <v>0</v>
      </c>
      <c r="K7" s="842">
        <f>'LAPORAN KAS PERIODE'!M6</f>
        <v>0</v>
      </c>
      <c r="L7" s="1510" t="s">
        <v>10</v>
      </c>
    </row>
    <row r="8" spans="1:12" ht="15" customHeight="1" thickBot="1" x14ac:dyDescent="0.25">
      <c r="A8" s="1509"/>
      <c r="B8" s="843" t="str">
        <f>'LAPORAN KAS PERIODE'!D7</f>
        <v>Rabu</v>
      </c>
      <c r="C8" s="843" t="str">
        <f>'LAPORAN KAS PERIODE'!E7</f>
        <v>Kamis</v>
      </c>
      <c r="D8" s="843" t="str">
        <f>'LAPORAN KAS PERIODE'!F7</f>
        <v>Jum`at</v>
      </c>
      <c r="E8" s="843" t="str">
        <f>'LAPORAN KAS PERIODE'!G7</f>
        <v>Sabtu</v>
      </c>
      <c r="F8" s="843" t="str">
        <f>'LAPORAN KAS PERIODE'!H7</f>
        <v>Minggu</v>
      </c>
      <c r="G8" s="843" t="str">
        <f>'LAPORAN KAS PERIODE'!I7</f>
        <v>Senin</v>
      </c>
      <c r="H8" s="843" t="str">
        <f>'LAPORAN KAS PERIODE'!J7</f>
        <v>Selasa</v>
      </c>
      <c r="I8" s="843">
        <f>'LAPORAN KAS PERIODE'!K7</f>
        <v>0</v>
      </c>
      <c r="J8" s="843">
        <f>'LAPORAN KAS PERIODE'!L7</f>
        <v>0</v>
      </c>
      <c r="K8" s="843">
        <f>'LAPORAN KAS PERIODE'!M7</f>
        <v>0</v>
      </c>
      <c r="L8" s="1511"/>
    </row>
    <row r="9" spans="1:12" ht="15" x14ac:dyDescent="0.25">
      <c r="A9" s="844" t="s">
        <v>28</v>
      </c>
      <c r="B9" s="845">
        <v>1</v>
      </c>
      <c r="C9" s="846">
        <v>2</v>
      </c>
      <c r="D9" s="846">
        <v>1</v>
      </c>
      <c r="E9" s="847"/>
      <c r="F9" s="847">
        <v>1</v>
      </c>
      <c r="G9" s="847">
        <v>1</v>
      </c>
      <c r="H9" s="847">
        <v>1</v>
      </c>
      <c r="I9" s="847"/>
      <c r="J9" s="847"/>
      <c r="K9" s="847"/>
      <c r="L9" s="848">
        <f>SUM(B9:K9)</f>
        <v>7</v>
      </c>
    </row>
    <row r="10" spans="1:12" ht="15" x14ac:dyDescent="0.25">
      <c r="A10" s="849" t="s">
        <v>29</v>
      </c>
      <c r="B10" s="850">
        <v>1</v>
      </c>
      <c r="C10" s="851"/>
      <c r="D10" s="851">
        <v>1</v>
      </c>
      <c r="E10" s="852">
        <v>1</v>
      </c>
      <c r="F10" s="852"/>
      <c r="G10" s="852">
        <v>1</v>
      </c>
      <c r="H10" s="852">
        <v>1</v>
      </c>
      <c r="I10" s="852"/>
      <c r="J10" s="852"/>
      <c r="K10" s="852"/>
      <c r="L10" s="853">
        <f t="shared" ref="L10:L25" si="0">SUM(B10:K10)</f>
        <v>5</v>
      </c>
    </row>
    <row r="11" spans="1:12" ht="15" x14ac:dyDescent="0.25">
      <c r="A11" s="849" t="s">
        <v>30</v>
      </c>
      <c r="B11" s="850"/>
      <c r="C11" s="851"/>
      <c r="D11" s="851"/>
      <c r="E11" s="852"/>
      <c r="F11" s="852">
        <v>1</v>
      </c>
      <c r="G11" s="852"/>
      <c r="H11" s="852">
        <v>2</v>
      </c>
      <c r="I11" s="852"/>
      <c r="J11" s="852"/>
      <c r="K11" s="852"/>
      <c r="L11" s="853">
        <f t="shared" si="0"/>
        <v>3</v>
      </c>
    </row>
    <row r="12" spans="1:12" ht="15" x14ac:dyDescent="0.25">
      <c r="A12" s="849" t="s">
        <v>31</v>
      </c>
      <c r="B12" s="850"/>
      <c r="C12" s="851"/>
      <c r="D12" s="851"/>
      <c r="E12" s="852">
        <v>1</v>
      </c>
      <c r="F12" s="852"/>
      <c r="G12" s="852">
        <v>1</v>
      </c>
      <c r="H12" s="852"/>
      <c r="I12" s="852"/>
      <c r="J12" s="852"/>
      <c r="K12" s="852"/>
      <c r="L12" s="853">
        <f t="shared" si="0"/>
        <v>2</v>
      </c>
    </row>
    <row r="13" spans="1:12" ht="15" x14ac:dyDescent="0.25">
      <c r="A13" s="849" t="s">
        <v>582</v>
      </c>
      <c r="B13" s="850"/>
      <c r="C13" s="851"/>
      <c r="D13" s="851"/>
      <c r="E13" s="852"/>
      <c r="F13" s="852"/>
      <c r="G13" s="852"/>
      <c r="H13" s="852"/>
      <c r="I13" s="852"/>
      <c r="J13" s="852"/>
      <c r="K13" s="852"/>
      <c r="L13" s="854">
        <f>SUM(B13:K13)/5</f>
        <v>0</v>
      </c>
    </row>
    <row r="14" spans="1:12" ht="15" x14ac:dyDescent="0.25">
      <c r="A14" s="849" t="s">
        <v>219</v>
      </c>
      <c r="B14" s="850"/>
      <c r="C14" s="851"/>
      <c r="D14" s="851"/>
      <c r="E14" s="852"/>
      <c r="F14" s="852"/>
      <c r="G14" s="852"/>
      <c r="H14" s="852"/>
      <c r="I14" s="852"/>
      <c r="J14" s="852"/>
      <c r="K14" s="852"/>
      <c r="L14" s="853">
        <f t="shared" si="0"/>
        <v>0</v>
      </c>
    </row>
    <row r="15" spans="1:12" ht="15" x14ac:dyDescent="0.25">
      <c r="A15" s="849" t="s">
        <v>583</v>
      </c>
      <c r="B15" s="850"/>
      <c r="C15" s="851"/>
      <c r="D15" s="851"/>
      <c r="E15" s="852"/>
      <c r="F15" s="852"/>
      <c r="G15" s="852"/>
      <c r="H15" s="852"/>
      <c r="I15" s="852"/>
      <c r="J15" s="852"/>
      <c r="K15" s="852"/>
      <c r="L15" s="853">
        <f>SUM(B15:K15)/2</f>
        <v>0</v>
      </c>
    </row>
    <row r="16" spans="1:12" ht="15" x14ac:dyDescent="0.25">
      <c r="A16" s="849" t="s">
        <v>229</v>
      </c>
      <c r="B16" s="850">
        <v>2</v>
      </c>
      <c r="C16" s="851"/>
      <c r="D16" s="851">
        <v>1</v>
      </c>
      <c r="E16" s="852"/>
      <c r="F16" s="852"/>
      <c r="G16" s="852">
        <v>1</v>
      </c>
      <c r="H16" s="852"/>
      <c r="I16" s="852"/>
      <c r="J16" s="852"/>
      <c r="K16" s="852"/>
      <c r="L16" s="853">
        <f t="shared" si="0"/>
        <v>4</v>
      </c>
    </row>
    <row r="17" spans="1:13" ht="15" x14ac:dyDescent="0.25">
      <c r="A17" s="849" t="s">
        <v>226</v>
      </c>
      <c r="B17" s="855"/>
      <c r="C17" s="851">
        <v>1</v>
      </c>
      <c r="D17" s="851"/>
      <c r="E17" s="856"/>
      <c r="F17" s="856"/>
      <c r="G17" s="856"/>
      <c r="H17" s="852"/>
      <c r="I17" s="852"/>
      <c r="J17" s="852"/>
      <c r="K17" s="852"/>
      <c r="L17" s="853">
        <f>SUM(B17:K17)/10</f>
        <v>0.1</v>
      </c>
    </row>
    <row r="18" spans="1:13" ht="15" x14ac:dyDescent="0.25">
      <c r="A18" s="849" t="s">
        <v>52</v>
      </c>
      <c r="B18" s="850" t="s">
        <v>1050</v>
      </c>
      <c r="C18" s="851"/>
      <c r="D18" s="851"/>
      <c r="E18" s="852"/>
      <c r="F18" s="852"/>
      <c r="G18" s="852"/>
      <c r="H18" s="857"/>
      <c r="I18" s="857"/>
      <c r="J18" s="857"/>
      <c r="K18" s="857"/>
      <c r="L18" s="853">
        <f t="shared" si="0"/>
        <v>0</v>
      </c>
    </row>
    <row r="19" spans="1:13" ht="15" x14ac:dyDescent="0.25">
      <c r="A19" s="849" t="s">
        <v>227</v>
      </c>
      <c r="B19" s="850"/>
      <c r="C19" s="852"/>
      <c r="D19" s="852"/>
      <c r="E19" s="852"/>
      <c r="F19" s="852"/>
      <c r="G19" s="852"/>
      <c r="H19" s="852"/>
      <c r="I19" s="852"/>
      <c r="J19" s="852"/>
      <c r="K19" s="852"/>
      <c r="L19" s="853">
        <f t="shared" si="0"/>
        <v>0</v>
      </c>
      <c r="M19" s="215"/>
    </row>
    <row r="20" spans="1:13" ht="15" x14ac:dyDescent="0.25">
      <c r="A20" s="849" t="s">
        <v>584</v>
      </c>
      <c r="B20" s="850"/>
      <c r="C20" s="852"/>
      <c r="D20" s="852"/>
      <c r="E20" s="852"/>
      <c r="F20" s="852"/>
      <c r="G20" s="852"/>
      <c r="H20" s="852"/>
      <c r="I20" s="852"/>
      <c r="J20" s="852"/>
      <c r="K20" s="852"/>
      <c r="L20" s="853">
        <f t="shared" si="0"/>
        <v>0</v>
      </c>
    </row>
    <row r="21" spans="1:13" ht="15" x14ac:dyDescent="0.25">
      <c r="A21" s="849" t="s">
        <v>585</v>
      </c>
      <c r="B21" s="850"/>
      <c r="C21" s="852"/>
      <c r="D21" s="852"/>
      <c r="E21" s="852"/>
      <c r="F21" s="852"/>
      <c r="G21" s="852"/>
      <c r="H21" s="852"/>
      <c r="I21" s="852"/>
      <c r="J21" s="852"/>
      <c r="K21" s="852"/>
      <c r="L21" s="853">
        <f t="shared" si="0"/>
        <v>0</v>
      </c>
    </row>
    <row r="22" spans="1:13" ht="15" x14ac:dyDescent="0.25">
      <c r="A22" s="849" t="s">
        <v>269</v>
      </c>
      <c r="B22" s="850"/>
      <c r="C22" s="852"/>
      <c r="D22" s="852"/>
      <c r="E22" s="852"/>
      <c r="F22" s="852"/>
      <c r="G22" s="852"/>
      <c r="H22" s="852"/>
      <c r="I22" s="852"/>
      <c r="J22" s="852"/>
      <c r="K22" s="852"/>
      <c r="L22" s="858">
        <f>SUM(B22:H22)/11600</f>
        <v>0</v>
      </c>
    </row>
    <row r="23" spans="1:13" ht="15" x14ac:dyDescent="0.25">
      <c r="A23" s="849" t="s">
        <v>586</v>
      </c>
      <c r="B23" s="850"/>
      <c r="C23" s="852"/>
      <c r="D23" s="852"/>
      <c r="E23" s="852"/>
      <c r="F23" s="852"/>
      <c r="G23" s="852"/>
      <c r="H23" s="852"/>
      <c r="I23" s="852"/>
      <c r="J23" s="852"/>
      <c r="K23" s="852"/>
      <c r="L23" s="859">
        <f>SUM(B23:K23)/10700</f>
        <v>0</v>
      </c>
    </row>
    <row r="24" spans="1:13" ht="15" x14ac:dyDescent="0.25">
      <c r="A24" s="849" t="s">
        <v>559</v>
      </c>
      <c r="B24" s="850"/>
      <c r="C24" s="852"/>
      <c r="D24" s="852"/>
      <c r="E24" s="852"/>
      <c r="F24" s="852"/>
      <c r="G24" s="852"/>
      <c r="H24" s="852"/>
      <c r="I24" s="852"/>
      <c r="J24" s="852"/>
      <c r="K24" s="852"/>
      <c r="L24" s="853">
        <f>SUM(B24:K24)/3200</f>
        <v>0</v>
      </c>
    </row>
    <row r="25" spans="1:13" ht="15" x14ac:dyDescent="0.25">
      <c r="A25" s="849" t="s">
        <v>587</v>
      </c>
      <c r="B25" s="850"/>
      <c r="C25" s="852"/>
      <c r="D25" s="852"/>
      <c r="E25" s="852"/>
      <c r="F25" s="852"/>
      <c r="G25" s="852"/>
      <c r="H25" s="852"/>
      <c r="I25" s="852"/>
      <c r="J25" s="852"/>
      <c r="K25" s="852"/>
      <c r="L25" s="853">
        <f t="shared" si="0"/>
        <v>0</v>
      </c>
    </row>
    <row r="26" spans="1:13" ht="15" x14ac:dyDescent="0.25">
      <c r="A26" s="849" t="s">
        <v>92</v>
      </c>
      <c r="B26" s="860"/>
      <c r="C26" s="861"/>
      <c r="D26" s="861"/>
      <c r="E26" s="861"/>
      <c r="F26" s="861"/>
      <c r="G26" s="861"/>
      <c r="H26" s="861"/>
      <c r="I26" s="861"/>
      <c r="J26" s="861"/>
      <c r="K26" s="861"/>
      <c r="L26" s="853">
        <f>SUM(B26:K26)/33</f>
        <v>0</v>
      </c>
    </row>
    <row r="27" spans="1:13" ht="15" x14ac:dyDescent="0.25">
      <c r="A27" s="849" t="s">
        <v>1051</v>
      </c>
      <c r="B27" s="860"/>
      <c r="C27" s="861">
        <v>2</v>
      </c>
      <c r="D27" s="861"/>
      <c r="E27" s="861">
        <v>1</v>
      </c>
      <c r="F27" s="861">
        <v>1</v>
      </c>
      <c r="G27" s="861"/>
      <c r="H27" s="861">
        <v>2</v>
      </c>
      <c r="I27" s="861"/>
      <c r="J27" s="861"/>
      <c r="K27" s="861"/>
      <c r="L27" s="853">
        <f>SUM(B27:K27)</f>
        <v>6</v>
      </c>
    </row>
    <row r="28" spans="1:13" ht="15.75" thickBot="1" x14ac:dyDescent="0.3">
      <c r="A28" s="862"/>
      <c r="B28" s="863"/>
      <c r="C28" s="864"/>
      <c r="D28" s="864"/>
      <c r="E28" s="864"/>
      <c r="F28" s="864"/>
      <c r="G28" s="864"/>
      <c r="H28" s="864"/>
      <c r="I28" s="864"/>
      <c r="J28" s="864"/>
      <c r="K28" s="864"/>
      <c r="L28" s="865"/>
    </row>
    <row r="29" spans="1:13" ht="15" x14ac:dyDescent="0.25">
      <c r="A29" s="572"/>
      <c r="B29" s="572"/>
      <c r="C29" s="1506"/>
      <c r="D29" s="1506"/>
      <c r="E29" s="572"/>
      <c r="F29" s="572"/>
      <c r="G29" s="572"/>
      <c r="H29" s="572"/>
      <c r="I29" s="572"/>
      <c r="J29" s="1506" t="s">
        <v>588</v>
      </c>
      <c r="K29" s="1506"/>
      <c r="L29" s="866"/>
      <c r="M29" s="149"/>
    </row>
    <row r="30" spans="1:13" ht="15" x14ac:dyDescent="0.25">
      <c r="A30" s="572"/>
      <c r="B30" s="572"/>
      <c r="C30" s="578"/>
      <c r="D30" s="578"/>
      <c r="E30" s="572"/>
      <c r="F30" s="572"/>
      <c r="G30" s="572"/>
      <c r="H30" s="572"/>
      <c r="I30" s="572"/>
      <c r="J30" s="578"/>
      <c r="K30" s="578"/>
      <c r="L30" s="572"/>
    </row>
    <row r="31" spans="1:13" ht="15" x14ac:dyDescent="0.25">
      <c r="A31" s="572"/>
      <c r="B31" s="572"/>
      <c r="C31" s="578"/>
      <c r="D31" s="578"/>
      <c r="E31" s="572"/>
      <c r="F31" s="572"/>
      <c r="G31" s="572"/>
      <c r="H31" s="572"/>
      <c r="I31" s="572"/>
      <c r="J31" s="578"/>
      <c r="K31" s="578"/>
      <c r="L31" s="572"/>
    </row>
    <row r="32" spans="1:13" ht="15" x14ac:dyDescent="0.25">
      <c r="A32" s="572"/>
      <c r="B32" s="572"/>
      <c r="C32" s="572"/>
      <c r="D32" s="572"/>
      <c r="E32" s="572"/>
      <c r="F32" s="572"/>
      <c r="G32" s="572"/>
      <c r="H32" s="572"/>
      <c r="I32" s="572"/>
      <c r="J32" s="572"/>
      <c r="K32" s="572"/>
      <c r="L32" s="572"/>
    </row>
    <row r="33" spans="3:11" ht="15" x14ac:dyDescent="0.25">
      <c r="C33" s="1506"/>
      <c r="D33" s="1506"/>
      <c r="J33" s="1506"/>
      <c r="K33" s="1506"/>
    </row>
    <row r="34" spans="3:11" ht="15" x14ac:dyDescent="0.25">
      <c r="C34" s="572"/>
      <c r="D34" s="572"/>
      <c r="J34" s="572"/>
      <c r="K34" s="572"/>
    </row>
  </sheetData>
  <mergeCells count="7">
    <mergeCell ref="C33:D33"/>
    <mergeCell ref="J33:K33"/>
    <mergeCell ref="A2:L2"/>
    <mergeCell ref="A7:A8"/>
    <mergeCell ref="L7:L8"/>
    <mergeCell ref="C29:D29"/>
    <mergeCell ref="J29:K29"/>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13B0A-AF59-4434-B005-388E7FCCA483}">
  <sheetPr>
    <tabColor rgb="FFFFFF00"/>
  </sheetPr>
  <dimension ref="A2:AP229"/>
  <sheetViews>
    <sheetView workbookViewId="0">
      <selection activeCell="A8" sqref="A8:B8"/>
    </sheetView>
  </sheetViews>
  <sheetFormatPr defaultRowHeight="15" x14ac:dyDescent="0.25"/>
  <cols>
    <col min="1" max="1" width="30.85546875" style="570" bestFit="1" customWidth="1"/>
    <col min="2" max="2" width="12.5703125" style="570" bestFit="1" customWidth="1"/>
    <col min="3" max="3" width="2.7109375" style="570" customWidth="1"/>
    <col min="4" max="4" width="32.7109375" style="570" bestFit="1" customWidth="1"/>
    <col min="5" max="5" width="10.5703125" style="570" bestFit="1" customWidth="1"/>
    <col min="6" max="6" width="2.85546875" style="570" customWidth="1"/>
    <col min="7" max="7" width="32.28515625" style="570" bestFit="1" customWidth="1"/>
    <col min="8" max="8" width="12" style="570" customWidth="1"/>
    <col min="9" max="9" width="2.5703125" style="570" customWidth="1"/>
    <col min="10" max="10" width="16.5703125" style="63" customWidth="1"/>
    <col min="11" max="11" width="10.7109375" style="63" customWidth="1"/>
    <col min="12" max="12" width="15.42578125" style="63" customWidth="1"/>
    <col min="13" max="13" width="10.7109375" style="63" customWidth="1"/>
    <col min="14" max="14" width="15.7109375" style="63" customWidth="1"/>
    <col min="15" max="15" width="9.140625" style="63"/>
    <col min="16" max="16" width="17" style="63" customWidth="1"/>
    <col min="17" max="17" width="9.140625" style="63"/>
    <col min="18" max="18" width="17.28515625" style="63" customWidth="1"/>
    <col min="19" max="19" width="9.140625" style="63"/>
    <col min="20" max="20" width="12.85546875" style="63" customWidth="1"/>
    <col min="21" max="21" width="9.140625" style="63"/>
    <col min="22" max="22" width="12.85546875" style="570" customWidth="1"/>
    <col min="23" max="23" width="9.140625" style="570"/>
    <col min="24" max="24" width="12.85546875" style="570" customWidth="1"/>
    <col min="25" max="25" width="10" style="570" customWidth="1"/>
    <col min="26" max="26" width="12.85546875" style="570" customWidth="1"/>
    <col min="27" max="27" width="9.140625" style="570"/>
    <col min="28" max="28" width="12.85546875" style="570" customWidth="1"/>
    <col min="29" max="29" width="9.140625" style="570"/>
    <col min="30" max="30" width="12.85546875" style="570" customWidth="1"/>
    <col min="31" max="31" width="9.140625" style="570"/>
    <col min="32" max="32" width="13.85546875" style="570" customWidth="1"/>
    <col min="33" max="33" width="9.140625" style="570"/>
    <col min="34" max="34" width="12.85546875" style="570" customWidth="1"/>
    <col min="35" max="35" width="9.140625" style="570"/>
    <col min="36" max="36" width="12.85546875" style="570" customWidth="1"/>
    <col min="37" max="37" width="9.140625" style="570"/>
    <col min="38" max="38" width="12.85546875" style="570" customWidth="1"/>
    <col min="39" max="39" width="9.140625" style="570"/>
    <col min="40" max="40" width="12.85546875" style="570" customWidth="1"/>
    <col min="41" max="41" width="9.140625" style="570"/>
    <col min="42" max="42" width="12.85546875" style="570" customWidth="1"/>
    <col min="43" max="43" width="9.140625" style="570"/>
    <col min="44" max="44" width="12.85546875" style="570" customWidth="1"/>
    <col min="45" max="45" width="9.140625" style="570"/>
    <col min="46" max="46" width="12.85546875" style="570" customWidth="1"/>
    <col min="47" max="47" width="0.140625" style="570" customWidth="1"/>
    <col min="48" max="256" width="9.140625" style="570"/>
    <col min="257" max="257" width="30.85546875" style="570" bestFit="1" customWidth="1"/>
    <col min="258" max="258" width="12.5703125" style="570" bestFit="1" customWidth="1"/>
    <col min="259" max="259" width="2.7109375" style="570" customWidth="1"/>
    <col min="260" max="260" width="32.7109375" style="570" bestFit="1" customWidth="1"/>
    <col min="261" max="261" width="10.5703125" style="570" bestFit="1" customWidth="1"/>
    <col min="262" max="262" width="2.85546875" style="570" customWidth="1"/>
    <col min="263" max="263" width="32.28515625" style="570" bestFit="1" customWidth="1"/>
    <col min="264" max="264" width="12" style="570" customWidth="1"/>
    <col min="265" max="265" width="2.5703125" style="570" customWidth="1"/>
    <col min="266" max="266" width="16.5703125" style="570" customWidth="1"/>
    <col min="267" max="267" width="10.7109375" style="570" customWidth="1"/>
    <col min="268" max="268" width="15.42578125" style="570" customWidth="1"/>
    <col min="269" max="269" width="10.7109375" style="570" customWidth="1"/>
    <col min="270" max="270" width="15.7109375" style="570" customWidth="1"/>
    <col min="271" max="271" width="9.140625" style="570"/>
    <col min="272" max="272" width="17" style="570" customWidth="1"/>
    <col min="273" max="273" width="9.140625" style="570"/>
    <col min="274" max="274" width="17.28515625" style="570" customWidth="1"/>
    <col min="275" max="275" width="9.140625" style="570"/>
    <col min="276" max="276" width="12.85546875" style="570" customWidth="1"/>
    <col min="277" max="277" width="9.140625" style="570"/>
    <col min="278" max="278" width="12.85546875" style="570" customWidth="1"/>
    <col min="279" max="279" width="9.140625" style="570"/>
    <col min="280" max="280" width="12.85546875" style="570" customWidth="1"/>
    <col min="281" max="281" width="10" style="570" customWidth="1"/>
    <col min="282" max="282" width="12.85546875" style="570" customWidth="1"/>
    <col min="283" max="283" width="9.140625" style="570"/>
    <col min="284" max="284" width="12.85546875" style="570" customWidth="1"/>
    <col min="285" max="285" width="9.140625" style="570"/>
    <col min="286" max="286" width="12.85546875" style="570" customWidth="1"/>
    <col min="287" max="287" width="9.140625" style="570"/>
    <col min="288" max="288" width="13.85546875" style="570" customWidth="1"/>
    <col min="289" max="289" width="9.140625" style="570"/>
    <col min="290" max="290" width="12.85546875" style="570" customWidth="1"/>
    <col min="291" max="291" width="9.140625" style="570"/>
    <col min="292" max="292" width="12.85546875" style="570" customWidth="1"/>
    <col min="293" max="293" width="9.140625" style="570"/>
    <col min="294" max="294" width="12.85546875" style="570" customWidth="1"/>
    <col min="295" max="295" width="9.140625" style="570"/>
    <col min="296" max="296" width="12.85546875" style="570" customWidth="1"/>
    <col min="297" max="297" width="9.140625" style="570"/>
    <col min="298" max="298" width="12.85546875" style="570" customWidth="1"/>
    <col min="299" max="299" width="9.140625" style="570"/>
    <col min="300" max="300" width="12.85546875" style="570" customWidth="1"/>
    <col min="301" max="301" width="9.140625" style="570"/>
    <col min="302" max="302" width="12.85546875" style="570" customWidth="1"/>
    <col min="303" max="303" width="0.140625" style="570" customWidth="1"/>
    <col min="304" max="512" width="9.140625" style="570"/>
    <col min="513" max="513" width="30.85546875" style="570" bestFit="1" customWidth="1"/>
    <col min="514" max="514" width="12.5703125" style="570" bestFit="1" customWidth="1"/>
    <col min="515" max="515" width="2.7109375" style="570" customWidth="1"/>
    <col min="516" max="516" width="32.7109375" style="570" bestFit="1" customWidth="1"/>
    <col min="517" max="517" width="10.5703125" style="570" bestFit="1" customWidth="1"/>
    <col min="518" max="518" width="2.85546875" style="570" customWidth="1"/>
    <col min="519" max="519" width="32.28515625" style="570" bestFit="1" customWidth="1"/>
    <col min="520" max="520" width="12" style="570" customWidth="1"/>
    <col min="521" max="521" width="2.5703125" style="570" customWidth="1"/>
    <col min="522" max="522" width="16.5703125" style="570" customWidth="1"/>
    <col min="523" max="523" width="10.7109375" style="570" customWidth="1"/>
    <col min="524" max="524" width="15.42578125" style="570" customWidth="1"/>
    <col min="525" max="525" width="10.7109375" style="570" customWidth="1"/>
    <col min="526" max="526" width="15.7109375" style="570" customWidth="1"/>
    <col min="527" max="527" width="9.140625" style="570"/>
    <col min="528" max="528" width="17" style="570" customWidth="1"/>
    <col min="529" max="529" width="9.140625" style="570"/>
    <col min="530" max="530" width="17.28515625" style="570" customWidth="1"/>
    <col min="531" max="531" width="9.140625" style="570"/>
    <col min="532" max="532" width="12.85546875" style="570" customWidth="1"/>
    <col min="533" max="533" width="9.140625" style="570"/>
    <col min="534" max="534" width="12.85546875" style="570" customWidth="1"/>
    <col min="535" max="535" width="9.140625" style="570"/>
    <col min="536" max="536" width="12.85546875" style="570" customWidth="1"/>
    <col min="537" max="537" width="10" style="570" customWidth="1"/>
    <col min="538" max="538" width="12.85546875" style="570" customWidth="1"/>
    <col min="539" max="539" width="9.140625" style="570"/>
    <col min="540" max="540" width="12.85546875" style="570" customWidth="1"/>
    <col min="541" max="541" width="9.140625" style="570"/>
    <col min="542" max="542" width="12.85546875" style="570" customWidth="1"/>
    <col min="543" max="543" width="9.140625" style="570"/>
    <col min="544" max="544" width="13.85546875" style="570" customWidth="1"/>
    <col min="545" max="545" width="9.140625" style="570"/>
    <col min="546" max="546" width="12.85546875" style="570" customWidth="1"/>
    <col min="547" max="547" width="9.140625" style="570"/>
    <col min="548" max="548" width="12.85546875" style="570" customWidth="1"/>
    <col min="549" max="549" width="9.140625" style="570"/>
    <col min="550" max="550" width="12.85546875" style="570" customWidth="1"/>
    <col min="551" max="551" width="9.140625" style="570"/>
    <col min="552" max="552" width="12.85546875" style="570" customWidth="1"/>
    <col min="553" max="553" width="9.140625" style="570"/>
    <col min="554" max="554" width="12.85546875" style="570" customWidth="1"/>
    <col min="555" max="555" width="9.140625" style="570"/>
    <col min="556" max="556" width="12.85546875" style="570" customWidth="1"/>
    <col min="557" max="557" width="9.140625" style="570"/>
    <col min="558" max="558" width="12.85546875" style="570" customWidth="1"/>
    <col min="559" max="559" width="0.140625" style="570" customWidth="1"/>
    <col min="560" max="768" width="9.140625" style="570"/>
    <col min="769" max="769" width="30.85546875" style="570" bestFit="1" customWidth="1"/>
    <col min="770" max="770" width="12.5703125" style="570" bestFit="1" customWidth="1"/>
    <col min="771" max="771" width="2.7109375" style="570" customWidth="1"/>
    <col min="772" max="772" width="32.7109375" style="570" bestFit="1" customWidth="1"/>
    <col min="773" max="773" width="10.5703125" style="570" bestFit="1" customWidth="1"/>
    <col min="774" max="774" width="2.85546875" style="570" customWidth="1"/>
    <col min="775" max="775" width="32.28515625" style="570" bestFit="1" customWidth="1"/>
    <col min="776" max="776" width="12" style="570" customWidth="1"/>
    <col min="777" max="777" width="2.5703125" style="570" customWidth="1"/>
    <col min="778" max="778" width="16.5703125" style="570" customWidth="1"/>
    <col min="779" max="779" width="10.7109375" style="570" customWidth="1"/>
    <col min="780" max="780" width="15.42578125" style="570" customWidth="1"/>
    <col min="781" max="781" width="10.7109375" style="570" customWidth="1"/>
    <col min="782" max="782" width="15.7109375" style="570" customWidth="1"/>
    <col min="783" max="783" width="9.140625" style="570"/>
    <col min="784" max="784" width="17" style="570" customWidth="1"/>
    <col min="785" max="785" width="9.140625" style="570"/>
    <col min="786" max="786" width="17.28515625" style="570" customWidth="1"/>
    <col min="787" max="787" width="9.140625" style="570"/>
    <col min="788" max="788" width="12.85546875" style="570" customWidth="1"/>
    <col min="789" max="789" width="9.140625" style="570"/>
    <col min="790" max="790" width="12.85546875" style="570" customWidth="1"/>
    <col min="791" max="791" width="9.140625" style="570"/>
    <col min="792" max="792" width="12.85546875" style="570" customWidth="1"/>
    <col min="793" max="793" width="10" style="570" customWidth="1"/>
    <col min="794" max="794" width="12.85546875" style="570" customWidth="1"/>
    <col min="795" max="795" width="9.140625" style="570"/>
    <col min="796" max="796" width="12.85546875" style="570" customWidth="1"/>
    <col min="797" max="797" width="9.140625" style="570"/>
    <col min="798" max="798" width="12.85546875" style="570" customWidth="1"/>
    <col min="799" max="799" width="9.140625" style="570"/>
    <col min="800" max="800" width="13.85546875" style="570" customWidth="1"/>
    <col min="801" max="801" width="9.140625" style="570"/>
    <col min="802" max="802" width="12.85546875" style="570" customWidth="1"/>
    <col min="803" max="803" width="9.140625" style="570"/>
    <col min="804" max="804" width="12.85546875" style="570" customWidth="1"/>
    <col min="805" max="805" width="9.140625" style="570"/>
    <col min="806" max="806" width="12.85546875" style="570" customWidth="1"/>
    <col min="807" max="807" width="9.140625" style="570"/>
    <col min="808" max="808" width="12.85546875" style="570" customWidth="1"/>
    <col min="809" max="809" width="9.140625" style="570"/>
    <col min="810" max="810" width="12.85546875" style="570" customWidth="1"/>
    <col min="811" max="811" width="9.140625" style="570"/>
    <col min="812" max="812" width="12.85546875" style="570" customWidth="1"/>
    <col min="813" max="813" width="9.140625" style="570"/>
    <col min="814" max="814" width="12.85546875" style="570" customWidth="1"/>
    <col min="815" max="815" width="0.140625" style="570" customWidth="1"/>
    <col min="816" max="1024" width="9.140625" style="570"/>
    <col min="1025" max="1025" width="30.85546875" style="570" bestFit="1" customWidth="1"/>
    <col min="1026" max="1026" width="12.5703125" style="570" bestFit="1" customWidth="1"/>
    <col min="1027" max="1027" width="2.7109375" style="570" customWidth="1"/>
    <col min="1028" max="1028" width="32.7109375" style="570" bestFit="1" customWidth="1"/>
    <col min="1029" max="1029" width="10.5703125" style="570" bestFit="1" customWidth="1"/>
    <col min="1030" max="1030" width="2.85546875" style="570" customWidth="1"/>
    <col min="1031" max="1031" width="32.28515625" style="570" bestFit="1" customWidth="1"/>
    <col min="1032" max="1032" width="12" style="570" customWidth="1"/>
    <col min="1033" max="1033" width="2.5703125" style="570" customWidth="1"/>
    <col min="1034" max="1034" width="16.5703125" style="570" customWidth="1"/>
    <col min="1035" max="1035" width="10.7109375" style="570" customWidth="1"/>
    <col min="1036" max="1036" width="15.42578125" style="570" customWidth="1"/>
    <col min="1037" max="1037" width="10.7109375" style="570" customWidth="1"/>
    <col min="1038" max="1038" width="15.7109375" style="570" customWidth="1"/>
    <col min="1039" max="1039" width="9.140625" style="570"/>
    <col min="1040" max="1040" width="17" style="570" customWidth="1"/>
    <col min="1041" max="1041" width="9.140625" style="570"/>
    <col min="1042" max="1042" width="17.28515625" style="570" customWidth="1"/>
    <col min="1043" max="1043" width="9.140625" style="570"/>
    <col min="1044" max="1044" width="12.85546875" style="570" customWidth="1"/>
    <col min="1045" max="1045" width="9.140625" style="570"/>
    <col min="1046" max="1046" width="12.85546875" style="570" customWidth="1"/>
    <col min="1047" max="1047" width="9.140625" style="570"/>
    <col min="1048" max="1048" width="12.85546875" style="570" customWidth="1"/>
    <col min="1049" max="1049" width="10" style="570" customWidth="1"/>
    <col min="1050" max="1050" width="12.85546875" style="570" customWidth="1"/>
    <col min="1051" max="1051" width="9.140625" style="570"/>
    <col min="1052" max="1052" width="12.85546875" style="570" customWidth="1"/>
    <col min="1053" max="1053" width="9.140625" style="570"/>
    <col min="1054" max="1054" width="12.85546875" style="570" customWidth="1"/>
    <col min="1055" max="1055" width="9.140625" style="570"/>
    <col min="1056" max="1056" width="13.85546875" style="570" customWidth="1"/>
    <col min="1057" max="1057" width="9.140625" style="570"/>
    <col min="1058" max="1058" width="12.85546875" style="570" customWidth="1"/>
    <col min="1059" max="1059" width="9.140625" style="570"/>
    <col min="1060" max="1060" width="12.85546875" style="570" customWidth="1"/>
    <col min="1061" max="1061" width="9.140625" style="570"/>
    <col min="1062" max="1062" width="12.85546875" style="570" customWidth="1"/>
    <col min="1063" max="1063" width="9.140625" style="570"/>
    <col min="1064" max="1064" width="12.85546875" style="570" customWidth="1"/>
    <col min="1065" max="1065" width="9.140625" style="570"/>
    <col min="1066" max="1066" width="12.85546875" style="570" customWidth="1"/>
    <col min="1067" max="1067" width="9.140625" style="570"/>
    <col min="1068" max="1068" width="12.85546875" style="570" customWidth="1"/>
    <col min="1069" max="1069" width="9.140625" style="570"/>
    <col min="1070" max="1070" width="12.85546875" style="570" customWidth="1"/>
    <col min="1071" max="1071" width="0.140625" style="570" customWidth="1"/>
    <col min="1072" max="1280" width="9.140625" style="570"/>
    <col min="1281" max="1281" width="30.85546875" style="570" bestFit="1" customWidth="1"/>
    <col min="1282" max="1282" width="12.5703125" style="570" bestFit="1" customWidth="1"/>
    <col min="1283" max="1283" width="2.7109375" style="570" customWidth="1"/>
    <col min="1284" max="1284" width="32.7109375" style="570" bestFit="1" customWidth="1"/>
    <col min="1285" max="1285" width="10.5703125" style="570" bestFit="1" customWidth="1"/>
    <col min="1286" max="1286" width="2.85546875" style="570" customWidth="1"/>
    <col min="1287" max="1287" width="32.28515625" style="570" bestFit="1" customWidth="1"/>
    <col min="1288" max="1288" width="12" style="570" customWidth="1"/>
    <col min="1289" max="1289" width="2.5703125" style="570" customWidth="1"/>
    <col min="1290" max="1290" width="16.5703125" style="570" customWidth="1"/>
    <col min="1291" max="1291" width="10.7109375" style="570" customWidth="1"/>
    <col min="1292" max="1292" width="15.42578125" style="570" customWidth="1"/>
    <col min="1293" max="1293" width="10.7109375" style="570" customWidth="1"/>
    <col min="1294" max="1294" width="15.7109375" style="570" customWidth="1"/>
    <col min="1295" max="1295" width="9.140625" style="570"/>
    <col min="1296" max="1296" width="17" style="570" customWidth="1"/>
    <col min="1297" max="1297" width="9.140625" style="570"/>
    <col min="1298" max="1298" width="17.28515625" style="570" customWidth="1"/>
    <col min="1299" max="1299" width="9.140625" style="570"/>
    <col min="1300" max="1300" width="12.85546875" style="570" customWidth="1"/>
    <col min="1301" max="1301" width="9.140625" style="570"/>
    <col min="1302" max="1302" width="12.85546875" style="570" customWidth="1"/>
    <col min="1303" max="1303" width="9.140625" style="570"/>
    <col min="1304" max="1304" width="12.85546875" style="570" customWidth="1"/>
    <col min="1305" max="1305" width="10" style="570" customWidth="1"/>
    <col min="1306" max="1306" width="12.85546875" style="570" customWidth="1"/>
    <col min="1307" max="1307" width="9.140625" style="570"/>
    <col min="1308" max="1308" width="12.85546875" style="570" customWidth="1"/>
    <col min="1309" max="1309" width="9.140625" style="570"/>
    <col min="1310" max="1310" width="12.85546875" style="570" customWidth="1"/>
    <col min="1311" max="1311" width="9.140625" style="570"/>
    <col min="1312" max="1312" width="13.85546875" style="570" customWidth="1"/>
    <col min="1313" max="1313" width="9.140625" style="570"/>
    <col min="1314" max="1314" width="12.85546875" style="570" customWidth="1"/>
    <col min="1315" max="1315" width="9.140625" style="570"/>
    <col min="1316" max="1316" width="12.85546875" style="570" customWidth="1"/>
    <col min="1317" max="1317" width="9.140625" style="570"/>
    <col min="1318" max="1318" width="12.85546875" style="570" customWidth="1"/>
    <col min="1319" max="1319" width="9.140625" style="570"/>
    <col min="1320" max="1320" width="12.85546875" style="570" customWidth="1"/>
    <col min="1321" max="1321" width="9.140625" style="570"/>
    <col min="1322" max="1322" width="12.85546875" style="570" customWidth="1"/>
    <col min="1323" max="1323" width="9.140625" style="570"/>
    <col min="1324" max="1324" width="12.85546875" style="570" customWidth="1"/>
    <col min="1325" max="1325" width="9.140625" style="570"/>
    <col min="1326" max="1326" width="12.85546875" style="570" customWidth="1"/>
    <col min="1327" max="1327" width="0.140625" style="570" customWidth="1"/>
    <col min="1328" max="1536" width="9.140625" style="570"/>
    <col min="1537" max="1537" width="30.85546875" style="570" bestFit="1" customWidth="1"/>
    <col min="1538" max="1538" width="12.5703125" style="570" bestFit="1" customWidth="1"/>
    <col min="1539" max="1539" width="2.7109375" style="570" customWidth="1"/>
    <col min="1540" max="1540" width="32.7109375" style="570" bestFit="1" customWidth="1"/>
    <col min="1541" max="1541" width="10.5703125" style="570" bestFit="1" customWidth="1"/>
    <col min="1542" max="1542" width="2.85546875" style="570" customWidth="1"/>
    <col min="1543" max="1543" width="32.28515625" style="570" bestFit="1" customWidth="1"/>
    <col min="1544" max="1544" width="12" style="570" customWidth="1"/>
    <col min="1545" max="1545" width="2.5703125" style="570" customWidth="1"/>
    <col min="1546" max="1546" width="16.5703125" style="570" customWidth="1"/>
    <col min="1547" max="1547" width="10.7109375" style="570" customWidth="1"/>
    <col min="1548" max="1548" width="15.42578125" style="570" customWidth="1"/>
    <col min="1549" max="1549" width="10.7109375" style="570" customWidth="1"/>
    <col min="1550" max="1550" width="15.7109375" style="570" customWidth="1"/>
    <col min="1551" max="1551" width="9.140625" style="570"/>
    <col min="1552" max="1552" width="17" style="570" customWidth="1"/>
    <col min="1553" max="1553" width="9.140625" style="570"/>
    <col min="1554" max="1554" width="17.28515625" style="570" customWidth="1"/>
    <col min="1555" max="1555" width="9.140625" style="570"/>
    <col min="1556" max="1556" width="12.85546875" style="570" customWidth="1"/>
    <col min="1557" max="1557" width="9.140625" style="570"/>
    <col min="1558" max="1558" width="12.85546875" style="570" customWidth="1"/>
    <col min="1559" max="1559" width="9.140625" style="570"/>
    <col min="1560" max="1560" width="12.85546875" style="570" customWidth="1"/>
    <col min="1561" max="1561" width="10" style="570" customWidth="1"/>
    <col min="1562" max="1562" width="12.85546875" style="570" customWidth="1"/>
    <col min="1563" max="1563" width="9.140625" style="570"/>
    <col min="1564" max="1564" width="12.85546875" style="570" customWidth="1"/>
    <col min="1565" max="1565" width="9.140625" style="570"/>
    <col min="1566" max="1566" width="12.85546875" style="570" customWidth="1"/>
    <col min="1567" max="1567" width="9.140625" style="570"/>
    <col min="1568" max="1568" width="13.85546875" style="570" customWidth="1"/>
    <col min="1569" max="1569" width="9.140625" style="570"/>
    <col min="1570" max="1570" width="12.85546875" style="570" customWidth="1"/>
    <col min="1571" max="1571" width="9.140625" style="570"/>
    <col min="1572" max="1572" width="12.85546875" style="570" customWidth="1"/>
    <col min="1573" max="1573" width="9.140625" style="570"/>
    <col min="1574" max="1574" width="12.85546875" style="570" customWidth="1"/>
    <col min="1575" max="1575" width="9.140625" style="570"/>
    <col min="1576" max="1576" width="12.85546875" style="570" customWidth="1"/>
    <col min="1577" max="1577" width="9.140625" style="570"/>
    <col min="1578" max="1578" width="12.85546875" style="570" customWidth="1"/>
    <col min="1579" max="1579" width="9.140625" style="570"/>
    <col min="1580" max="1580" width="12.85546875" style="570" customWidth="1"/>
    <col min="1581" max="1581" width="9.140625" style="570"/>
    <col min="1582" max="1582" width="12.85546875" style="570" customWidth="1"/>
    <col min="1583" max="1583" width="0.140625" style="570" customWidth="1"/>
    <col min="1584" max="1792" width="9.140625" style="570"/>
    <col min="1793" max="1793" width="30.85546875" style="570" bestFit="1" customWidth="1"/>
    <col min="1794" max="1794" width="12.5703125" style="570" bestFit="1" customWidth="1"/>
    <col min="1795" max="1795" width="2.7109375" style="570" customWidth="1"/>
    <col min="1796" max="1796" width="32.7109375" style="570" bestFit="1" customWidth="1"/>
    <col min="1797" max="1797" width="10.5703125" style="570" bestFit="1" customWidth="1"/>
    <col min="1798" max="1798" width="2.85546875" style="570" customWidth="1"/>
    <col min="1799" max="1799" width="32.28515625" style="570" bestFit="1" customWidth="1"/>
    <col min="1800" max="1800" width="12" style="570" customWidth="1"/>
    <col min="1801" max="1801" width="2.5703125" style="570" customWidth="1"/>
    <col min="1802" max="1802" width="16.5703125" style="570" customWidth="1"/>
    <col min="1803" max="1803" width="10.7109375" style="570" customWidth="1"/>
    <col min="1804" max="1804" width="15.42578125" style="570" customWidth="1"/>
    <col min="1805" max="1805" width="10.7109375" style="570" customWidth="1"/>
    <col min="1806" max="1806" width="15.7109375" style="570" customWidth="1"/>
    <col min="1807" max="1807" width="9.140625" style="570"/>
    <col min="1808" max="1808" width="17" style="570" customWidth="1"/>
    <col min="1809" max="1809" width="9.140625" style="570"/>
    <col min="1810" max="1810" width="17.28515625" style="570" customWidth="1"/>
    <col min="1811" max="1811" width="9.140625" style="570"/>
    <col min="1812" max="1812" width="12.85546875" style="570" customWidth="1"/>
    <col min="1813" max="1813" width="9.140625" style="570"/>
    <col min="1814" max="1814" width="12.85546875" style="570" customWidth="1"/>
    <col min="1815" max="1815" width="9.140625" style="570"/>
    <col min="1816" max="1816" width="12.85546875" style="570" customWidth="1"/>
    <col min="1817" max="1817" width="10" style="570" customWidth="1"/>
    <col min="1818" max="1818" width="12.85546875" style="570" customWidth="1"/>
    <col min="1819" max="1819" width="9.140625" style="570"/>
    <col min="1820" max="1820" width="12.85546875" style="570" customWidth="1"/>
    <col min="1821" max="1821" width="9.140625" style="570"/>
    <col min="1822" max="1822" width="12.85546875" style="570" customWidth="1"/>
    <col min="1823" max="1823" width="9.140625" style="570"/>
    <col min="1824" max="1824" width="13.85546875" style="570" customWidth="1"/>
    <col min="1825" max="1825" width="9.140625" style="570"/>
    <col min="1826" max="1826" width="12.85546875" style="570" customWidth="1"/>
    <col min="1827" max="1827" width="9.140625" style="570"/>
    <col min="1828" max="1828" width="12.85546875" style="570" customWidth="1"/>
    <col min="1829" max="1829" width="9.140625" style="570"/>
    <col min="1830" max="1830" width="12.85546875" style="570" customWidth="1"/>
    <col min="1831" max="1831" width="9.140625" style="570"/>
    <col min="1832" max="1832" width="12.85546875" style="570" customWidth="1"/>
    <col min="1833" max="1833" width="9.140625" style="570"/>
    <col min="1834" max="1834" width="12.85546875" style="570" customWidth="1"/>
    <col min="1835" max="1835" width="9.140625" style="570"/>
    <col min="1836" max="1836" width="12.85546875" style="570" customWidth="1"/>
    <col min="1837" max="1837" width="9.140625" style="570"/>
    <col min="1838" max="1838" width="12.85546875" style="570" customWidth="1"/>
    <col min="1839" max="1839" width="0.140625" style="570" customWidth="1"/>
    <col min="1840" max="2048" width="9.140625" style="570"/>
    <col min="2049" max="2049" width="30.85546875" style="570" bestFit="1" customWidth="1"/>
    <col min="2050" max="2050" width="12.5703125" style="570" bestFit="1" customWidth="1"/>
    <col min="2051" max="2051" width="2.7109375" style="570" customWidth="1"/>
    <col min="2052" max="2052" width="32.7109375" style="570" bestFit="1" customWidth="1"/>
    <col min="2053" max="2053" width="10.5703125" style="570" bestFit="1" customWidth="1"/>
    <col min="2054" max="2054" width="2.85546875" style="570" customWidth="1"/>
    <col min="2055" max="2055" width="32.28515625" style="570" bestFit="1" customWidth="1"/>
    <col min="2056" max="2056" width="12" style="570" customWidth="1"/>
    <col min="2057" max="2057" width="2.5703125" style="570" customWidth="1"/>
    <col min="2058" max="2058" width="16.5703125" style="570" customWidth="1"/>
    <col min="2059" max="2059" width="10.7109375" style="570" customWidth="1"/>
    <col min="2060" max="2060" width="15.42578125" style="570" customWidth="1"/>
    <col min="2061" max="2061" width="10.7109375" style="570" customWidth="1"/>
    <col min="2062" max="2062" width="15.7109375" style="570" customWidth="1"/>
    <col min="2063" max="2063" width="9.140625" style="570"/>
    <col min="2064" max="2064" width="17" style="570" customWidth="1"/>
    <col min="2065" max="2065" width="9.140625" style="570"/>
    <col min="2066" max="2066" width="17.28515625" style="570" customWidth="1"/>
    <col min="2067" max="2067" width="9.140625" style="570"/>
    <col min="2068" max="2068" width="12.85546875" style="570" customWidth="1"/>
    <col min="2069" max="2069" width="9.140625" style="570"/>
    <col min="2070" max="2070" width="12.85546875" style="570" customWidth="1"/>
    <col min="2071" max="2071" width="9.140625" style="570"/>
    <col min="2072" max="2072" width="12.85546875" style="570" customWidth="1"/>
    <col min="2073" max="2073" width="10" style="570" customWidth="1"/>
    <col min="2074" max="2074" width="12.85546875" style="570" customWidth="1"/>
    <col min="2075" max="2075" width="9.140625" style="570"/>
    <col min="2076" max="2076" width="12.85546875" style="570" customWidth="1"/>
    <col min="2077" max="2077" width="9.140625" style="570"/>
    <col min="2078" max="2078" width="12.85546875" style="570" customWidth="1"/>
    <col min="2079" max="2079" width="9.140625" style="570"/>
    <col min="2080" max="2080" width="13.85546875" style="570" customWidth="1"/>
    <col min="2081" max="2081" width="9.140625" style="570"/>
    <col min="2082" max="2082" width="12.85546875" style="570" customWidth="1"/>
    <col min="2083" max="2083" width="9.140625" style="570"/>
    <col min="2084" max="2084" width="12.85546875" style="570" customWidth="1"/>
    <col min="2085" max="2085" width="9.140625" style="570"/>
    <col min="2086" max="2086" width="12.85546875" style="570" customWidth="1"/>
    <col min="2087" max="2087" width="9.140625" style="570"/>
    <col min="2088" max="2088" width="12.85546875" style="570" customWidth="1"/>
    <col min="2089" max="2089" width="9.140625" style="570"/>
    <col min="2090" max="2090" width="12.85546875" style="570" customWidth="1"/>
    <col min="2091" max="2091" width="9.140625" style="570"/>
    <col min="2092" max="2092" width="12.85546875" style="570" customWidth="1"/>
    <col min="2093" max="2093" width="9.140625" style="570"/>
    <col min="2094" max="2094" width="12.85546875" style="570" customWidth="1"/>
    <col min="2095" max="2095" width="0.140625" style="570" customWidth="1"/>
    <col min="2096" max="2304" width="9.140625" style="570"/>
    <col min="2305" max="2305" width="30.85546875" style="570" bestFit="1" customWidth="1"/>
    <col min="2306" max="2306" width="12.5703125" style="570" bestFit="1" customWidth="1"/>
    <col min="2307" max="2307" width="2.7109375" style="570" customWidth="1"/>
    <col min="2308" max="2308" width="32.7109375" style="570" bestFit="1" customWidth="1"/>
    <col min="2309" max="2309" width="10.5703125" style="570" bestFit="1" customWidth="1"/>
    <col min="2310" max="2310" width="2.85546875" style="570" customWidth="1"/>
    <col min="2311" max="2311" width="32.28515625" style="570" bestFit="1" customWidth="1"/>
    <col min="2312" max="2312" width="12" style="570" customWidth="1"/>
    <col min="2313" max="2313" width="2.5703125" style="570" customWidth="1"/>
    <col min="2314" max="2314" width="16.5703125" style="570" customWidth="1"/>
    <col min="2315" max="2315" width="10.7109375" style="570" customWidth="1"/>
    <col min="2316" max="2316" width="15.42578125" style="570" customWidth="1"/>
    <col min="2317" max="2317" width="10.7109375" style="570" customWidth="1"/>
    <col min="2318" max="2318" width="15.7109375" style="570" customWidth="1"/>
    <col min="2319" max="2319" width="9.140625" style="570"/>
    <col min="2320" max="2320" width="17" style="570" customWidth="1"/>
    <col min="2321" max="2321" width="9.140625" style="570"/>
    <col min="2322" max="2322" width="17.28515625" style="570" customWidth="1"/>
    <col min="2323" max="2323" width="9.140625" style="570"/>
    <col min="2324" max="2324" width="12.85546875" style="570" customWidth="1"/>
    <col min="2325" max="2325" width="9.140625" style="570"/>
    <col min="2326" max="2326" width="12.85546875" style="570" customWidth="1"/>
    <col min="2327" max="2327" width="9.140625" style="570"/>
    <col min="2328" max="2328" width="12.85546875" style="570" customWidth="1"/>
    <col min="2329" max="2329" width="10" style="570" customWidth="1"/>
    <col min="2330" max="2330" width="12.85546875" style="570" customWidth="1"/>
    <col min="2331" max="2331" width="9.140625" style="570"/>
    <col min="2332" max="2332" width="12.85546875" style="570" customWidth="1"/>
    <col min="2333" max="2333" width="9.140625" style="570"/>
    <col min="2334" max="2334" width="12.85546875" style="570" customWidth="1"/>
    <col min="2335" max="2335" width="9.140625" style="570"/>
    <col min="2336" max="2336" width="13.85546875" style="570" customWidth="1"/>
    <col min="2337" max="2337" width="9.140625" style="570"/>
    <col min="2338" max="2338" width="12.85546875" style="570" customWidth="1"/>
    <col min="2339" max="2339" width="9.140625" style="570"/>
    <col min="2340" max="2340" width="12.85546875" style="570" customWidth="1"/>
    <col min="2341" max="2341" width="9.140625" style="570"/>
    <col min="2342" max="2342" width="12.85546875" style="570" customWidth="1"/>
    <col min="2343" max="2343" width="9.140625" style="570"/>
    <col min="2344" max="2344" width="12.85546875" style="570" customWidth="1"/>
    <col min="2345" max="2345" width="9.140625" style="570"/>
    <col min="2346" max="2346" width="12.85546875" style="570" customWidth="1"/>
    <col min="2347" max="2347" width="9.140625" style="570"/>
    <col min="2348" max="2348" width="12.85546875" style="570" customWidth="1"/>
    <col min="2349" max="2349" width="9.140625" style="570"/>
    <col min="2350" max="2350" width="12.85546875" style="570" customWidth="1"/>
    <col min="2351" max="2351" width="0.140625" style="570" customWidth="1"/>
    <col min="2352" max="2560" width="9.140625" style="570"/>
    <col min="2561" max="2561" width="30.85546875" style="570" bestFit="1" customWidth="1"/>
    <col min="2562" max="2562" width="12.5703125" style="570" bestFit="1" customWidth="1"/>
    <col min="2563" max="2563" width="2.7109375" style="570" customWidth="1"/>
    <col min="2564" max="2564" width="32.7109375" style="570" bestFit="1" customWidth="1"/>
    <col min="2565" max="2565" width="10.5703125" style="570" bestFit="1" customWidth="1"/>
    <col min="2566" max="2566" width="2.85546875" style="570" customWidth="1"/>
    <col min="2567" max="2567" width="32.28515625" style="570" bestFit="1" customWidth="1"/>
    <col min="2568" max="2568" width="12" style="570" customWidth="1"/>
    <col min="2569" max="2569" width="2.5703125" style="570" customWidth="1"/>
    <col min="2570" max="2570" width="16.5703125" style="570" customWidth="1"/>
    <col min="2571" max="2571" width="10.7109375" style="570" customWidth="1"/>
    <col min="2572" max="2572" width="15.42578125" style="570" customWidth="1"/>
    <col min="2573" max="2573" width="10.7109375" style="570" customWidth="1"/>
    <col min="2574" max="2574" width="15.7109375" style="570" customWidth="1"/>
    <col min="2575" max="2575" width="9.140625" style="570"/>
    <col min="2576" max="2576" width="17" style="570" customWidth="1"/>
    <col min="2577" max="2577" width="9.140625" style="570"/>
    <col min="2578" max="2578" width="17.28515625" style="570" customWidth="1"/>
    <col min="2579" max="2579" width="9.140625" style="570"/>
    <col min="2580" max="2580" width="12.85546875" style="570" customWidth="1"/>
    <col min="2581" max="2581" width="9.140625" style="570"/>
    <col min="2582" max="2582" width="12.85546875" style="570" customWidth="1"/>
    <col min="2583" max="2583" width="9.140625" style="570"/>
    <col min="2584" max="2584" width="12.85546875" style="570" customWidth="1"/>
    <col min="2585" max="2585" width="10" style="570" customWidth="1"/>
    <col min="2586" max="2586" width="12.85546875" style="570" customWidth="1"/>
    <col min="2587" max="2587" width="9.140625" style="570"/>
    <col min="2588" max="2588" width="12.85546875" style="570" customWidth="1"/>
    <col min="2589" max="2589" width="9.140625" style="570"/>
    <col min="2590" max="2590" width="12.85546875" style="570" customWidth="1"/>
    <col min="2591" max="2591" width="9.140625" style="570"/>
    <col min="2592" max="2592" width="13.85546875" style="570" customWidth="1"/>
    <col min="2593" max="2593" width="9.140625" style="570"/>
    <col min="2594" max="2594" width="12.85546875" style="570" customWidth="1"/>
    <col min="2595" max="2595" width="9.140625" style="570"/>
    <col min="2596" max="2596" width="12.85546875" style="570" customWidth="1"/>
    <col min="2597" max="2597" width="9.140625" style="570"/>
    <col min="2598" max="2598" width="12.85546875" style="570" customWidth="1"/>
    <col min="2599" max="2599" width="9.140625" style="570"/>
    <col min="2600" max="2600" width="12.85546875" style="570" customWidth="1"/>
    <col min="2601" max="2601" width="9.140625" style="570"/>
    <col min="2602" max="2602" width="12.85546875" style="570" customWidth="1"/>
    <col min="2603" max="2603" width="9.140625" style="570"/>
    <col min="2604" max="2604" width="12.85546875" style="570" customWidth="1"/>
    <col min="2605" max="2605" width="9.140625" style="570"/>
    <col min="2606" max="2606" width="12.85546875" style="570" customWidth="1"/>
    <col min="2607" max="2607" width="0.140625" style="570" customWidth="1"/>
    <col min="2608" max="2816" width="9.140625" style="570"/>
    <col min="2817" max="2817" width="30.85546875" style="570" bestFit="1" customWidth="1"/>
    <col min="2818" max="2818" width="12.5703125" style="570" bestFit="1" customWidth="1"/>
    <col min="2819" max="2819" width="2.7109375" style="570" customWidth="1"/>
    <col min="2820" max="2820" width="32.7109375" style="570" bestFit="1" customWidth="1"/>
    <col min="2821" max="2821" width="10.5703125" style="570" bestFit="1" customWidth="1"/>
    <col min="2822" max="2822" width="2.85546875" style="570" customWidth="1"/>
    <col min="2823" max="2823" width="32.28515625" style="570" bestFit="1" customWidth="1"/>
    <col min="2824" max="2824" width="12" style="570" customWidth="1"/>
    <col min="2825" max="2825" width="2.5703125" style="570" customWidth="1"/>
    <col min="2826" max="2826" width="16.5703125" style="570" customWidth="1"/>
    <col min="2827" max="2827" width="10.7109375" style="570" customWidth="1"/>
    <col min="2828" max="2828" width="15.42578125" style="570" customWidth="1"/>
    <col min="2829" max="2829" width="10.7109375" style="570" customWidth="1"/>
    <col min="2830" max="2830" width="15.7109375" style="570" customWidth="1"/>
    <col min="2831" max="2831" width="9.140625" style="570"/>
    <col min="2832" max="2832" width="17" style="570" customWidth="1"/>
    <col min="2833" max="2833" width="9.140625" style="570"/>
    <col min="2834" max="2834" width="17.28515625" style="570" customWidth="1"/>
    <col min="2835" max="2835" width="9.140625" style="570"/>
    <col min="2836" max="2836" width="12.85546875" style="570" customWidth="1"/>
    <col min="2837" max="2837" width="9.140625" style="570"/>
    <col min="2838" max="2838" width="12.85546875" style="570" customWidth="1"/>
    <col min="2839" max="2839" width="9.140625" style="570"/>
    <col min="2840" max="2840" width="12.85546875" style="570" customWidth="1"/>
    <col min="2841" max="2841" width="10" style="570" customWidth="1"/>
    <col min="2842" max="2842" width="12.85546875" style="570" customWidth="1"/>
    <col min="2843" max="2843" width="9.140625" style="570"/>
    <col min="2844" max="2844" width="12.85546875" style="570" customWidth="1"/>
    <col min="2845" max="2845" width="9.140625" style="570"/>
    <col min="2846" max="2846" width="12.85546875" style="570" customWidth="1"/>
    <col min="2847" max="2847" width="9.140625" style="570"/>
    <col min="2848" max="2848" width="13.85546875" style="570" customWidth="1"/>
    <col min="2849" max="2849" width="9.140625" style="570"/>
    <col min="2850" max="2850" width="12.85546875" style="570" customWidth="1"/>
    <col min="2851" max="2851" width="9.140625" style="570"/>
    <col min="2852" max="2852" width="12.85546875" style="570" customWidth="1"/>
    <col min="2853" max="2853" width="9.140625" style="570"/>
    <col min="2854" max="2854" width="12.85546875" style="570" customWidth="1"/>
    <col min="2855" max="2855" width="9.140625" style="570"/>
    <col min="2856" max="2856" width="12.85546875" style="570" customWidth="1"/>
    <col min="2857" max="2857" width="9.140625" style="570"/>
    <col min="2858" max="2858" width="12.85546875" style="570" customWidth="1"/>
    <col min="2859" max="2859" width="9.140625" style="570"/>
    <col min="2860" max="2860" width="12.85546875" style="570" customWidth="1"/>
    <col min="2861" max="2861" width="9.140625" style="570"/>
    <col min="2862" max="2862" width="12.85546875" style="570" customWidth="1"/>
    <col min="2863" max="2863" width="0.140625" style="570" customWidth="1"/>
    <col min="2864" max="3072" width="9.140625" style="570"/>
    <col min="3073" max="3073" width="30.85546875" style="570" bestFit="1" customWidth="1"/>
    <col min="3074" max="3074" width="12.5703125" style="570" bestFit="1" customWidth="1"/>
    <col min="3075" max="3075" width="2.7109375" style="570" customWidth="1"/>
    <col min="3076" max="3076" width="32.7109375" style="570" bestFit="1" customWidth="1"/>
    <col min="3077" max="3077" width="10.5703125" style="570" bestFit="1" customWidth="1"/>
    <col min="3078" max="3078" width="2.85546875" style="570" customWidth="1"/>
    <col min="3079" max="3079" width="32.28515625" style="570" bestFit="1" customWidth="1"/>
    <col min="3080" max="3080" width="12" style="570" customWidth="1"/>
    <col min="3081" max="3081" width="2.5703125" style="570" customWidth="1"/>
    <col min="3082" max="3082" width="16.5703125" style="570" customWidth="1"/>
    <col min="3083" max="3083" width="10.7109375" style="570" customWidth="1"/>
    <col min="3084" max="3084" width="15.42578125" style="570" customWidth="1"/>
    <col min="3085" max="3085" width="10.7109375" style="570" customWidth="1"/>
    <col min="3086" max="3086" width="15.7109375" style="570" customWidth="1"/>
    <col min="3087" max="3087" width="9.140625" style="570"/>
    <col min="3088" max="3088" width="17" style="570" customWidth="1"/>
    <col min="3089" max="3089" width="9.140625" style="570"/>
    <col min="3090" max="3090" width="17.28515625" style="570" customWidth="1"/>
    <col min="3091" max="3091" width="9.140625" style="570"/>
    <col min="3092" max="3092" width="12.85546875" style="570" customWidth="1"/>
    <col min="3093" max="3093" width="9.140625" style="570"/>
    <col min="3094" max="3094" width="12.85546875" style="570" customWidth="1"/>
    <col min="3095" max="3095" width="9.140625" style="570"/>
    <col min="3096" max="3096" width="12.85546875" style="570" customWidth="1"/>
    <col min="3097" max="3097" width="10" style="570" customWidth="1"/>
    <col min="3098" max="3098" width="12.85546875" style="570" customWidth="1"/>
    <col min="3099" max="3099" width="9.140625" style="570"/>
    <col min="3100" max="3100" width="12.85546875" style="570" customWidth="1"/>
    <col min="3101" max="3101" width="9.140625" style="570"/>
    <col min="3102" max="3102" width="12.85546875" style="570" customWidth="1"/>
    <col min="3103" max="3103" width="9.140625" style="570"/>
    <col min="3104" max="3104" width="13.85546875" style="570" customWidth="1"/>
    <col min="3105" max="3105" width="9.140625" style="570"/>
    <col min="3106" max="3106" width="12.85546875" style="570" customWidth="1"/>
    <col min="3107" max="3107" width="9.140625" style="570"/>
    <col min="3108" max="3108" width="12.85546875" style="570" customWidth="1"/>
    <col min="3109" max="3109" width="9.140625" style="570"/>
    <col min="3110" max="3110" width="12.85546875" style="570" customWidth="1"/>
    <col min="3111" max="3111" width="9.140625" style="570"/>
    <col min="3112" max="3112" width="12.85546875" style="570" customWidth="1"/>
    <col min="3113" max="3113" width="9.140625" style="570"/>
    <col min="3114" max="3114" width="12.85546875" style="570" customWidth="1"/>
    <col min="3115" max="3115" width="9.140625" style="570"/>
    <col min="3116" max="3116" width="12.85546875" style="570" customWidth="1"/>
    <col min="3117" max="3117" width="9.140625" style="570"/>
    <col min="3118" max="3118" width="12.85546875" style="570" customWidth="1"/>
    <col min="3119" max="3119" width="0.140625" style="570" customWidth="1"/>
    <col min="3120" max="3328" width="9.140625" style="570"/>
    <col min="3329" max="3329" width="30.85546875" style="570" bestFit="1" customWidth="1"/>
    <col min="3330" max="3330" width="12.5703125" style="570" bestFit="1" customWidth="1"/>
    <col min="3331" max="3331" width="2.7109375" style="570" customWidth="1"/>
    <col min="3332" max="3332" width="32.7109375" style="570" bestFit="1" customWidth="1"/>
    <col min="3333" max="3333" width="10.5703125" style="570" bestFit="1" customWidth="1"/>
    <col min="3334" max="3334" width="2.85546875" style="570" customWidth="1"/>
    <col min="3335" max="3335" width="32.28515625" style="570" bestFit="1" customWidth="1"/>
    <col min="3336" max="3336" width="12" style="570" customWidth="1"/>
    <col min="3337" max="3337" width="2.5703125" style="570" customWidth="1"/>
    <col min="3338" max="3338" width="16.5703125" style="570" customWidth="1"/>
    <col min="3339" max="3339" width="10.7109375" style="570" customWidth="1"/>
    <col min="3340" max="3340" width="15.42578125" style="570" customWidth="1"/>
    <col min="3341" max="3341" width="10.7109375" style="570" customWidth="1"/>
    <col min="3342" max="3342" width="15.7109375" style="570" customWidth="1"/>
    <col min="3343" max="3343" width="9.140625" style="570"/>
    <col min="3344" max="3344" width="17" style="570" customWidth="1"/>
    <col min="3345" max="3345" width="9.140625" style="570"/>
    <col min="3346" max="3346" width="17.28515625" style="570" customWidth="1"/>
    <col min="3347" max="3347" width="9.140625" style="570"/>
    <col min="3348" max="3348" width="12.85546875" style="570" customWidth="1"/>
    <col min="3349" max="3349" width="9.140625" style="570"/>
    <col min="3350" max="3350" width="12.85546875" style="570" customWidth="1"/>
    <col min="3351" max="3351" width="9.140625" style="570"/>
    <col min="3352" max="3352" width="12.85546875" style="570" customWidth="1"/>
    <col min="3353" max="3353" width="10" style="570" customWidth="1"/>
    <col min="3354" max="3354" width="12.85546875" style="570" customWidth="1"/>
    <col min="3355" max="3355" width="9.140625" style="570"/>
    <col min="3356" max="3356" width="12.85546875" style="570" customWidth="1"/>
    <col min="3357" max="3357" width="9.140625" style="570"/>
    <col min="3358" max="3358" width="12.85546875" style="570" customWidth="1"/>
    <col min="3359" max="3359" width="9.140625" style="570"/>
    <col min="3360" max="3360" width="13.85546875" style="570" customWidth="1"/>
    <col min="3361" max="3361" width="9.140625" style="570"/>
    <col min="3362" max="3362" width="12.85546875" style="570" customWidth="1"/>
    <col min="3363" max="3363" width="9.140625" style="570"/>
    <col min="3364" max="3364" width="12.85546875" style="570" customWidth="1"/>
    <col min="3365" max="3365" width="9.140625" style="570"/>
    <col min="3366" max="3366" width="12.85546875" style="570" customWidth="1"/>
    <col min="3367" max="3367" width="9.140625" style="570"/>
    <col min="3368" max="3368" width="12.85546875" style="570" customWidth="1"/>
    <col min="3369" max="3369" width="9.140625" style="570"/>
    <col min="3370" max="3370" width="12.85546875" style="570" customWidth="1"/>
    <col min="3371" max="3371" width="9.140625" style="570"/>
    <col min="3372" max="3372" width="12.85546875" style="570" customWidth="1"/>
    <col min="3373" max="3373" width="9.140625" style="570"/>
    <col min="3374" max="3374" width="12.85546875" style="570" customWidth="1"/>
    <col min="3375" max="3375" width="0.140625" style="570" customWidth="1"/>
    <col min="3376" max="3584" width="9.140625" style="570"/>
    <col min="3585" max="3585" width="30.85546875" style="570" bestFit="1" customWidth="1"/>
    <col min="3586" max="3586" width="12.5703125" style="570" bestFit="1" customWidth="1"/>
    <col min="3587" max="3587" width="2.7109375" style="570" customWidth="1"/>
    <col min="3588" max="3588" width="32.7109375" style="570" bestFit="1" customWidth="1"/>
    <col min="3589" max="3589" width="10.5703125" style="570" bestFit="1" customWidth="1"/>
    <col min="3590" max="3590" width="2.85546875" style="570" customWidth="1"/>
    <col min="3591" max="3591" width="32.28515625" style="570" bestFit="1" customWidth="1"/>
    <col min="3592" max="3592" width="12" style="570" customWidth="1"/>
    <col min="3593" max="3593" width="2.5703125" style="570" customWidth="1"/>
    <col min="3594" max="3594" width="16.5703125" style="570" customWidth="1"/>
    <col min="3595" max="3595" width="10.7109375" style="570" customWidth="1"/>
    <col min="3596" max="3596" width="15.42578125" style="570" customWidth="1"/>
    <col min="3597" max="3597" width="10.7109375" style="570" customWidth="1"/>
    <col min="3598" max="3598" width="15.7109375" style="570" customWidth="1"/>
    <col min="3599" max="3599" width="9.140625" style="570"/>
    <col min="3600" max="3600" width="17" style="570" customWidth="1"/>
    <col min="3601" max="3601" width="9.140625" style="570"/>
    <col min="3602" max="3602" width="17.28515625" style="570" customWidth="1"/>
    <col min="3603" max="3603" width="9.140625" style="570"/>
    <col min="3604" max="3604" width="12.85546875" style="570" customWidth="1"/>
    <col min="3605" max="3605" width="9.140625" style="570"/>
    <col min="3606" max="3606" width="12.85546875" style="570" customWidth="1"/>
    <col min="3607" max="3607" width="9.140625" style="570"/>
    <col min="3608" max="3608" width="12.85546875" style="570" customWidth="1"/>
    <col min="3609" max="3609" width="10" style="570" customWidth="1"/>
    <col min="3610" max="3610" width="12.85546875" style="570" customWidth="1"/>
    <col min="3611" max="3611" width="9.140625" style="570"/>
    <col min="3612" max="3612" width="12.85546875" style="570" customWidth="1"/>
    <col min="3613" max="3613" width="9.140625" style="570"/>
    <col min="3614" max="3614" width="12.85546875" style="570" customWidth="1"/>
    <col min="3615" max="3615" width="9.140625" style="570"/>
    <col min="3616" max="3616" width="13.85546875" style="570" customWidth="1"/>
    <col min="3617" max="3617" width="9.140625" style="570"/>
    <col min="3618" max="3618" width="12.85546875" style="570" customWidth="1"/>
    <col min="3619" max="3619" width="9.140625" style="570"/>
    <col min="3620" max="3620" width="12.85546875" style="570" customWidth="1"/>
    <col min="3621" max="3621" width="9.140625" style="570"/>
    <col min="3622" max="3622" width="12.85546875" style="570" customWidth="1"/>
    <col min="3623" max="3623" width="9.140625" style="570"/>
    <col min="3624" max="3624" width="12.85546875" style="570" customWidth="1"/>
    <col min="3625" max="3625" width="9.140625" style="570"/>
    <col min="3626" max="3626" width="12.85546875" style="570" customWidth="1"/>
    <col min="3627" max="3627" width="9.140625" style="570"/>
    <col min="3628" max="3628" width="12.85546875" style="570" customWidth="1"/>
    <col min="3629" max="3629" width="9.140625" style="570"/>
    <col min="3630" max="3630" width="12.85546875" style="570" customWidth="1"/>
    <col min="3631" max="3631" width="0.140625" style="570" customWidth="1"/>
    <col min="3632" max="3840" width="9.140625" style="570"/>
    <col min="3841" max="3841" width="30.85546875" style="570" bestFit="1" customWidth="1"/>
    <col min="3842" max="3842" width="12.5703125" style="570" bestFit="1" customWidth="1"/>
    <col min="3843" max="3843" width="2.7109375" style="570" customWidth="1"/>
    <col min="3844" max="3844" width="32.7109375" style="570" bestFit="1" customWidth="1"/>
    <col min="3845" max="3845" width="10.5703125" style="570" bestFit="1" customWidth="1"/>
    <col min="3846" max="3846" width="2.85546875" style="570" customWidth="1"/>
    <col min="3847" max="3847" width="32.28515625" style="570" bestFit="1" customWidth="1"/>
    <col min="3848" max="3848" width="12" style="570" customWidth="1"/>
    <col min="3849" max="3849" width="2.5703125" style="570" customWidth="1"/>
    <col min="3850" max="3850" width="16.5703125" style="570" customWidth="1"/>
    <col min="3851" max="3851" width="10.7109375" style="570" customWidth="1"/>
    <col min="3852" max="3852" width="15.42578125" style="570" customWidth="1"/>
    <col min="3853" max="3853" width="10.7109375" style="570" customWidth="1"/>
    <col min="3854" max="3854" width="15.7109375" style="570" customWidth="1"/>
    <col min="3855" max="3855" width="9.140625" style="570"/>
    <col min="3856" max="3856" width="17" style="570" customWidth="1"/>
    <col min="3857" max="3857" width="9.140625" style="570"/>
    <col min="3858" max="3858" width="17.28515625" style="570" customWidth="1"/>
    <col min="3859" max="3859" width="9.140625" style="570"/>
    <col min="3860" max="3860" width="12.85546875" style="570" customWidth="1"/>
    <col min="3861" max="3861" width="9.140625" style="570"/>
    <col min="3862" max="3862" width="12.85546875" style="570" customWidth="1"/>
    <col min="3863" max="3863" width="9.140625" style="570"/>
    <col min="3864" max="3864" width="12.85546875" style="570" customWidth="1"/>
    <col min="3865" max="3865" width="10" style="570" customWidth="1"/>
    <col min="3866" max="3866" width="12.85546875" style="570" customWidth="1"/>
    <col min="3867" max="3867" width="9.140625" style="570"/>
    <col min="3868" max="3868" width="12.85546875" style="570" customWidth="1"/>
    <col min="3869" max="3869" width="9.140625" style="570"/>
    <col min="3870" max="3870" width="12.85546875" style="570" customWidth="1"/>
    <col min="3871" max="3871" width="9.140625" style="570"/>
    <col min="3872" max="3872" width="13.85546875" style="570" customWidth="1"/>
    <col min="3873" max="3873" width="9.140625" style="570"/>
    <col min="3874" max="3874" width="12.85546875" style="570" customWidth="1"/>
    <col min="3875" max="3875" width="9.140625" style="570"/>
    <col min="3876" max="3876" width="12.85546875" style="570" customWidth="1"/>
    <col min="3877" max="3877" width="9.140625" style="570"/>
    <col min="3878" max="3878" width="12.85546875" style="570" customWidth="1"/>
    <col min="3879" max="3879" width="9.140625" style="570"/>
    <col min="3880" max="3880" width="12.85546875" style="570" customWidth="1"/>
    <col min="3881" max="3881" width="9.140625" style="570"/>
    <col min="3882" max="3882" width="12.85546875" style="570" customWidth="1"/>
    <col min="3883" max="3883" width="9.140625" style="570"/>
    <col min="3884" max="3884" width="12.85546875" style="570" customWidth="1"/>
    <col min="3885" max="3885" width="9.140625" style="570"/>
    <col min="3886" max="3886" width="12.85546875" style="570" customWidth="1"/>
    <col min="3887" max="3887" width="0.140625" style="570" customWidth="1"/>
    <col min="3888" max="4096" width="9.140625" style="570"/>
    <col min="4097" max="4097" width="30.85546875" style="570" bestFit="1" customWidth="1"/>
    <col min="4098" max="4098" width="12.5703125" style="570" bestFit="1" customWidth="1"/>
    <col min="4099" max="4099" width="2.7109375" style="570" customWidth="1"/>
    <col min="4100" max="4100" width="32.7109375" style="570" bestFit="1" customWidth="1"/>
    <col min="4101" max="4101" width="10.5703125" style="570" bestFit="1" customWidth="1"/>
    <col min="4102" max="4102" width="2.85546875" style="570" customWidth="1"/>
    <col min="4103" max="4103" width="32.28515625" style="570" bestFit="1" customWidth="1"/>
    <col min="4104" max="4104" width="12" style="570" customWidth="1"/>
    <col min="4105" max="4105" width="2.5703125" style="570" customWidth="1"/>
    <col min="4106" max="4106" width="16.5703125" style="570" customWidth="1"/>
    <col min="4107" max="4107" width="10.7109375" style="570" customWidth="1"/>
    <col min="4108" max="4108" width="15.42578125" style="570" customWidth="1"/>
    <col min="4109" max="4109" width="10.7109375" style="570" customWidth="1"/>
    <col min="4110" max="4110" width="15.7109375" style="570" customWidth="1"/>
    <col min="4111" max="4111" width="9.140625" style="570"/>
    <col min="4112" max="4112" width="17" style="570" customWidth="1"/>
    <col min="4113" max="4113" width="9.140625" style="570"/>
    <col min="4114" max="4114" width="17.28515625" style="570" customWidth="1"/>
    <col min="4115" max="4115" width="9.140625" style="570"/>
    <col min="4116" max="4116" width="12.85546875" style="570" customWidth="1"/>
    <col min="4117" max="4117" width="9.140625" style="570"/>
    <col min="4118" max="4118" width="12.85546875" style="570" customWidth="1"/>
    <col min="4119" max="4119" width="9.140625" style="570"/>
    <col min="4120" max="4120" width="12.85546875" style="570" customWidth="1"/>
    <col min="4121" max="4121" width="10" style="570" customWidth="1"/>
    <col min="4122" max="4122" width="12.85546875" style="570" customWidth="1"/>
    <col min="4123" max="4123" width="9.140625" style="570"/>
    <col min="4124" max="4124" width="12.85546875" style="570" customWidth="1"/>
    <col min="4125" max="4125" width="9.140625" style="570"/>
    <col min="4126" max="4126" width="12.85546875" style="570" customWidth="1"/>
    <col min="4127" max="4127" width="9.140625" style="570"/>
    <col min="4128" max="4128" width="13.85546875" style="570" customWidth="1"/>
    <col min="4129" max="4129" width="9.140625" style="570"/>
    <col min="4130" max="4130" width="12.85546875" style="570" customWidth="1"/>
    <col min="4131" max="4131" width="9.140625" style="570"/>
    <col min="4132" max="4132" width="12.85546875" style="570" customWidth="1"/>
    <col min="4133" max="4133" width="9.140625" style="570"/>
    <col min="4134" max="4134" width="12.85546875" style="570" customWidth="1"/>
    <col min="4135" max="4135" width="9.140625" style="570"/>
    <col min="4136" max="4136" width="12.85546875" style="570" customWidth="1"/>
    <col min="4137" max="4137" width="9.140625" style="570"/>
    <col min="4138" max="4138" width="12.85546875" style="570" customWidth="1"/>
    <col min="4139" max="4139" width="9.140625" style="570"/>
    <col min="4140" max="4140" width="12.85546875" style="570" customWidth="1"/>
    <col min="4141" max="4141" width="9.140625" style="570"/>
    <col min="4142" max="4142" width="12.85546875" style="570" customWidth="1"/>
    <col min="4143" max="4143" width="0.140625" style="570" customWidth="1"/>
    <col min="4144" max="4352" width="9.140625" style="570"/>
    <col min="4353" max="4353" width="30.85546875" style="570" bestFit="1" customWidth="1"/>
    <col min="4354" max="4354" width="12.5703125" style="570" bestFit="1" customWidth="1"/>
    <col min="4355" max="4355" width="2.7109375" style="570" customWidth="1"/>
    <col min="4356" max="4356" width="32.7109375" style="570" bestFit="1" customWidth="1"/>
    <col min="4357" max="4357" width="10.5703125" style="570" bestFit="1" customWidth="1"/>
    <col min="4358" max="4358" width="2.85546875" style="570" customWidth="1"/>
    <col min="4359" max="4359" width="32.28515625" style="570" bestFit="1" customWidth="1"/>
    <col min="4360" max="4360" width="12" style="570" customWidth="1"/>
    <col min="4361" max="4361" width="2.5703125" style="570" customWidth="1"/>
    <col min="4362" max="4362" width="16.5703125" style="570" customWidth="1"/>
    <col min="4363" max="4363" width="10.7109375" style="570" customWidth="1"/>
    <col min="4364" max="4364" width="15.42578125" style="570" customWidth="1"/>
    <col min="4365" max="4365" width="10.7109375" style="570" customWidth="1"/>
    <col min="4366" max="4366" width="15.7109375" style="570" customWidth="1"/>
    <col min="4367" max="4367" width="9.140625" style="570"/>
    <col min="4368" max="4368" width="17" style="570" customWidth="1"/>
    <col min="4369" max="4369" width="9.140625" style="570"/>
    <col min="4370" max="4370" width="17.28515625" style="570" customWidth="1"/>
    <col min="4371" max="4371" width="9.140625" style="570"/>
    <col min="4372" max="4372" width="12.85546875" style="570" customWidth="1"/>
    <col min="4373" max="4373" width="9.140625" style="570"/>
    <col min="4374" max="4374" width="12.85546875" style="570" customWidth="1"/>
    <col min="4375" max="4375" width="9.140625" style="570"/>
    <col min="4376" max="4376" width="12.85546875" style="570" customWidth="1"/>
    <col min="4377" max="4377" width="10" style="570" customWidth="1"/>
    <col min="4378" max="4378" width="12.85546875" style="570" customWidth="1"/>
    <col min="4379" max="4379" width="9.140625" style="570"/>
    <col min="4380" max="4380" width="12.85546875" style="570" customWidth="1"/>
    <col min="4381" max="4381" width="9.140625" style="570"/>
    <col min="4382" max="4382" width="12.85546875" style="570" customWidth="1"/>
    <col min="4383" max="4383" width="9.140625" style="570"/>
    <col min="4384" max="4384" width="13.85546875" style="570" customWidth="1"/>
    <col min="4385" max="4385" width="9.140625" style="570"/>
    <col min="4386" max="4386" width="12.85546875" style="570" customWidth="1"/>
    <col min="4387" max="4387" width="9.140625" style="570"/>
    <col min="4388" max="4388" width="12.85546875" style="570" customWidth="1"/>
    <col min="4389" max="4389" width="9.140625" style="570"/>
    <col min="4390" max="4390" width="12.85546875" style="570" customWidth="1"/>
    <col min="4391" max="4391" width="9.140625" style="570"/>
    <col min="4392" max="4392" width="12.85546875" style="570" customWidth="1"/>
    <col min="4393" max="4393" width="9.140625" style="570"/>
    <col min="4394" max="4394" width="12.85546875" style="570" customWidth="1"/>
    <col min="4395" max="4395" width="9.140625" style="570"/>
    <col min="4396" max="4396" width="12.85546875" style="570" customWidth="1"/>
    <col min="4397" max="4397" width="9.140625" style="570"/>
    <col min="4398" max="4398" width="12.85546875" style="570" customWidth="1"/>
    <col min="4399" max="4399" width="0.140625" style="570" customWidth="1"/>
    <col min="4400" max="4608" width="9.140625" style="570"/>
    <col min="4609" max="4609" width="30.85546875" style="570" bestFit="1" customWidth="1"/>
    <col min="4610" max="4610" width="12.5703125" style="570" bestFit="1" customWidth="1"/>
    <col min="4611" max="4611" width="2.7109375" style="570" customWidth="1"/>
    <col min="4612" max="4612" width="32.7109375" style="570" bestFit="1" customWidth="1"/>
    <col min="4613" max="4613" width="10.5703125" style="570" bestFit="1" customWidth="1"/>
    <col min="4614" max="4614" width="2.85546875" style="570" customWidth="1"/>
    <col min="4615" max="4615" width="32.28515625" style="570" bestFit="1" customWidth="1"/>
    <col min="4616" max="4616" width="12" style="570" customWidth="1"/>
    <col min="4617" max="4617" width="2.5703125" style="570" customWidth="1"/>
    <col min="4618" max="4618" width="16.5703125" style="570" customWidth="1"/>
    <col min="4619" max="4619" width="10.7109375" style="570" customWidth="1"/>
    <col min="4620" max="4620" width="15.42578125" style="570" customWidth="1"/>
    <col min="4621" max="4621" width="10.7109375" style="570" customWidth="1"/>
    <col min="4622" max="4622" width="15.7109375" style="570" customWidth="1"/>
    <col min="4623" max="4623" width="9.140625" style="570"/>
    <col min="4624" max="4624" width="17" style="570" customWidth="1"/>
    <col min="4625" max="4625" width="9.140625" style="570"/>
    <col min="4626" max="4626" width="17.28515625" style="570" customWidth="1"/>
    <col min="4627" max="4627" width="9.140625" style="570"/>
    <col min="4628" max="4628" width="12.85546875" style="570" customWidth="1"/>
    <col min="4629" max="4629" width="9.140625" style="570"/>
    <col min="4630" max="4630" width="12.85546875" style="570" customWidth="1"/>
    <col min="4631" max="4631" width="9.140625" style="570"/>
    <col min="4632" max="4632" width="12.85546875" style="570" customWidth="1"/>
    <col min="4633" max="4633" width="10" style="570" customWidth="1"/>
    <col min="4634" max="4634" width="12.85546875" style="570" customWidth="1"/>
    <col min="4635" max="4635" width="9.140625" style="570"/>
    <col min="4636" max="4636" width="12.85546875" style="570" customWidth="1"/>
    <col min="4637" max="4637" width="9.140625" style="570"/>
    <col min="4638" max="4638" width="12.85546875" style="570" customWidth="1"/>
    <col min="4639" max="4639" width="9.140625" style="570"/>
    <col min="4640" max="4640" width="13.85546875" style="570" customWidth="1"/>
    <col min="4641" max="4641" width="9.140625" style="570"/>
    <col min="4642" max="4642" width="12.85546875" style="570" customWidth="1"/>
    <col min="4643" max="4643" width="9.140625" style="570"/>
    <col min="4644" max="4644" width="12.85546875" style="570" customWidth="1"/>
    <col min="4645" max="4645" width="9.140625" style="570"/>
    <col min="4646" max="4646" width="12.85546875" style="570" customWidth="1"/>
    <col min="4647" max="4647" width="9.140625" style="570"/>
    <col min="4648" max="4648" width="12.85546875" style="570" customWidth="1"/>
    <col min="4649" max="4649" width="9.140625" style="570"/>
    <col min="4650" max="4650" width="12.85546875" style="570" customWidth="1"/>
    <col min="4651" max="4651" width="9.140625" style="570"/>
    <col min="4652" max="4652" width="12.85546875" style="570" customWidth="1"/>
    <col min="4653" max="4653" width="9.140625" style="570"/>
    <col min="4654" max="4654" width="12.85546875" style="570" customWidth="1"/>
    <col min="4655" max="4655" width="0.140625" style="570" customWidth="1"/>
    <col min="4656" max="4864" width="9.140625" style="570"/>
    <col min="4865" max="4865" width="30.85546875" style="570" bestFit="1" customWidth="1"/>
    <col min="4866" max="4866" width="12.5703125" style="570" bestFit="1" customWidth="1"/>
    <col min="4867" max="4867" width="2.7109375" style="570" customWidth="1"/>
    <col min="4868" max="4868" width="32.7109375" style="570" bestFit="1" customWidth="1"/>
    <col min="4869" max="4869" width="10.5703125" style="570" bestFit="1" customWidth="1"/>
    <col min="4870" max="4870" width="2.85546875" style="570" customWidth="1"/>
    <col min="4871" max="4871" width="32.28515625" style="570" bestFit="1" customWidth="1"/>
    <col min="4872" max="4872" width="12" style="570" customWidth="1"/>
    <col min="4873" max="4873" width="2.5703125" style="570" customWidth="1"/>
    <col min="4874" max="4874" width="16.5703125" style="570" customWidth="1"/>
    <col min="4875" max="4875" width="10.7109375" style="570" customWidth="1"/>
    <col min="4876" max="4876" width="15.42578125" style="570" customWidth="1"/>
    <col min="4877" max="4877" width="10.7109375" style="570" customWidth="1"/>
    <col min="4878" max="4878" width="15.7109375" style="570" customWidth="1"/>
    <col min="4879" max="4879" width="9.140625" style="570"/>
    <col min="4880" max="4880" width="17" style="570" customWidth="1"/>
    <col min="4881" max="4881" width="9.140625" style="570"/>
    <col min="4882" max="4882" width="17.28515625" style="570" customWidth="1"/>
    <col min="4883" max="4883" width="9.140625" style="570"/>
    <col min="4884" max="4884" width="12.85546875" style="570" customWidth="1"/>
    <col min="4885" max="4885" width="9.140625" style="570"/>
    <col min="4886" max="4886" width="12.85546875" style="570" customWidth="1"/>
    <col min="4887" max="4887" width="9.140625" style="570"/>
    <col min="4888" max="4888" width="12.85546875" style="570" customWidth="1"/>
    <col min="4889" max="4889" width="10" style="570" customWidth="1"/>
    <col min="4890" max="4890" width="12.85546875" style="570" customWidth="1"/>
    <col min="4891" max="4891" width="9.140625" style="570"/>
    <col min="4892" max="4892" width="12.85546875" style="570" customWidth="1"/>
    <col min="4893" max="4893" width="9.140625" style="570"/>
    <col min="4894" max="4894" width="12.85546875" style="570" customWidth="1"/>
    <col min="4895" max="4895" width="9.140625" style="570"/>
    <col min="4896" max="4896" width="13.85546875" style="570" customWidth="1"/>
    <col min="4897" max="4897" width="9.140625" style="570"/>
    <col min="4898" max="4898" width="12.85546875" style="570" customWidth="1"/>
    <col min="4899" max="4899" width="9.140625" style="570"/>
    <col min="4900" max="4900" width="12.85546875" style="570" customWidth="1"/>
    <col min="4901" max="4901" width="9.140625" style="570"/>
    <col min="4902" max="4902" width="12.85546875" style="570" customWidth="1"/>
    <col min="4903" max="4903" width="9.140625" style="570"/>
    <col min="4904" max="4904" width="12.85546875" style="570" customWidth="1"/>
    <col min="4905" max="4905" width="9.140625" style="570"/>
    <col min="4906" max="4906" width="12.85546875" style="570" customWidth="1"/>
    <col min="4907" max="4907" width="9.140625" style="570"/>
    <col min="4908" max="4908" width="12.85546875" style="570" customWidth="1"/>
    <col min="4909" max="4909" width="9.140625" style="570"/>
    <col min="4910" max="4910" width="12.85546875" style="570" customWidth="1"/>
    <col min="4911" max="4911" width="0.140625" style="570" customWidth="1"/>
    <col min="4912" max="5120" width="9.140625" style="570"/>
    <col min="5121" max="5121" width="30.85546875" style="570" bestFit="1" customWidth="1"/>
    <col min="5122" max="5122" width="12.5703125" style="570" bestFit="1" customWidth="1"/>
    <col min="5123" max="5123" width="2.7109375" style="570" customWidth="1"/>
    <col min="5124" max="5124" width="32.7109375" style="570" bestFit="1" customWidth="1"/>
    <col min="5125" max="5125" width="10.5703125" style="570" bestFit="1" customWidth="1"/>
    <col min="5126" max="5126" width="2.85546875" style="570" customWidth="1"/>
    <col min="5127" max="5127" width="32.28515625" style="570" bestFit="1" customWidth="1"/>
    <col min="5128" max="5128" width="12" style="570" customWidth="1"/>
    <col min="5129" max="5129" width="2.5703125" style="570" customWidth="1"/>
    <col min="5130" max="5130" width="16.5703125" style="570" customWidth="1"/>
    <col min="5131" max="5131" width="10.7109375" style="570" customWidth="1"/>
    <col min="5132" max="5132" width="15.42578125" style="570" customWidth="1"/>
    <col min="5133" max="5133" width="10.7109375" style="570" customWidth="1"/>
    <col min="5134" max="5134" width="15.7109375" style="570" customWidth="1"/>
    <col min="5135" max="5135" width="9.140625" style="570"/>
    <col min="5136" max="5136" width="17" style="570" customWidth="1"/>
    <col min="5137" max="5137" width="9.140625" style="570"/>
    <col min="5138" max="5138" width="17.28515625" style="570" customWidth="1"/>
    <col min="5139" max="5139" width="9.140625" style="570"/>
    <col min="5140" max="5140" width="12.85546875" style="570" customWidth="1"/>
    <col min="5141" max="5141" width="9.140625" style="570"/>
    <col min="5142" max="5142" width="12.85546875" style="570" customWidth="1"/>
    <col min="5143" max="5143" width="9.140625" style="570"/>
    <col min="5144" max="5144" width="12.85546875" style="570" customWidth="1"/>
    <col min="5145" max="5145" width="10" style="570" customWidth="1"/>
    <col min="5146" max="5146" width="12.85546875" style="570" customWidth="1"/>
    <col min="5147" max="5147" width="9.140625" style="570"/>
    <col min="5148" max="5148" width="12.85546875" style="570" customWidth="1"/>
    <col min="5149" max="5149" width="9.140625" style="570"/>
    <col min="5150" max="5150" width="12.85546875" style="570" customWidth="1"/>
    <col min="5151" max="5151" width="9.140625" style="570"/>
    <col min="5152" max="5152" width="13.85546875" style="570" customWidth="1"/>
    <col min="5153" max="5153" width="9.140625" style="570"/>
    <col min="5154" max="5154" width="12.85546875" style="570" customWidth="1"/>
    <col min="5155" max="5155" width="9.140625" style="570"/>
    <col min="5156" max="5156" width="12.85546875" style="570" customWidth="1"/>
    <col min="5157" max="5157" width="9.140625" style="570"/>
    <col min="5158" max="5158" width="12.85546875" style="570" customWidth="1"/>
    <col min="5159" max="5159" width="9.140625" style="570"/>
    <col min="5160" max="5160" width="12.85546875" style="570" customWidth="1"/>
    <col min="5161" max="5161" width="9.140625" style="570"/>
    <col min="5162" max="5162" width="12.85546875" style="570" customWidth="1"/>
    <col min="5163" max="5163" width="9.140625" style="570"/>
    <col min="5164" max="5164" width="12.85546875" style="570" customWidth="1"/>
    <col min="5165" max="5165" width="9.140625" style="570"/>
    <col min="5166" max="5166" width="12.85546875" style="570" customWidth="1"/>
    <col min="5167" max="5167" width="0.140625" style="570" customWidth="1"/>
    <col min="5168" max="5376" width="9.140625" style="570"/>
    <col min="5377" max="5377" width="30.85546875" style="570" bestFit="1" customWidth="1"/>
    <col min="5378" max="5378" width="12.5703125" style="570" bestFit="1" customWidth="1"/>
    <col min="5379" max="5379" width="2.7109375" style="570" customWidth="1"/>
    <col min="5380" max="5380" width="32.7109375" style="570" bestFit="1" customWidth="1"/>
    <col min="5381" max="5381" width="10.5703125" style="570" bestFit="1" customWidth="1"/>
    <col min="5382" max="5382" width="2.85546875" style="570" customWidth="1"/>
    <col min="5383" max="5383" width="32.28515625" style="570" bestFit="1" customWidth="1"/>
    <col min="5384" max="5384" width="12" style="570" customWidth="1"/>
    <col min="5385" max="5385" width="2.5703125" style="570" customWidth="1"/>
    <col min="5386" max="5386" width="16.5703125" style="570" customWidth="1"/>
    <col min="5387" max="5387" width="10.7109375" style="570" customWidth="1"/>
    <col min="5388" max="5388" width="15.42578125" style="570" customWidth="1"/>
    <col min="5389" max="5389" width="10.7109375" style="570" customWidth="1"/>
    <col min="5390" max="5390" width="15.7109375" style="570" customWidth="1"/>
    <col min="5391" max="5391" width="9.140625" style="570"/>
    <col min="5392" max="5392" width="17" style="570" customWidth="1"/>
    <col min="5393" max="5393" width="9.140625" style="570"/>
    <col min="5394" max="5394" width="17.28515625" style="570" customWidth="1"/>
    <col min="5395" max="5395" width="9.140625" style="570"/>
    <col min="5396" max="5396" width="12.85546875" style="570" customWidth="1"/>
    <col min="5397" max="5397" width="9.140625" style="570"/>
    <col min="5398" max="5398" width="12.85546875" style="570" customWidth="1"/>
    <col min="5399" max="5399" width="9.140625" style="570"/>
    <col min="5400" max="5400" width="12.85546875" style="570" customWidth="1"/>
    <col min="5401" max="5401" width="10" style="570" customWidth="1"/>
    <col min="5402" max="5402" width="12.85546875" style="570" customWidth="1"/>
    <col min="5403" max="5403" width="9.140625" style="570"/>
    <col min="5404" max="5404" width="12.85546875" style="570" customWidth="1"/>
    <col min="5405" max="5405" width="9.140625" style="570"/>
    <col min="5406" max="5406" width="12.85546875" style="570" customWidth="1"/>
    <col min="5407" max="5407" width="9.140625" style="570"/>
    <col min="5408" max="5408" width="13.85546875" style="570" customWidth="1"/>
    <col min="5409" max="5409" width="9.140625" style="570"/>
    <col min="5410" max="5410" width="12.85546875" style="570" customWidth="1"/>
    <col min="5411" max="5411" width="9.140625" style="570"/>
    <col min="5412" max="5412" width="12.85546875" style="570" customWidth="1"/>
    <col min="5413" max="5413" width="9.140625" style="570"/>
    <col min="5414" max="5414" width="12.85546875" style="570" customWidth="1"/>
    <col min="5415" max="5415" width="9.140625" style="570"/>
    <col min="5416" max="5416" width="12.85546875" style="570" customWidth="1"/>
    <col min="5417" max="5417" width="9.140625" style="570"/>
    <col min="5418" max="5418" width="12.85546875" style="570" customWidth="1"/>
    <col min="5419" max="5419" width="9.140625" style="570"/>
    <col min="5420" max="5420" width="12.85546875" style="570" customWidth="1"/>
    <col min="5421" max="5421" width="9.140625" style="570"/>
    <col min="5422" max="5422" width="12.85546875" style="570" customWidth="1"/>
    <col min="5423" max="5423" width="0.140625" style="570" customWidth="1"/>
    <col min="5424" max="5632" width="9.140625" style="570"/>
    <col min="5633" max="5633" width="30.85546875" style="570" bestFit="1" customWidth="1"/>
    <col min="5634" max="5634" width="12.5703125" style="570" bestFit="1" customWidth="1"/>
    <col min="5635" max="5635" width="2.7109375" style="570" customWidth="1"/>
    <col min="5636" max="5636" width="32.7109375" style="570" bestFit="1" customWidth="1"/>
    <col min="5637" max="5637" width="10.5703125" style="570" bestFit="1" customWidth="1"/>
    <col min="5638" max="5638" width="2.85546875" style="570" customWidth="1"/>
    <col min="5639" max="5639" width="32.28515625" style="570" bestFit="1" customWidth="1"/>
    <col min="5640" max="5640" width="12" style="570" customWidth="1"/>
    <col min="5641" max="5641" width="2.5703125" style="570" customWidth="1"/>
    <col min="5642" max="5642" width="16.5703125" style="570" customWidth="1"/>
    <col min="5643" max="5643" width="10.7109375" style="570" customWidth="1"/>
    <col min="5644" max="5644" width="15.42578125" style="570" customWidth="1"/>
    <col min="5645" max="5645" width="10.7109375" style="570" customWidth="1"/>
    <col min="5646" max="5646" width="15.7109375" style="570" customWidth="1"/>
    <col min="5647" max="5647" width="9.140625" style="570"/>
    <col min="5648" max="5648" width="17" style="570" customWidth="1"/>
    <col min="5649" max="5649" width="9.140625" style="570"/>
    <col min="5650" max="5650" width="17.28515625" style="570" customWidth="1"/>
    <col min="5651" max="5651" width="9.140625" style="570"/>
    <col min="5652" max="5652" width="12.85546875" style="570" customWidth="1"/>
    <col min="5653" max="5653" width="9.140625" style="570"/>
    <col min="5654" max="5654" width="12.85546875" style="570" customWidth="1"/>
    <col min="5655" max="5655" width="9.140625" style="570"/>
    <col min="5656" max="5656" width="12.85546875" style="570" customWidth="1"/>
    <col min="5657" max="5657" width="10" style="570" customWidth="1"/>
    <col min="5658" max="5658" width="12.85546875" style="570" customWidth="1"/>
    <col min="5659" max="5659" width="9.140625" style="570"/>
    <col min="5660" max="5660" width="12.85546875" style="570" customWidth="1"/>
    <col min="5661" max="5661" width="9.140625" style="570"/>
    <col min="5662" max="5662" width="12.85546875" style="570" customWidth="1"/>
    <col min="5663" max="5663" width="9.140625" style="570"/>
    <col min="5664" max="5664" width="13.85546875" style="570" customWidth="1"/>
    <col min="5665" max="5665" width="9.140625" style="570"/>
    <col min="5666" max="5666" width="12.85546875" style="570" customWidth="1"/>
    <col min="5667" max="5667" width="9.140625" style="570"/>
    <col min="5668" max="5668" width="12.85546875" style="570" customWidth="1"/>
    <col min="5669" max="5669" width="9.140625" style="570"/>
    <col min="5670" max="5670" width="12.85546875" style="570" customWidth="1"/>
    <col min="5671" max="5671" width="9.140625" style="570"/>
    <col min="5672" max="5672" width="12.85546875" style="570" customWidth="1"/>
    <col min="5673" max="5673" width="9.140625" style="570"/>
    <col min="5674" max="5674" width="12.85546875" style="570" customWidth="1"/>
    <col min="5675" max="5675" width="9.140625" style="570"/>
    <col min="5676" max="5676" width="12.85546875" style="570" customWidth="1"/>
    <col min="5677" max="5677" width="9.140625" style="570"/>
    <col min="5678" max="5678" width="12.85546875" style="570" customWidth="1"/>
    <col min="5679" max="5679" width="0.140625" style="570" customWidth="1"/>
    <col min="5680" max="5888" width="9.140625" style="570"/>
    <col min="5889" max="5889" width="30.85546875" style="570" bestFit="1" customWidth="1"/>
    <col min="5890" max="5890" width="12.5703125" style="570" bestFit="1" customWidth="1"/>
    <col min="5891" max="5891" width="2.7109375" style="570" customWidth="1"/>
    <col min="5892" max="5892" width="32.7109375" style="570" bestFit="1" customWidth="1"/>
    <col min="5893" max="5893" width="10.5703125" style="570" bestFit="1" customWidth="1"/>
    <col min="5894" max="5894" width="2.85546875" style="570" customWidth="1"/>
    <col min="5895" max="5895" width="32.28515625" style="570" bestFit="1" customWidth="1"/>
    <col min="5896" max="5896" width="12" style="570" customWidth="1"/>
    <col min="5897" max="5897" width="2.5703125" style="570" customWidth="1"/>
    <col min="5898" max="5898" width="16.5703125" style="570" customWidth="1"/>
    <col min="5899" max="5899" width="10.7109375" style="570" customWidth="1"/>
    <col min="5900" max="5900" width="15.42578125" style="570" customWidth="1"/>
    <col min="5901" max="5901" width="10.7109375" style="570" customWidth="1"/>
    <col min="5902" max="5902" width="15.7109375" style="570" customWidth="1"/>
    <col min="5903" max="5903" width="9.140625" style="570"/>
    <col min="5904" max="5904" width="17" style="570" customWidth="1"/>
    <col min="5905" max="5905" width="9.140625" style="570"/>
    <col min="5906" max="5906" width="17.28515625" style="570" customWidth="1"/>
    <col min="5907" max="5907" width="9.140625" style="570"/>
    <col min="5908" max="5908" width="12.85546875" style="570" customWidth="1"/>
    <col min="5909" max="5909" width="9.140625" style="570"/>
    <col min="5910" max="5910" width="12.85546875" style="570" customWidth="1"/>
    <col min="5911" max="5911" width="9.140625" style="570"/>
    <col min="5912" max="5912" width="12.85546875" style="570" customWidth="1"/>
    <col min="5913" max="5913" width="10" style="570" customWidth="1"/>
    <col min="5914" max="5914" width="12.85546875" style="570" customWidth="1"/>
    <col min="5915" max="5915" width="9.140625" style="570"/>
    <col min="5916" max="5916" width="12.85546875" style="570" customWidth="1"/>
    <col min="5917" max="5917" width="9.140625" style="570"/>
    <col min="5918" max="5918" width="12.85546875" style="570" customWidth="1"/>
    <col min="5919" max="5919" width="9.140625" style="570"/>
    <col min="5920" max="5920" width="13.85546875" style="570" customWidth="1"/>
    <col min="5921" max="5921" width="9.140625" style="570"/>
    <col min="5922" max="5922" width="12.85546875" style="570" customWidth="1"/>
    <col min="5923" max="5923" width="9.140625" style="570"/>
    <col min="5924" max="5924" width="12.85546875" style="570" customWidth="1"/>
    <col min="5925" max="5925" width="9.140625" style="570"/>
    <col min="5926" max="5926" width="12.85546875" style="570" customWidth="1"/>
    <col min="5927" max="5927" width="9.140625" style="570"/>
    <col min="5928" max="5928" width="12.85546875" style="570" customWidth="1"/>
    <col min="5929" max="5929" width="9.140625" style="570"/>
    <col min="5930" max="5930" width="12.85546875" style="570" customWidth="1"/>
    <col min="5931" max="5931" width="9.140625" style="570"/>
    <col min="5932" max="5932" width="12.85546875" style="570" customWidth="1"/>
    <col min="5933" max="5933" width="9.140625" style="570"/>
    <col min="5934" max="5934" width="12.85546875" style="570" customWidth="1"/>
    <col min="5935" max="5935" width="0.140625" style="570" customWidth="1"/>
    <col min="5936" max="6144" width="9.140625" style="570"/>
    <col min="6145" max="6145" width="30.85546875" style="570" bestFit="1" customWidth="1"/>
    <col min="6146" max="6146" width="12.5703125" style="570" bestFit="1" customWidth="1"/>
    <col min="6147" max="6147" width="2.7109375" style="570" customWidth="1"/>
    <col min="6148" max="6148" width="32.7109375" style="570" bestFit="1" customWidth="1"/>
    <col min="6149" max="6149" width="10.5703125" style="570" bestFit="1" customWidth="1"/>
    <col min="6150" max="6150" width="2.85546875" style="570" customWidth="1"/>
    <col min="6151" max="6151" width="32.28515625" style="570" bestFit="1" customWidth="1"/>
    <col min="6152" max="6152" width="12" style="570" customWidth="1"/>
    <col min="6153" max="6153" width="2.5703125" style="570" customWidth="1"/>
    <col min="6154" max="6154" width="16.5703125" style="570" customWidth="1"/>
    <col min="6155" max="6155" width="10.7109375" style="570" customWidth="1"/>
    <col min="6156" max="6156" width="15.42578125" style="570" customWidth="1"/>
    <col min="6157" max="6157" width="10.7109375" style="570" customWidth="1"/>
    <col min="6158" max="6158" width="15.7109375" style="570" customWidth="1"/>
    <col min="6159" max="6159" width="9.140625" style="570"/>
    <col min="6160" max="6160" width="17" style="570" customWidth="1"/>
    <col min="6161" max="6161" width="9.140625" style="570"/>
    <col min="6162" max="6162" width="17.28515625" style="570" customWidth="1"/>
    <col min="6163" max="6163" width="9.140625" style="570"/>
    <col min="6164" max="6164" width="12.85546875" style="570" customWidth="1"/>
    <col min="6165" max="6165" width="9.140625" style="570"/>
    <col min="6166" max="6166" width="12.85546875" style="570" customWidth="1"/>
    <col min="6167" max="6167" width="9.140625" style="570"/>
    <col min="6168" max="6168" width="12.85546875" style="570" customWidth="1"/>
    <col min="6169" max="6169" width="10" style="570" customWidth="1"/>
    <col min="6170" max="6170" width="12.85546875" style="570" customWidth="1"/>
    <col min="6171" max="6171" width="9.140625" style="570"/>
    <col min="6172" max="6172" width="12.85546875" style="570" customWidth="1"/>
    <col min="6173" max="6173" width="9.140625" style="570"/>
    <col min="6174" max="6174" width="12.85546875" style="570" customWidth="1"/>
    <col min="6175" max="6175" width="9.140625" style="570"/>
    <col min="6176" max="6176" width="13.85546875" style="570" customWidth="1"/>
    <col min="6177" max="6177" width="9.140625" style="570"/>
    <col min="6178" max="6178" width="12.85546875" style="570" customWidth="1"/>
    <col min="6179" max="6179" width="9.140625" style="570"/>
    <col min="6180" max="6180" width="12.85546875" style="570" customWidth="1"/>
    <col min="6181" max="6181" width="9.140625" style="570"/>
    <col min="6182" max="6182" width="12.85546875" style="570" customWidth="1"/>
    <col min="6183" max="6183" width="9.140625" style="570"/>
    <col min="6184" max="6184" width="12.85546875" style="570" customWidth="1"/>
    <col min="6185" max="6185" width="9.140625" style="570"/>
    <col min="6186" max="6186" width="12.85546875" style="570" customWidth="1"/>
    <col min="6187" max="6187" width="9.140625" style="570"/>
    <col min="6188" max="6188" width="12.85546875" style="570" customWidth="1"/>
    <col min="6189" max="6189" width="9.140625" style="570"/>
    <col min="6190" max="6190" width="12.85546875" style="570" customWidth="1"/>
    <col min="6191" max="6191" width="0.140625" style="570" customWidth="1"/>
    <col min="6192" max="6400" width="9.140625" style="570"/>
    <col min="6401" max="6401" width="30.85546875" style="570" bestFit="1" customWidth="1"/>
    <col min="6402" max="6402" width="12.5703125" style="570" bestFit="1" customWidth="1"/>
    <col min="6403" max="6403" width="2.7109375" style="570" customWidth="1"/>
    <col min="6404" max="6404" width="32.7109375" style="570" bestFit="1" customWidth="1"/>
    <col min="6405" max="6405" width="10.5703125" style="570" bestFit="1" customWidth="1"/>
    <col min="6406" max="6406" width="2.85546875" style="570" customWidth="1"/>
    <col min="6407" max="6407" width="32.28515625" style="570" bestFit="1" customWidth="1"/>
    <col min="6408" max="6408" width="12" style="570" customWidth="1"/>
    <col min="6409" max="6409" width="2.5703125" style="570" customWidth="1"/>
    <col min="6410" max="6410" width="16.5703125" style="570" customWidth="1"/>
    <col min="6411" max="6411" width="10.7109375" style="570" customWidth="1"/>
    <col min="6412" max="6412" width="15.42578125" style="570" customWidth="1"/>
    <col min="6413" max="6413" width="10.7109375" style="570" customWidth="1"/>
    <col min="6414" max="6414" width="15.7109375" style="570" customWidth="1"/>
    <col min="6415" max="6415" width="9.140625" style="570"/>
    <col min="6416" max="6416" width="17" style="570" customWidth="1"/>
    <col min="6417" max="6417" width="9.140625" style="570"/>
    <col min="6418" max="6418" width="17.28515625" style="570" customWidth="1"/>
    <col min="6419" max="6419" width="9.140625" style="570"/>
    <col min="6420" max="6420" width="12.85546875" style="570" customWidth="1"/>
    <col min="6421" max="6421" width="9.140625" style="570"/>
    <col min="6422" max="6422" width="12.85546875" style="570" customWidth="1"/>
    <col min="6423" max="6423" width="9.140625" style="570"/>
    <col min="6424" max="6424" width="12.85546875" style="570" customWidth="1"/>
    <col min="6425" max="6425" width="10" style="570" customWidth="1"/>
    <col min="6426" max="6426" width="12.85546875" style="570" customWidth="1"/>
    <col min="6427" max="6427" width="9.140625" style="570"/>
    <col min="6428" max="6428" width="12.85546875" style="570" customWidth="1"/>
    <col min="6429" max="6429" width="9.140625" style="570"/>
    <col min="6430" max="6430" width="12.85546875" style="570" customWidth="1"/>
    <col min="6431" max="6431" width="9.140625" style="570"/>
    <col min="6432" max="6432" width="13.85546875" style="570" customWidth="1"/>
    <col min="6433" max="6433" width="9.140625" style="570"/>
    <col min="6434" max="6434" width="12.85546875" style="570" customWidth="1"/>
    <col min="6435" max="6435" width="9.140625" style="570"/>
    <col min="6436" max="6436" width="12.85546875" style="570" customWidth="1"/>
    <col min="6437" max="6437" width="9.140625" style="570"/>
    <col min="6438" max="6438" width="12.85546875" style="570" customWidth="1"/>
    <col min="6439" max="6439" width="9.140625" style="570"/>
    <col min="6440" max="6440" width="12.85546875" style="570" customWidth="1"/>
    <col min="6441" max="6441" width="9.140625" style="570"/>
    <col min="6442" max="6442" width="12.85546875" style="570" customWidth="1"/>
    <col min="6443" max="6443" width="9.140625" style="570"/>
    <col min="6444" max="6444" width="12.85546875" style="570" customWidth="1"/>
    <col min="6445" max="6445" width="9.140625" style="570"/>
    <col min="6446" max="6446" width="12.85546875" style="570" customWidth="1"/>
    <col min="6447" max="6447" width="0.140625" style="570" customWidth="1"/>
    <col min="6448" max="6656" width="9.140625" style="570"/>
    <col min="6657" max="6657" width="30.85546875" style="570" bestFit="1" customWidth="1"/>
    <col min="6658" max="6658" width="12.5703125" style="570" bestFit="1" customWidth="1"/>
    <col min="6659" max="6659" width="2.7109375" style="570" customWidth="1"/>
    <col min="6660" max="6660" width="32.7109375" style="570" bestFit="1" customWidth="1"/>
    <col min="6661" max="6661" width="10.5703125" style="570" bestFit="1" customWidth="1"/>
    <col min="6662" max="6662" width="2.85546875" style="570" customWidth="1"/>
    <col min="6663" max="6663" width="32.28515625" style="570" bestFit="1" customWidth="1"/>
    <col min="6664" max="6664" width="12" style="570" customWidth="1"/>
    <col min="6665" max="6665" width="2.5703125" style="570" customWidth="1"/>
    <col min="6666" max="6666" width="16.5703125" style="570" customWidth="1"/>
    <col min="6667" max="6667" width="10.7109375" style="570" customWidth="1"/>
    <col min="6668" max="6668" width="15.42578125" style="570" customWidth="1"/>
    <col min="6669" max="6669" width="10.7109375" style="570" customWidth="1"/>
    <col min="6670" max="6670" width="15.7109375" style="570" customWidth="1"/>
    <col min="6671" max="6671" width="9.140625" style="570"/>
    <col min="6672" max="6672" width="17" style="570" customWidth="1"/>
    <col min="6673" max="6673" width="9.140625" style="570"/>
    <col min="6674" max="6674" width="17.28515625" style="570" customWidth="1"/>
    <col min="6675" max="6675" width="9.140625" style="570"/>
    <col min="6676" max="6676" width="12.85546875" style="570" customWidth="1"/>
    <col min="6677" max="6677" width="9.140625" style="570"/>
    <col min="6678" max="6678" width="12.85546875" style="570" customWidth="1"/>
    <col min="6679" max="6679" width="9.140625" style="570"/>
    <col min="6680" max="6680" width="12.85546875" style="570" customWidth="1"/>
    <col min="6681" max="6681" width="10" style="570" customWidth="1"/>
    <col min="6682" max="6682" width="12.85546875" style="570" customWidth="1"/>
    <col min="6683" max="6683" width="9.140625" style="570"/>
    <col min="6684" max="6684" width="12.85546875" style="570" customWidth="1"/>
    <col min="6685" max="6685" width="9.140625" style="570"/>
    <col min="6686" max="6686" width="12.85546875" style="570" customWidth="1"/>
    <col min="6687" max="6687" width="9.140625" style="570"/>
    <col min="6688" max="6688" width="13.85546875" style="570" customWidth="1"/>
    <col min="6689" max="6689" width="9.140625" style="570"/>
    <col min="6690" max="6690" width="12.85546875" style="570" customWidth="1"/>
    <col min="6691" max="6691" width="9.140625" style="570"/>
    <col min="6692" max="6692" width="12.85546875" style="570" customWidth="1"/>
    <col min="6693" max="6693" width="9.140625" style="570"/>
    <col min="6694" max="6694" width="12.85546875" style="570" customWidth="1"/>
    <col min="6695" max="6695" width="9.140625" style="570"/>
    <col min="6696" max="6696" width="12.85546875" style="570" customWidth="1"/>
    <col min="6697" max="6697" width="9.140625" style="570"/>
    <col min="6698" max="6698" width="12.85546875" style="570" customWidth="1"/>
    <col min="6699" max="6699" width="9.140625" style="570"/>
    <col min="6700" max="6700" width="12.85546875" style="570" customWidth="1"/>
    <col min="6701" max="6701" width="9.140625" style="570"/>
    <col min="6702" max="6702" width="12.85546875" style="570" customWidth="1"/>
    <col min="6703" max="6703" width="0.140625" style="570" customWidth="1"/>
    <col min="6704" max="6912" width="9.140625" style="570"/>
    <col min="6913" max="6913" width="30.85546875" style="570" bestFit="1" customWidth="1"/>
    <col min="6914" max="6914" width="12.5703125" style="570" bestFit="1" customWidth="1"/>
    <col min="6915" max="6915" width="2.7109375" style="570" customWidth="1"/>
    <col min="6916" max="6916" width="32.7109375" style="570" bestFit="1" customWidth="1"/>
    <col min="6917" max="6917" width="10.5703125" style="570" bestFit="1" customWidth="1"/>
    <col min="6918" max="6918" width="2.85546875" style="570" customWidth="1"/>
    <col min="6919" max="6919" width="32.28515625" style="570" bestFit="1" customWidth="1"/>
    <col min="6920" max="6920" width="12" style="570" customWidth="1"/>
    <col min="6921" max="6921" width="2.5703125" style="570" customWidth="1"/>
    <col min="6922" max="6922" width="16.5703125" style="570" customWidth="1"/>
    <col min="6923" max="6923" width="10.7109375" style="570" customWidth="1"/>
    <col min="6924" max="6924" width="15.42578125" style="570" customWidth="1"/>
    <col min="6925" max="6925" width="10.7109375" style="570" customWidth="1"/>
    <col min="6926" max="6926" width="15.7109375" style="570" customWidth="1"/>
    <col min="6927" max="6927" width="9.140625" style="570"/>
    <col min="6928" max="6928" width="17" style="570" customWidth="1"/>
    <col min="6929" max="6929" width="9.140625" style="570"/>
    <col min="6930" max="6930" width="17.28515625" style="570" customWidth="1"/>
    <col min="6931" max="6931" width="9.140625" style="570"/>
    <col min="6932" max="6932" width="12.85546875" style="570" customWidth="1"/>
    <col min="6933" max="6933" width="9.140625" style="570"/>
    <col min="6934" max="6934" width="12.85546875" style="570" customWidth="1"/>
    <col min="6935" max="6935" width="9.140625" style="570"/>
    <col min="6936" max="6936" width="12.85546875" style="570" customWidth="1"/>
    <col min="6937" max="6937" width="10" style="570" customWidth="1"/>
    <col min="6938" max="6938" width="12.85546875" style="570" customWidth="1"/>
    <col min="6939" max="6939" width="9.140625" style="570"/>
    <col min="6940" max="6940" width="12.85546875" style="570" customWidth="1"/>
    <col min="6941" max="6941" width="9.140625" style="570"/>
    <col min="6942" max="6942" width="12.85546875" style="570" customWidth="1"/>
    <col min="6943" max="6943" width="9.140625" style="570"/>
    <col min="6944" max="6944" width="13.85546875" style="570" customWidth="1"/>
    <col min="6945" max="6945" width="9.140625" style="570"/>
    <col min="6946" max="6946" width="12.85546875" style="570" customWidth="1"/>
    <col min="6947" max="6947" width="9.140625" style="570"/>
    <col min="6948" max="6948" width="12.85546875" style="570" customWidth="1"/>
    <col min="6949" max="6949" width="9.140625" style="570"/>
    <col min="6950" max="6950" width="12.85546875" style="570" customWidth="1"/>
    <col min="6951" max="6951" width="9.140625" style="570"/>
    <col min="6952" max="6952" width="12.85546875" style="570" customWidth="1"/>
    <col min="6953" max="6953" width="9.140625" style="570"/>
    <col min="6954" max="6954" width="12.85546875" style="570" customWidth="1"/>
    <col min="6955" max="6955" width="9.140625" style="570"/>
    <col min="6956" max="6956" width="12.85546875" style="570" customWidth="1"/>
    <col min="6957" max="6957" width="9.140625" style="570"/>
    <col min="6958" max="6958" width="12.85546875" style="570" customWidth="1"/>
    <col min="6959" max="6959" width="0.140625" style="570" customWidth="1"/>
    <col min="6960" max="7168" width="9.140625" style="570"/>
    <col min="7169" max="7169" width="30.85546875" style="570" bestFit="1" customWidth="1"/>
    <col min="7170" max="7170" width="12.5703125" style="570" bestFit="1" customWidth="1"/>
    <col min="7171" max="7171" width="2.7109375" style="570" customWidth="1"/>
    <col min="7172" max="7172" width="32.7109375" style="570" bestFit="1" customWidth="1"/>
    <col min="7173" max="7173" width="10.5703125" style="570" bestFit="1" customWidth="1"/>
    <col min="7174" max="7174" width="2.85546875" style="570" customWidth="1"/>
    <col min="7175" max="7175" width="32.28515625" style="570" bestFit="1" customWidth="1"/>
    <col min="7176" max="7176" width="12" style="570" customWidth="1"/>
    <col min="7177" max="7177" width="2.5703125" style="570" customWidth="1"/>
    <col min="7178" max="7178" width="16.5703125" style="570" customWidth="1"/>
    <col min="7179" max="7179" width="10.7109375" style="570" customWidth="1"/>
    <col min="7180" max="7180" width="15.42578125" style="570" customWidth="1"/>
    <col min="7181" max="7181" width="10.7109375" style="570" customWidth="1"/>
    <col min="7182" max="7182" width="15.7109375" style="570" customWidth="1"/>
    <col min="7183" max="7183" width="9.140625" style="570"/>
    <col min="7184" max="7184" width="17" style="570" customWidth="1"/>
    <col min="7185" max="7185" width="9.140625" style="570"/>
    <col min="7186" max="7186" width="17.28515625" style="570" customWidth="1"/>
    <col min="7187" max="7187" width="9.140625" style="570"/>
    <col min="7188" max="7188" width="12.85546875" style="570" customWidth="1"/>
    <col min="7189" max="7189" width="9.140625" style="570"/>
    <col min="7190" max="7190" width="12.85546875" style="570" customWidth="1"/>
    <col min="7191" max="7191" width="9.140625" style="570"/>
    <col min="7192" max="7192" width="12.85546875" style="570" customWidth="1"/>
    <col min="7193" max="7193" width="10" style="570" customWidth="1"/>
    <col min="7194" max="7194" width="12.85546875" style="570" customWidth="1"/>
    <col min="7195" max="7195" width="9.140625" style="570"/>
    <col min="7196" max="7196" width="12.85546875" style="570" customWidth="1"/>
    <col min="7197" max="7197" width="9.140625" style="570"/>
    <col min="7198" max="7198" width="12.85546875" style="570" customWidth="1"/>
    <col min="7199" max="7199" width="9.140625" style="570"/>
    <col min="7200" max="7200" width="13.85546875" style="570" customWidth="1"/>
    <col min="7201" max="7201" width="9.140625" style="570"/>
    <col min="7202" max="7202" width="12.85546875" style="570" customWidth="1"/>
    <col min="7203" max="7203" width="9.140625" style="570"/>
    <col min="7204" max="7204" width="12.85546875" style="570" customWidth="1"/>
    <col min="7205" max="7205" width="9.140625" style="570"/>
    <col min="7206" max="7206" width="12.85546875" style="570" customWidth="1"/>
    <col min="7207" max="7207" width="9.140625" style="570"/>
    <col min="7208" max="7208" width="12.85546875" style="570" customWidth="1"/>
    <col min="7209" max="7209" width="9.140625" style="570"/>
    <col min="7210" max="7210" width="12.85546875" style="570" customWidth="1"/>
    <col min="7211" max="7211" width="9.140625" style="570"/>
    <col min="7212" max="7212" width="12.85546875" style="570" customWidth="1"/>
    <col min="7213" max="7213" width="9.140625" style="570"/>
    <col min="7214" max="7214" width="12.85546875" style="570" customWidth="1"/>
    <col min="7215" max="7215" width="0.140625" style="570" customWidth="1"/>
    <col min="7216" max="7424" width="9.140625" style="570"/>
    <col min="7425" max="7425" width="30.85546875" style="570" bestFit="1" customWidth="1"/>
    <col min="7426" max="7426" width="12.5703125" style="570" bestFit="1" customWidth="1"/>
    <col min="7427" max="7427" width="2.7109375" style="570" customWidth="1"/>
    <col min="7428" max="7428" width="32.7109375" style="570" bestFit="1" customWidth="1"/>
    <col min="7429" max="7429" width="10.5703125" style="570" bestFit="1" customWidth="1"/>
    <col min="7430" max="7430" width="2.85546875" style="570" customWidth="1"/>
    <col min="7431" max="7431" width="32.28515625" style="570" bestFit="1" customWidth="1"/>
    <col min="7432" max="7432" width="12" style="570" customWidth="1"/>
    <col min="7433" max="7433" width="2.5703125" style="570" customWidth="1"/>
    <col min="7434" max="7434" width="16.5703125" style="570" customWidth="1"/>
    <col min="7435" max="7435" width="10.7109375" style="570" customWidth="1"/>
    <col min="7436" max="7436" width="15.42578125" style="570" customWidth="1"/>
    <col min="7437" max="7437" width="10.7109375" style="570" customWidth="1"/>
    <col min="7438" max="7438" width="15.7109375" style="570" customWidth="1"/>
    <col min="7439" max="7439" width="9.140625" style="570"/>
    <col min="7440" max="7440" width="17" style="570" customWidth="1"/>
    <col min="7441" max="7441" width="9.140625" style="570"/>
    <col min="7442" max="7442" width="17.28515625" style="570" customWidth="1"/>
    <col min="7443" max="7443" width="9.140625" style="570"/>
    <col min="7444" max="7444" width="12.85546875" style="570" customWidth="1"/>
    <col min="7445" max="7445" width="9.140625" style="570"/>
    <col min="7446" max="7446" width="12.85546875" style="570" customWidth="1"/>
    <col min="7447" max="7447" width="9.140625" style="570"/>
    <col min="7448" max="7448" width="12.85546875" style="570" customWidth="1"/>
    <col min="7449" max="7449" width="10" style="570" customWidth="1"/>
    <col min="7450" max="7450" width="12.85546875" style="570" customWidth="1"/>
    <col min="7451" max="7451" width="9.140625" style="570"/>
    <col min="7452" max="7452" width="12.85546875" style="570" customWidth="1"/>
    <col min="7453" max="7453" width="9.140625" style="570"/>
    <col min="7454" max="7454" width="12.85546875" style="570" customWidth="1"/>
    <col min="7455" max="7455" width="9.140625" style="570"/>
    <col min="7456" max="7456" width="13.85546875" style="570" customWidth="1"/>
    <col min="7457" max="7457" width="9.140625" style="570"/>
    <col min="7458" max="7458" width="12.85546875" style="570" customWidth="1"/>
    <col min="7459" max="7459" width="9.140625" style="570"/>
    <col min="7460" max="7460" width="12.85546875" style="570" customWidth="1"/>
    <col min="7461" max="7461" width="9.140625" style="570"/>
    <col min="7462" max="7462" width="12.85546875" style="570" customWidth="1"/>
    <col min="7463" max="7463" width="9.140625" style="570"/>
    <col min="7464" max="7464" width="12.85546875" style="570" customWidth="1"/>
    <col min="7465" max="7465" width="9.140625" style="570"/>
    <col min="7466" max="7466" width="12.85546875" style="570" customWidth="1"/>
    <col min="7467" max="7467" width="9.140625" style="570"/>
    <col min="7468" max="7468" width="12.85546875" style="570" customWidth="1"/>
    <col min="7469" max="7469" width="9.140625" style="570"/>
    <col min="7470" max="7470" width="12.85546875" style="570" customWidth="1"/>
    <col min="7471" max="7471" width="0.140625" style="570" customWidth="1"/>
    <col min="7472" max="7680" width="9.140625" style="570"/>
    <col min="7681" max="7681" width="30.85546875" style="570" bestFit="1" customWidth="1"/>
    <col min="7682" max="7682" width="12.5703125" style="570" bestFit="1" customWidth="1"/>
    <col min="7683" max="7683" width="2.7109375" style="570" customWidth="1"/>
    <col min="7684" max="7684" width="32.7109375" style="570" bestFit="1" customWidth="1"/>
    <col min="7685" max="7685" width="10.5703125" style="570" bestFit="1" customWidth="1"/>
    <col min="7686" max="7686" width="2.85546875" style="570" customWidth="1"/>
    <col min="7687" max="7687" width="32.28515625" style="570" bestFit="1" customWidth="1"/>
    <col min="7688" max="7688" width="12" style="570" customWidth="1"/>
    <col min="7689" max="7689" width="2.5703125" style="570" customWidth="1"/>
    <col min="7690" max="7690" width="16.5703125" style="570" customWidth="1"/>
    <col min="7691" max="7691" width="10.7109375" style="570" customWidth="1"/>
    <col min="7692" max="7692" width="15.42578125" style="570" customWidth="1"/>
    <col min="7693" max="7693" width="10.7109375" style="570" customWidth="1"/>
    <col min="7694" max="7694" width="15.7109375" style="570" customWidth="1"/>
    <col min="7695" max="7695" width="9.140625" style="570"/>
    <col min="7696" max="7696" width="17" style="570" customWidth="1"/>
    <col min="7697" max="7697" width="9.140625" style="570"/>
    <col min="7698" max="7698" width="17.28515625" style="570" customWidth="1"/>
    <col min="7699" max="7699" width="9.140625" style="570"/>
    <col min="7700" max="7700" width="12.85546875" style="570" customWidth="1"/>
    <col min="7701" max="7701" width="9.140625" style="570"/>
    <col min="7702" max="7702" width="12.85546875" style="570" customWidth="1"/>
    <col min="7703" max="7703" width="9.140625" style="570"/>
    <col min="7704" max="7704" width="12.85546875" style="570" customWidth="1"/>
    <col min="7705" max="7705" width="10" style="570" customWidth="1"/>
    <col min="7706" max="7706" width="12.85546875" style="570" customWidth="1"/>
    <col min="7707" max="7707" width="9.140625" style="570"/>
    <col min="7708" max="7708" width="12.85546875" style="570" customWidth="1"/>
    <col min="7709" max="7709" width="9.140625" style="570"/>
    <col min="7710" max="7710" width="12.85546875" style="570" customWidth="1"/>
    <col min="7711" max="7711" width="9.140625" style="570"/>
    <col min="7712" max="7712" width="13.85546875" style="570" customWidth="1"/>
    <col min="7713" max="7713" width="9.140625" style="570"/>
    <col min="7714" max="7714" width="12.85546875" style="570" customWidth="1"/>
    <col min="7715" max="7715" width="9.140625" style="570"/>
    <col min="7716" max="7716" width="12.85546875" style="570" customWidth="1"/>
    <col min="7717" max="7717" width="9.140625" style="570"/>
    <col min="7718" max="7718" width="12.85546875" style="570" customWidth="1"/>
    <col min="7719" max="7719" width="9.140625" style="570"/>
    <col min="7720" max="7720" width="12.85546875" style="570" customWidth="1"/>
    <col min="7721" max="7721" width="9.140625" style="570"/>
    <col min="7722" max="7722" width="12.85546875" style="570" customWidth="1"/>
    <col min="7723" max="7723" width="9.140625" style="570"/>
    <col min="7724" max="7724" width="12.85546875" style="570" customWidth="1"/>
    <col min="7725" max="7725" width="9.140625" style="570"/>
    <col min="7726" max="7726" width="12.85546875" style="570" customWidth="1"/>
    <col min="7727" max="7727" width="0.140625" style="570" customWidth="1"/>
    <col min="7728" max="7936" width="9.140625" style="570"/>
    <col min="7937" max="7937" width="30.85546875" style="570" bestFit="1" customWidth="1"/>
    <col min="7938" max="7938" width="12.5703125" style="570" bestFit="1" customWidth="1"/>
    <col min="7939" max="7939" width="2.7109375" style="570" customWidth="1"/>
    <col min="7940" max="7940" width="32.7109375" style="570" bestFit="1" customWidth="1"/>
    <col min="7941" max="7941" width="10.5703125" style="570" bestFit="1" customWidth="1"/>
    <col min="7942" max="7942" width="2.85546875" style="570" customWidth="1"/>
    <col min="7943" max="7943" width="32.28515625" style="570" bestFit="1" customWidth="1"/>
    <col min="7944" max="7944" width="12" style="570" customWidth="1"/>
    <col min="7945" max="7945" width="2.5703125" style="570" customWidth="1"/>
    <col min="7946" max="7946" width="16.5703125" style="570" customWidth="1"/>
    <col min="7947" max="7947" width="10.7109375" style="570" customWidth="1"/>
    <col min="7948" max="7948" width="15.42578125" style="570" customWidth="1"/>
    <col min="7949" max="7949" width="10.7109375" style="570" customWidth="1"/>
    <col min="7950" max="7950" width="15.7109375" style="570" customWidth="1"/>
    <col min="7951" max="7951" width="9.140625" style="570"/>
    <col min="7952" max="7952" width="17" style="570" customWidth="1"/>
    <col min="7953" max="7953" width="9.140625" style="570"/>
    <col min="7954" max="7954" width="17.28515625" style="570" customWidth="1"/>
    <col min="7955" max="7955" width="9.140625" style="570"/>
    <col min="7956" max="7956" width="12.85546875" style="570" customWidth="1"/>
    <col min="7957" max="7957" width="9.140625" style="570"/>
    <col min="7958" max="7958" width="12.85546875" style="570" customWidth="1"/>
    <col min="7959" max="7959" width="9.140625" style="570"/>
    <col min="7960" max="7960" width="12.85546875" style="570" customWidth="1"/>
    <col min="7961" max="7961" width="10" style="570" customWidth="1"/>
    <col min="7962" max="7962" width="12.85546875" style="570" customWidth="1"/>
    <col min="7963" max="7963" width="9.140625" style="570"/>
    <col min="7964" max="7964" width="12.85546875" style="570" customWidth="1"/>
    <col min="7965" max="7965" width="9.140625" style="570"/>
    <col min="7966" max="7966" width="12.85546875" style="570" customWidth="1"/>
    <col min="7967" max="7967" width="9.140625" style="570"/>
    <col min="7968" max="7968" width="13.85546875" style="570" customWidth="1"/>
    <col min="7969" max="7969" width="9.140625" style="570"/>
    <col min="7970" max="7970" width="12.85546875" style="570" customWidth="1"/>
    <col min="7971" max="7971" width="9.140625" style="570"/>
    <col min="7972" max="7972" width="12.85546875" style="570" customWidth="1"/>
    <col min="7973" max="7973" width="9.140625" style="570"/>
    <col min="7974" max="7974" width="12.85546875" style="570" customWidth="1"/>
    <col min="7975" max="7975" width="9.140625" style="570"/>
    <col min="7976" max="7976" width="12.85546875" style="570" customWidth="1"/>
    <col min="7977" max="7977" width="9.140625" style="570"/>
    <col min="7978" max="7978" width="12.85546875" style="570" customWidth="1"/>
    <col min="7979" max="7979" width="9.140625" style="570"/>
    <col min="7980" max="7980" width="12.85546875" style="570" customWidth="1"/>
    <col min="7981" max="7981" width="9.140625" style="570"/>
    <col min="7982" max="7982" width="12.85546875" style="570" customWidth="1"/>
    <col min="7983" max="7983" width="0.140625" style="570" customWidth="1"/>
    <col min="7984" max="8192" width="9.140625" style="570"/>
    <col min="8193" max="8193" width="30.85546875" style="570" bestFit="1" customWidth="1"/>
    <col min="8194" max="8194" width="12.5703125" style="570" bestFit="1" customWidth="1"/>
    <col min="8195" max="8195" width="2.7109375" style="570" customWidth="1"/>
    <col min="8196" max="8196" width="32.7109375" style="570" bestFit="1" customWidth="1"/>
    <col min="8197" max="8197" width="10.5703125" style="570" bestFit="1" customWidth="1"/>
    <col min="8198" max="8198" width="2.85546875" style="570" customWidth="1"/>
    <col min="8199" max="8199" width="32.28515625" style="570" bestFit="1" customWidth="1"/>
    <col min="8200" max="8200" width="12" style="570" customWidth="1"/>
    <col min="8201" max="8201" width="2.5703125" style="570" customWidth="1"/>
    <col min="8202" max="8202" width="16.5703125" style="570" customWidth="1"/>
    <col min="8203" max="8203" width="10.7109375" style="570" customWidth="1"/>
    <col min="8204" max="8204" width="15.42578125" style="570" customWidth="1"/>
    <col min="8205" max="8205" width="10.7109375" style="570" customWidth="1"/>
    <col min="8206" max="8206" width="15.7109375" style="570" customWidth="1"/>
    <col min="8207" max="8207" width="9.140625" style="570"/>
    <col min="8208" max="8208" width="17" style="570" customWidth="1"/>
    <col min="8209" max="8209" width="9.140625" style="570"/>
    <col min="8210" max="8210" width="17.28515625" style="570" customWidth="1"/>
    <col min="8211" max="8211" width="9.140625" style="570"/>
    <col min="8212" max="8212" width="12.85546875" style="570" customWidth="1"/>
    <col min="8213" max="8213" width="9.140625" style="570"/>
    <col min="8214" max="8214" width="12.85546875" style="570" customWidth="1"/>
    <col min="8215" max="8215" width="9.140625" style="570"/>
    <col min="8216" max="8216" width="12.85546875" style="570" customWidth="1"/>
    <col min="8217" max="8217" width="10" style="570" customWidth="1"/>
    <col min="8218" max="8218" width="12.85546875" style="570" customWidth="1"/>
    <col min="8219" max="8219" width="9.140625" style="570"/>
    <col min="8220" max="8220" width="12.85546875" style="570" customWidth="1"/>
    <col min="8221" max="8221" width="9.140625" style="570"/>
    <col min="8222" max="8222" width="12.85546875" style="570" customWidth="1"/>
    <col min="8223" max="8223" width="9.140625" style="570"/>
    <col min="8224" max="8224" width="13.85546875" style="570" customWidth="1"/>
    <col min="8225" max="8225" width="9.140625" style="570"/>
    <col min="8226" max="8226" width="12.85546875" style="570" customWidth="1"/>
    <col min="8227" max="8227" width="9.140625" style="570"/>
    <col min="8228" max="8228" width="12.85546875" style="570" customWidth="1"/>
    <col min="8229" max="8229" width="9.140625" style="570"/>
    <col min="8230" max="8230" width="12.85546875" style="570" customWidth="1"/>
    <col min="8231" max="8231" width="9.140625" style="570"/>
    <col min="8232" max="8232" width="12.85546875" style="570" customWidth="1"/>
    <col min="8233" max="8233" width="9.140625" style="570"/>
    <col min="8234" max="8234" width="12.85546875" style="570" customWidth="1"/>
    <col min="8235" max="8235" width="9.140625" style="570"/>
    <col min="8236" max="8236" width="12.85546875" style="570" customWidth="1"/>
    <col min="8237" max="8237" width="9.140625" style="570"/>
    <col min="8238" max="8238" width="12.85546875" style="570" customWidth="1"/>
    <col min="8239" max="8239" width="0.140625" style="570" customWidth="1"/>
    <col min="8240" max="8448" width="9.140625" style="570"/>
    <col min="8449" max="8449" width="30.85546875" style="570" bestFit="1" customWidth="1"/>
    <col min="8450" max="8450" width="12.5703125" style="570" bestFit="1" customWidth="1"/>
    <col min="8451" max="8451" width="2.7109375" style="570" customWidth="1"/>
    <col min="8452" max="8452" width="32.7109375" style="570" bestFit="1" customWidth="1"/>
    <col min="8453" max="8453" width="10.5703125" style="570" bestFit="1" customWidth="1"/>
    <col min="8454" max="8454" width="2.85546875" style="570" customWidth="1"/>
    <col min="8455" max="8455" width="32.28515625" style="570" bestFit="1" customWidth="1"/>
    <col min="8456" max="8456" width="12" style="570" customWidth="1"/>
    <col min="8457" max="8457" width="2.5703125" style="570" customWidth="1"/>
    <col min="8458" max="8458" width="16.5703125" style="570" customWidth="1"/>
    <col min="8459" max="8459" width="10.7109375" style="570" customWidth="1"/>
    <col min="8460" max="8460" width="15.42578125" style="570" customWidth="1"/>
    <col min="8461" max="8461" width="10.7109375" style="570" customWidth="1"/>
    <col min="8462" max="8462" width="15.7109375" style="570" customWidth="1"/>
    <col min="8463" max="8463" width="9.140625" style="570"/>
    <col min="8464" max="8464" width="17" style="570" customWidth="1"/>
    <col min="8465" max="8465" width="9.140625" style="570"/>
    <col min="8466" max="8466" width="17.28515625" style="570" customWidth="1"/>
    <col min="8467" max="8467" width="9.140625" style="570"/>
    <col min="8468" max="8468" width="12.85546875" style="570" customWidth="1"/>
    <col min="8469" max="8469" width="9.140625" style="570"/>
    <col min="8470" max="8470" width="12.85546875" style="570" customWidth="1"/>
    <col min="8471" max="8471" width="9.140625" style="570"/>
    <col min="8472" max="8472" width="12.85546875" style="570" customWidth="1"/>
    <col min="8473" max="8473" width="10" style="570" customWidth="1"/>
    <col min="8474" max="8474" width="12.85546875" style="570" customWidth="1"/>
    <col min="8475" max="8475" width="9.140625" style="570"/>
    <col min="8476" max="8476" width="12.85546875" style="570" customWidth="1"/>
    <col min="8477" max="8477" width="9.140625" style="570"/>
    <col min="8478" max="8478" width="12.85546875" style="570" customWidth="1"/>
    <col min="8479" max="8479" width="9.140625" style="570"/>
    <col min="8480" max="8480" width="13.85546875" style="570" customWidth="1"/>
    <col min="8481" max="8481" width="9.140625" style="570"/>
    <col min="8482" max="8482" width="12.85546875" style="570" customWidth="1"/>
    <col min="8483" max="8483" width="9.140625" style="570"/>
    <col min="8484" max="8484" width="12.85546875" style="570" customWidth="1"/>
    <col min="8485" max="8485" width="9.140625" style="570"/>
    <col min="8486" max="8486" width="12.85546875" style="570" customWidth="1"/>
    <col min="8487" max="8487" width="9.140625" style="570"/>
    <col min="8488" max="8488" width="12.85546875" style="570" customWidth="1"/>
    <col min="8489" max="8489" width="9.140625" style="570"/>
    <col min="8490" max="8490" width="12.85546875" style="570" customWidth="1"/>
    <col min="8491" max="8491" width="9.140625" style="570"/>
    <col min="8492" max="8492" width="12.85546875" style="570" customWidth="1"/>
    <col min="8493" max="8493" width="9.140625" style="570"/>
    <col min="8494" max="8494" width="12.85546875" style="570" customWidth="1"/>
    <col min="8495" max="8495" width="0.140625" style="570" customWidth="1"/>
    <col min="8496" max="8704" width="9.140625" style="570"/>
    <col min="8705" max="8705" width="30.85546875" style="570" bestFit="1" customWidth="1"/>
    <col min="8706" max="8706" width="12.5703125" style="570" bestFit="1" customWidth="1"/>
    <col min="8707" max="8707" width="2.7109375" style="570" customWidth="1"/>
    <col min="8708" max="8708" width="32.7109375" style="570" bestFit="1" customWidth="1"/>
    <col min="8709" max="8709" width="10.5703125" style="570" bestFit="1" customWidth="1"/>
    <col min="8710" max="8710" width="2.85546875" style="570" customWidth="1"/>
    <col min="8711" max="8711" width="32.28515625" style="570" bestFit="1" customWidth="1"/>
    <col min="8712" max="8712" width="12" style="570" customWidth="1"/>
    <col min="8713" max="8713" width="2.5703125" style="570" customWidth="1"/>
    <col min="8714" max="8714" width="16.5703125" style="570" customWidth="1"/>
    <col min="8715" max="8715" width="10.7109375" style="570" customWidth="1"/>
    <col min="8716" max="8716" width="15.42578125" style="570" customWidth="1"/>
    <col min="8717" max="8717" width="10.7109375" style="570" customWidth="1"/>
    <col min="8718" max="8718" width="15.7109375" style="570" customWidth="1"/>
    <col min="8719" max="8719" width="9.140625" style="570"/>
    <col min="8720" max="8720" width="17" style="570" customWidth="1"/>
    <col min="8721" max="8721" width="9.140625" style="570"/>
    <col min="8722" max="8722" width="17.28515625" style="570" customWidth="1"/>
    <col min="8723" max="8723" width="9.140625" style="570"/>
    <col min="8724" max="8724" width="12.85546875" style="570" customWidth="1"/>
    <col min="8725" max="8725" width="9.140625" style="570"/>
    <col min="8726" max="8726" width="12.85546875" style="570" customWidth="1"/>
    <col min="8727" max="8727" width="9.140625" style="570"/>
    <col min="8728" max="8728" width="12.85546875" style="570" customWidth="1"/>
    <col min="8729" max="8729" width="10" style="570" customWidth="1"/>
    <col min="8730" max="8730" width="12.85546875" style="570" customWidth="1"/>
    <col min="8731" max="8731" width="9.140625" style="570"/>
    <col min="8732" max="8732" width="12.85546875" style="570" customWidth="1"/>
    <col min="8733" max="8733" width="9.140625" style="570"/>
    <col min="8734" max="8734" width="12.85546875" style="570" customWidth="1"/>
    <col min="8735" max="8735" width="9.140625" style="570"/>
    <col min="8736" max="8736" width="13.85546875" style="570" customWidth="1"/>
    <col min="8737" max="8737" width="9.140625" style="570"/>
    <col min="8738" max="8738" width="12.85546875" style="570" customWidth="1"/>
    <col min="8739" max="8739" width="9.140625" style="570"/>
    <col min="8740" max="8740" width="12.85546875" style="570" customWidth="1"/>
    <col min="8741" max="8741" width="9.140625" style="570"/>
    <col min="8742" max="8742" width="12.85546875" style="570" customWidth="1"/>
    <col min="8743" max="8743" width="9.140625" style="570"/>
    <col min="8744" max="8744" width="12.85546875" style="570" customWidth="1"/>
    <col min="8745" max="8745" width="9.140625" style="570"/>
    <col min="8746" max="8746" width="12.85546875" style="570" customWidth="1"/>
    <col min="8747" max="8747" width="9.140625" style="570"/>
    <col min="8748" max="8748" width="12.85546875" style="570" customWidth="1"/>
    <col min="8749" max="8749" width="9.140625" style="570"/>
    <col min="8750" max="8750" width="12.85546875" style="570" customWidth="1"/>
    <col min="8751" max="8751" width="0.140625" style="570" customWidth="1"/>
    <col min="8752" max="8960" width="9.140625" style="570"/>
    <col min="8961" max="8961" width="30.85546875" style="570" bestFit="1" customWidth="1"/>
    <col min="8962" max="8962" width="12.5703125" style="570" bestFit="1" customWidth="1"/>
    <col min="8963" max="8963" width="2.7109375" style="570" customWidth="1"/>
    <col min="8964" max="8964" width="32.7109375" style="570" bestFit="1" customWidth="1"/>
    <col min="8965" max="8965" width="10.5703125" style="570" bestFit="1" customWidth="1"/>
    <col min="8966" max="8966" width="2.85546875" style="570" customWidth="1"/>
    <col min="8967" max="8967" width="32.28515625" style="570" bestFit="1" customWidth="1"/>
    <col min="8968" max="8968" width="12" style="570" customWidth="1"/>
    <col min="8969" max="8969" width="2.5703125" style="570" customWidth="1"/>
    <col min="8970" max="8970" width="16.5703125" style="570" customWidth="1"/>
    <col min="8971" max="8971" width="10.7109375" style="570" customWidth="1"/>
    <col min="8972" max="8972" width="15.42578125" style="570" customWidth="1"/>
    <col min="8973" max="8973" width="10.7109375" style="570" customWidth="1"/>
    <col min="8974" max="8974" width="15.7109375" style="570" customWidth="1"/>
    <col min="8975" max="8975" width="9.140625" style="570"/>
    <col min="8976" max="8976" width="17" style="570" customWidth="1"/>
    <col min="8977" max="8977" width="9.140625" style="570"/>
    <col min="8978" max="8978" width="17.28515625" style="570" customWidth="1"/>
    <col min="8979" max="8979" width="9.140625" style="570"/>
    <col min="8980" max="8980" width="12.85546875" style="570" customWidth="1"/>
    <col min="8981" max="8981" width="9.140625" style="570"/>
    <col min="8982" max="8982" width="12.85546875" style="570" customWidth="1"/>
    <col min="8983" max="8983" width="9.140625" style="570"/>
    <col min="8984" max="8984" width="12.85546875" style="570" customWidth="1"/>
    <col min="8985" max="8985" width="10" style="570" customWidth="1"/>
    <col min="8986" max="8986" width="12.85546875" style="570" customWidth="1"/>
    <col min="8987" max="8987" width="9.140625" style="570"/>
    <col min="8988" max="8988" width="12.85546875" style="570" customWidth="1"/>
    <col min="8989" max="8989" width="9.140625" style="570"/>
    <col min="8990" max="8990" width="12.85546875" style="570" customWidth="1"/>
    <col min="8991" max="8991" width="9.140625" style="570"/>
    <col min="8992" max="8992" width="13.85546875" style="570" customWidth="1"/>
    <col min="8993" max="8993" width="9.140625" style="570"/>
    <col min="8994" max="8994" width="12.85546875" style="570" customWidth="1"/>
    <col min="8995" max="8995" width="9.140625" style="570"/>
    <col min="8996" max="8996" width="12.85546875" style="570" customWidth="1"/>
    <col min="8997" max="8997" width="9.140625" style="570"/>
    <col min="8998" max="8998" width="12.85546875" style="570" customWidth="1"/>
    <col min="8999" max="8999" width="9.140625" style="570"/>
    <col min="9000" max="9000" width="12.85546875" style="570" customWidth="1"/>
    <col min="9001" max="9001" width="9.140625" style="570"/>
    <col min="9002" max="9002" width="12.85546875" style="570" customWidth="1"/>
    <col min="9003" max="9003" width="9.140625" style="570"/>
    <col min="9004" max="9004" width="12.85546875" style="570" customWidth="1"/>
    <col min="9005" max="9005" width="9.140625" style="570"/>
    <col min="9006" max="9006" width="12.85546875" style="570" customWidth="1"/>
    <col min="9007" max="9007" width="0.140625" style="570" customWidth="1"/>
    <col min="9008" max="9216" width="9.140625" style="570"/>
    <col min="9217" max="9217" width="30.85546875" style="570" bestFit="1" customWidth="1"/>
    <col min="9218" max="9218" width="12.5703125" style="570" bestFit="1" customWidth="1"/>
    <col min="9219" max="9219" width="2.7109375" style="570" customWidth="1"/>
    <col min="9220" max="9220" width="32.7109375" style="570" bestFit="1" customWidth="1"/>
    <col min="9221" max="9221" width="10.5703125" style="570" bestFit="1" customWidth="1"/>
    <col min="9222" max="9222" width="2.85546875" style="570" customWidth="1"/>
    <col min="9223" max="9223" width="32.28515625" style="570" bestFit="1" customWidth="1"/>
    <col min="9224" max="9224" width="12" style="570" customWidth="1"/>
    <col min="9225" max="9225" width="2.5703125" style="570" customWidth="1"/>
    <col min="9226" max="9226" width="16.5703125" style="570" customWidth="1"/>
    <col min="9227" max="9227" width="10.7109375" style="570" customWidth="1"/>
    <col min="9228" max="9228" width="15.42578125" style="570" customWidth="1"/>
    <col min="9229" max="9229" width="10.7109375" style="570" customWidth="1"/>
    <col min="9230" max="9230" width="15.7109375" style="570" customWidth="1"/>
    <col min="9231" max="9231" width="9.140625" style="570"/>
    <col min="9232" max="9232" width="17" style="570" customWidth="1"/>
    <col min="9233" max="9233" width="9.140625" style="570"/>
    <col min="9234" max="9234" width="17.28515625" style="570" customWidth="1"/>
    <col min="9235" max="9235" width="9.140625" style="570"/>
    <col min="9236" max="9236" width="12.85546875" style="570" customWidth="1"/>
    <col min="9237" max="9237" width="9.140625" style="570"/>
    <col min="9238" max="9238" width="12.85546875" style="570" customWidth="1"/>
    <col min="9239" max="9239" width="9.140625" style="570"/>
    <col min="9240" max="9240" width="12.85546875" style="570" customWidth="1"/>
    <col min="9241" max="9241" width="10" style="570" customWidth="1"/>
    <col min="9242" max="9242" width="12.85546875" style="570" customWidth="1"/>
    <col min="9243" max="9243" width="9.140625" style="570"/>
    <col min="9244" max="9244" width="12.85546875" style="570" customWidth="1"/>
    <col min="9245" max="9245" width="9.140625" style="570"/>
    <col min="9246" max="9246" width="12.85546875" style="570" customWidth="1"/>
    <col min="9247" max="9247" width="9.140625" style="570"/>
    <col min="9248" max="9248" width="13.85546875" style="570" customWidth="1"/>
    <col min="9249" max="9249" width="9.140625" style="570"/>
    <col min="9250" max="9250" width="12.85546875" style="570" customWidth="1"/>
    <col min="9251" max="9251" width="9.140625" style="570"/>
    <col min="9252" max="9252" width="12.85546875" style="570" customWidth="1"/>
    <col min="9253" max="9253" width="9.140625" style="570"/>
    <col min="9254" max="9254" width="12.85546875" style="570" customWidth="1"/>
    <col min="9255" max="9255" width="9.140625" style="570"/>
    <col min="9256" max="9256" width="12.85546875" style="570" customWidth="1"/>
    <col min="9257" max="9257" width="9.140625" style="570"/>
    <col min="9258" max="9258" width="12.85546875" style="570" customWidth="1"/>
    <col min="9259" max="9259" width="9.140625" style="570"/>
    <col min="9260" max="9260" width="12.85546875" style="570" customWidth="1"/>
    <col min="9261" max="9261" width="9.140625" style="570"/>
    <col min="9262" max="9262" width="12.85546875" style="570" customWidth="1"/>
    <col min="9263" max="9263" width="0.140625" style="570" customWidth="1"/>
    <col min="9264" max="9472" width="9.140625" style="570"/>
    <col min="9473" max="9473" width="30.85546875" style="570" bestFit="1" customWidth="1"/>
    <col min="9474" max="9474" width="12.5703125" style="570" bestFit="1" customWidth="1"/>
    <col min="9475" max="9475" width="2.7109375" style="570" customWidth="1"/>
    <col min="9476" max="9476" width="32.7109375" style="570" bestFit="1" customWidth="1"/>
    <col min="9477" max="9477" width="10.5703125" style="570" bestFit="1" customWidth="1"/>
    <col min="9478" max="9478" width="2.85546875" style="570" customWidth="1"/>
    <col min="9479" max="9479" width="32.28515625" style="570" bestFit="1" customWidth="1"/>
    <col min="9480" max="9480" width="12" style="570" customWidth="1"/>
    <col min="9481" max="9481" width="2.5703125" style="570" customWidth="1"/>
    <col min="9482" max="9482" width="16.5703125" style="570" customWidth="1"/>
    <col min="9483" max="9483" width="10.7109375" style="570" customWidth="1"/>
    <col min="9484" max="9484" width="15.42578125" style="570" customWidth="1"/>
    <col min="9485" max="9485" width="10.7109375" style="570" customWidth="1"/>
    <col min="9486" max="9486" width="15.7109375" style="570" customWidth="1"/>
    <col min="9487" max="9487" width="9.140625" style="570"/>
    <col min="9488" max="9488" width="17" style="570" customWidth="1"/>
    <col min="9489" max="9489" width="9.140625" style="570"/>
    <col min="9490" max="9490" width="17.28515625" style="570" customWidth="1"/>
    <col min="9491" max="9491" width="9.140625" style="570"/>
    <col min="9492" max="9492" width="12.85546875" style="570" customWidth="1"/>
    <col min="9493" max="9493" width="9.140625" style="570"/>
    <col min="9494" max="9494" width="12.85546875" style="570" customWidth="1"/>
    <col min="9495" max="9495" width="9.140625" style="570"/>
    <col min="9496" max="9496" width="12.85546875" style="570" customWidth="1"/>
    <col min="9497" max="9497" width="10" style="570" customWidth="1"/>
    <col min="9498" max="9498" width="12.85546875" style="570" customWidth="1"/>
    <col min="9499" max="9499" width="9.140625" style="570"/>
    <col min="9500" max="9500" width="12.85546875" style="570" customWidth="1"/>
    <col min="9501" max="9501" width="9.140625" style="570"/>
    <col min="9502" max="9502" width="12.85546875" style="570" customWidth="1"/>
    <col min="9503" max="9503" width="9.140625" style="570"/>
    <col min="9504" max="9504" width="13.85546875" style="570" customWidth="1"/>
    <col min="9505" max="9505" width="9.140625" style="570"/>
    <col min="9506" max="9506" width="12.85546875" style="570" customWidth="1"/>
    <col min="9507" max="9507" width="9.140625" style="570"/>
    <col min="9508" max="9508" width="12.85546875" style="570" customWidth="1"/>
    <col min="9509" max="9509" width="9.140625" style="570"/>
    <col min="9510" max="9510" width="12.85546875" style="570" customWidth="1"/>
    <col min="9511" max="9511" width="9.140625" style="570"/>
    <col min="9512" max="9512" width="12.85546875" style="570" customWidth="1"/>
    <col min="9513" max="9513" width="9.140625" style="570"/>
    <col min="9514" max="9514" width="12.85546875" style="570" customWidth="1"/>
    <col min="9515" max="9515" width="9.140625" style="570"/>
    <col min="9516" max="9516" width="12.85546875" style="570" customWidth="1"/>
    <col min="9517" max="9517" width="9.140625" style="570"/>
    <col min="9518" max="9518" width="12.85546875" style="570" customWidth="1"/>
    <col min="9519" max="9519" width="0.140625" style="570" customWidth="1"/>
    <col min="9520" max="9728" width="9.140625" style="570"/>
    <col min="9729" max="9729" width="30.85546875" style="570" bestFit="1" customWidth="1"/>
    <col min="9730" max="9730" width="12.5703125" style="570" bestFit="1" customWidth="1"/>
    <col min="9731" max="9731" width="2.7109375" style="570" customWidth="1"/>
    <col min="9732" max="9732" width="32.7109375" style="570" bestFit="1" customWidth="1"/>
    <col min="9733" max="9733" width="10.5703125" style="570" bestFit="1" customWidth="1"/>
    <col min="9734" max="9734" width="2.85546875" style="570" customWidth="1"/>
    <col min="9735" max="9735" width="32.28515625" style="570" bestFit="1" customWidth="1"/>
    <col min="9736" max="9736" width="12" style="570" customWidth="1"/>
    <col min="9737" max="9737" width="2.5703125" style="570" customWidth="1"/>
    <col min="9738" max="9738" width="16.5703125" style="570" customWidth="1"/>
    <col min="9739" max="9739" width="10.7109375" style="570" customWidth="1"/>
    <col min="9740" max="9740" width="15.42578125" style="570" customWidth="1"/>
    <col min="9741" max="9741" width="10.7109375" style="570" customWidth="1"/>
    <col min="9742" max="9742" width="15.7109375" style="570" customWidth="1"/>
    <col min="9743" max="9743" width="9.140625" style="570"/>
    <col min="9744" max="9744" width="17" style="570" customWidth="1"/>
    <col min="9745" max="9745" width="9.140625" style="570"/>
    <col min="9746" max="9746" width="17.28515625" style="570" customWidth="1"/>
    <col min="9747" max="9747" width="9.140625" style="570"/>
    <col min="9748" max="9748" width="12.85546875" style="570" customWidth="1"/>
    <col min="9749" max="9749" width="9.140625" style="570"/>
    <col min="9750" max="9750" width="12.85546875" style="570" customWidth="1"/>
    <col min="9751" max="9751" width="9.140625" style="570"/>
    <col min="9752" max="9752" width="12.85546875" style="570" customWidth="1"/>
    <col min="9753" max="9753" width="10" style="570" customWidth="1"/>
    <col min="9754" max="9754" width="12.85546875" style="570" customWidth="1"/>
    <col min="9755" max="9755" width="9.140625" style="570"/>
    <col min="9756" max="9756" width="12.85546875" style="570" customWidth="1"/>
    <col min="9757" max="9757" width="9.140625" style="570"/>
    <col min="9758" max="9758" width="12.85546875" style="570" customWidth="1"/>
    <col min="9759" max="9759" width="9.140625" style="570"/>
    <col min="9760" max="9760" width="13.85546875" style="570" customWidth="1"/>
    <col min="9761" max="9761" width="9.140625" style="570"/>
    <col min="9762" max="9762" width="12.85546875" style="570" customWidth="1"/>
    <col min="9763" max="9763" width="9.140625" style="570"/>
    <col min="9764" max="9764" width="12.85546875" style="570" customWidth="1"/>
    <col min="9765" max="9765" width="9.140625" style="570"/>
    <col min="9766" max="9766" width="12.85546875" style="570" customWidth="1"/>
    <col min="9767" max="9767" width="9.140625" style="570"/>
    <col min="9768" max="9768" width="12.85546875" style="570" customWidth="1"/>
    <col min="9769" max="9769" width="9.140625" style="570"/>
    <col min="9770" max="9770" width="12.85546875" style="570" customWidth="1"/>
    <col min="9771" max="9771" width="9.140625" style="570"/>
    <col min="9772" max="9772" width="12.85546875" style="570" customWidth="1"/>
    <col min="9773" max="9773" width="9.140625" style="570"/>
    <col min="9774" max="9774" width="12.85546875" style="570" customWidth="1"/>
    <col min="9775" max="9775" width="0.140625" style="570" customWidth="1"/>
    <col min="9776" max="9984" width="9.140625" style="570"/>
    <col min="9985" max="9985" width="30.85546875" style="570" bestFit="1" customWidth="1"/>
    <col min="9986" max="9986" width="12.5703125" style="570" bestFit="1" customWidth="1"/>
    <col min="9987" max="9987" width="2.7109375" style="570" customWidth="1"/>
    <col min="9988" max="9988" width="32.7109375" style="570" bestFit="1" customWidth="1"/>
    <col min="9989" max="9989" width="10.5703125" style="570" bestFit="1" customWidth="1"/>
    <col min="9990" max="9990" width="2.85546875" style="570" customWidth="1"/>
    <col min="9991" max="9991" width="32.28515625" style="570" bestFit="1" customWidth="1"/>
    <col min="9992" max="9992" width="12" style="570" customWidth="1"/>
    <col min="9993" max="9993" width="2.5703125" style="570" customWidth="1"/>
    <col min="9994" max="9994" width="16.5703125" style="570" customWidth="1"/>
    <col min="9995" max="9995" width="10.7109375" style="570" customWidth="1"/>
    <col min="9996" max="9996" width="15.42578125" style="570" customWidth="1"/>
    <col min="9997" max="9997" width="10.7109375" style="570" customWidth="1"/>
    <col min="9998" max="9998" width="15.7109375" style="570" customWidth="1"/>
    <col min="9999" max="9999" width="9.140625" style="570"/>
    <col min="10000" max="10000" width="17" style="570" customWidth="1"/>
    <col min="10001" max="10001" width="9.140625" style="570"/>
    <col min="10002" max="10002" width="17.28515625" style="570" customWidth="1"/>
    <col min="10003" max="10003" width="9.140625" style="570"/>
    <col min="10004" max="10004" width="12.85546875" style="570" customWidth="1"/>
    <col min="10005" max="10005" width="9.140625" style="570"/>
    <col min="10006" max="10006" width="12.85546875" style="570" customWidth="1"/>
    <col min="10007" max="10007" width="9.140625" style="570"/>
    <col min="10008" max="10008" width="12.85546875" style="570" customWidth="1"/>
    <col min="10009" max="10009" width="10" style="570" customWidth="1"/>
    <col min="10010" max="10010" width="12.85546875" style="570" customWidth="1"/>
    <col min="10011" max="10011" width="9.140625" style="570"/>
    <col min="10012" max="10012" width="12.85546875" style="570" customWidth="1"/>
    <col min="10013" max="10013" width="9.140625" style="570"/>
    <col min="10014" max="10014" width="12.85546875" style="570" customWidth="1"/>
    <col min="10015" max="10015" width="9.140625" style="570"/>
    <col min="10016" max="10016" width="13.85546875" style="570" customWidth="1"/>
    <col min="10017" max="10017" width="9.140625" style="570"/>
    <col min="10018" max="10018" width="12.85546875" style="570" customWidth="1"/>
    <col min="10019" max="10019" width="9.140625" style="570"/>
    <col min="10020" max="10020" width="12.85546875" style="570" customWidth="1"/>
    <col min="10021" max="10021" width="9.140625" style="570"/>
    <col min="10022" max="10022" width="12.85546875" style="570" customWidth="1"/>
    <col min="10023" max="10023" width="9.140625" style="570"/>
    <col min="10024" max="10024" width="12.85546875" style="570" customWidth="1"/>
    <col min="10025" max="10025" width="9.140625" style="570"/>
    <col min="10026" max="10026" width="12.85546875" style="570" customWidth="1"/>
    <col min="10027" max="10027" width="9.140625" style="570"/>
    <col min="10028" max="10028" width="12.85546875" style="570" customWidth="1"/>
    <col min="10029" max="10029" width="9.140625" style="570"/>
    <col min="10030" max="10030" width="12.85546875" style="570" customWidth="1"/>
    <col min="10031" max="10031" width="0.140625" style="570" customWidth="1"/>
    <col min="10032" max="10240" width="9.140625" style="570"/>
    <col min="10241" max="10241" width="30.85546875" style="570" bestFit="1" customWidth="1"/>
    <col min="10242" max="10242" width="12.5703125" style="570" bestFit="1" customWidth="1"/>
    <col min="10243" max="10243" width="2.7109375" style="570" customWidth="1"/>
    <col min="10244" max="10244" width="32.7109375" style="570" bestFit="1" customWidth="1"/>
    <col min="10245" max="10245" width="10.5703125" style="570" bestFit="1" customWidth="1"/>
    <col min="10246" max="10246" width="2.85546875" style="570" customWidth="1"/>
    <col min="10247" max="10247" width="32.28515625" style="570" bestFit="1" customWidth="1"/>
    <col min="10248" max="10248" width="12" style="570" customWidth="1"/>
    <col min="10249" max="10249" width="2.5703125" style="570" customWidth="1"/>
    <col min="10250" max="10250" width="16.5703125" style="570" customWidth="1"/>
    <col min="10251" max="10251" width="10.7109375" style="570" customWidth="1"/>
    <col min="10252" max="10252" width="15.42578125" style="570" customWidth="1"/>
    <col min="10253" max="10253" width="10.7109375" style="570" customWidth="1"/>
    <col min="10254" max="10254" width="15.7109375" style="570" customWidth="1"/>
    <col min="10255" max="10255" width="9.140625" style="570"/>
    <col min="10256" max="10256" width="17" style="570" customWidth="1"/>
    <col min="10257" max="10257" width="9.140625" style="570"/>
    <col min="10258" max="10258" width="17.28515625" style="570" customWidth="1"/>
    <col min="10259" max="10259" width="9.140625" style="570"/>
    <col min="10260" max="10260" width="12.85546875" style="570" customWidth="1"/>
    <col min="10261" max="10261" width="9.140625" style="570"/>
    <col min="10262" max="10262" width="12.85546875" style="570" customWidth="1"/>
    <col min="10263" max="10263" width="9.140625" style="570"/>
    <col min="10264" max="10264" width="12.85546875" style="570" customWidth="1"/>
    <col min="10265" max="10265" width="10" style="570" customWidth="1"/>
    <col min="10266" max="10266" width="12.85546875" style="570" customWidth="1"/>
    <col min="10267" max="10267" width="9.140625" style="570"/>
    <col min="10268" max="10268" width="12.85546875" style="570" customWidth="1"/>
    <col min="10269" max="10269" width="9.140625" style="570"/>
    <col min="10270" max="10270" width="12.85546875" style="570" customWidth="1"/>
    <col min="10271" max="10271" width="9.140625" style="570"/>
    <col min="10272" max="10272" width="13.85546875" style="570" customWidth="1"/>
    <col min="10273" max="10273" width="9.140625" style="570"/>
    <col min="10274" max="10274" width="12.85546875" style="570" customWidth="1"/>
    <col min="10275" max="10275" width="9.140625" style="570"/>
    <col min="10276" max="10276" width="12.85546875" style="570" customWidth="1"/>
    <col min="10277" max="10277" width="9.140625" style="570"/>
    <col min="10278" max="10278" width="12.85546875" style="570" customWidth="1"/>
    <col min="10279" max="10279" width="9.140625" style="570"/>
    <col min="10280" max="10280" width="12.85546875" style="570" customWidth="1"/>
    <col min="10281" max="10281" width="9.140625" style="570"/>
    <col min="10282" max="10282" width="12.85546875" style="570" customWidth="1"/>
    <col min="10283" max="10283" width="9.140625" style="570"/>
    <col min="10284" max="10284" width="12.85546875" style="570" customWidth="1"/>
    <col min="10285" max="10285" width="9.140625" style="570"/>
    <col min="10286" max="10286" width="12.85546875" style="570" customWidth="1"/>
    <col min="10287" max="10287" width="0.140625" style="570" customWidth="1"/>
    <col min="10288" max="10496" width="9.140625" style="570"/>
    <col min="10497" max="10497" width="30.85546875" style="570" bestFit="1" customWidth="1"/>
    <col min="10498" max="10498" width="12.5703125" style="570" bestFit="1" customWidth="1"/>
    <col min="10499" max="10499" width="2.7109375" style="570" customWidth="1"/>
    <col min="10500" max="10500" width="32.7109375" style="570" bestFit="1" customWidth="1"/>
    <col min="10501" max="10501" width="10.5703125" style="570" bestFit="1" customWidth="1"/>
    <col min="10502" max="10502" width="2.85546875" style="570" customWidth="1"/>
    <col min="10503" max="10503" width="32.28515625" style="570" bestFit="1" customWidth="1"/>
    <col min="10504" max="10504" width="12" style="570" customWidth="1"/>
    <col min="10505" max="10505" width="2.5703125" style="570" customWidth="1"/>
    <col min="10506" max="10506" width="16.5703125" style="570" customWidth="1"/>
    <col min="10507" max="10507" width="10.7109375" style="570" customWidth="1"/>
    <col min="10508" max="10508" width="15.42578125" style="570" customWidth="1"/>
    <col min="10509" max="10509" width="10.7109375" style="570" customWidth="1"/>
    <col min="10510" max="10510" width="15.7109375" style="570" customWidth="1"/>
    <col min="10511" max="10511" width="9.140625" style="570"/>
    <col min="10512" max="10512" width="17" style="570" customWidth="1"/>
    <col min="10513" max="10513" width="9.140625" style="570"/>
    <col min="10514" max="10514" width="17.28515625" style="570" customWidth="1"/>
    <col min="10515" max="10515" width="9.140625" style="570"/>
    <col min="10516" max="10516" width="12.85546875" style="570" customWidth="1"/>
    <col min="10517" max="10517" width="9.140625" style="570"/>
    <col min="10518" max="10518" width="12.85546875" style="570" customWidth="1"/>
    <col min="10519" max="10519" width="9.140625" style="570"/>
    <col min="10520" max="10520" width="12.85546875" style="570" customWidth="1"/>
    <col min="10521" max="10521" width="10" style="570" customWidth="1"/>
    <col min="10522" max="10522" width="12.85546875" style="570" customWidth="1"/>
    <col min="10523" max="10523" width="9.140625" style="570"/>
    <col min="10524" max="10524" width="12.85546875" style="570" customWidth="1"/>
    <col min="10525" max="10525" width="9.140625" style="570"/>
    <col min="10526" max="10526" width="12.85546875" style="570" customWidth="1"/>
    <col min="10527" max="10527" width="9.140625" style="570"/>
    <col min="10528" max="10528" width="13.85546875" style="570" customWidth="1"/>
    <col min="10529" max="10529" width="9.140625" style="570"/>
    <col min="10530" max="10530" width="12.85546875" style="570" customWidth="1"/>
    <col min="10531" max="10531" width="9.140625" style="570"/>
    <col min="10532" max="10532" width="12.85546875" style="570" customWidth="1"/>
    <col min="10533" max="10533" width="9.140625" style="570"/>
    <col min="10534" max="10534" width="12.85546875" style="570" customWidth="1"/>
    <col min="10535" max="10535" width="9.140625" style="570"/>
    <col min="10536" max="10536" width="12.85546875" style="570" customWidth="1"/>
    <col min="10537" max="10537" width="9.140625" style="570"/>
    <col min="10538" max="10538" width="12.85546875" style="570" customWidth="1"/>
    <col min="10539" max="10539" width="9.140625" style="570"/>
    <col min="10540" max="10540" width="12.85546875" style="570" customWidth="1"/>
    <col min="10541" max="10541" width="9.140625" style="570"/>
    <col min="10542" max="10542" width="12.85546875" style="570" customWidth="1"/>
    <col min="10543" max="10543" width="0.140625" style="570" customWidth="1"/>
    <col min="10544" max="10752" width="9.140625" style="570"/>
    <col min="10753" max="10753" width="30.85546875" style="570" bestFit="1" customWidth="1"/>
    <col min="10754" max="10754" width="12.5703125" style="570" bestFit="1" customWidth="1"/>
    <col min="10755" max="10755" width="2.7109375" style="570" customWidth="1"/>
    <col min="10756" max="10756" width="32.7109375" style="570" bestFit="1" customWidth="1"/>
    <col min="10757" max="10757" width="10.5703125" style="570" bestFit="1" customWidth="1"/>
    <col min="10758" max="10758" width="2.85546875" style="570" customWidth="1"/>
    <col min="10759" max="10759" width="32.28515625" style="570" bestFit="1" customWidth="1"/>
    <col min="10760" max="10760" width="12" style="570" customWidth="1"/>
    <col min="10761" max="10761" width="2.5703125" style="570" customWidth="1"/>
    <col min="10762" max="10762" width="16.5703125" style="570" customWidth="1"/>
    <col min="10763" max="10763" width="10.7109375" style="570" customWidth="1"/>
    <col min="10764" max="10764" width="15.42578125" style="570" customWidth="1"/>
    <col min="10765" max="10765" width="10.7109375" style="570" customWidth="1"/>
    <col min="10766" max="10766" width="15.7109375" style="570" customWidth="1"/>
    <col min="10767" max="10767" width="9.140625" style="570"/>
    <col min="10768" max="10768" width="17" style="570" customWidth="1"/>
    <col min="10769" max="10769" width="9.140625" style="570"/>
    <col min="10770" max="10770" width="17.28515625" style="570" customWidth="1"/>
    <col min="10771" max="10771" width="9.140625" style="570"/>
    <col min="10772" max="10772" width="12.85546875" style="570" customWidth="1"/>
    <col min="10773" max="10773" width="9.140625" style="570"/>
    <col min="10774" max="10774" width="12.85546875" style="570" customWidth="1"/>
    <col min="10775" max="10775" width="9.140625" style="570"/>
    <col min="10776" max="10776" width="12.85546875" style="570" customWidth="1"/>
    <col min="10777" max="10777" width="10" style="570" customWidth="1"/>
    <col min="10778" max="10778" width="12.85546875" style="570" customWidth="1"/>
    <col min="10779" max="10779" width="9.140625" style="570"/>
    <col min="10780" max="10780" width="12.85546875" style="570" customWidth="1"/>
    <col min="10781" max="10781" width="9.140625" style="570"/>
    <col min="10782" max="10782" width="12.85546875" style="570" customWidth="1"/>
    <col min="10783" max="10783" width="9.140625" style="570"/>
    <col min="10784" max="10784" width="13.85546875" style="570" customWidth="1"/>
    <col min="10785" max="10785" width="9.140625" style="570"/>
    <col min="10786" max="10786" width="12.85546875" style="570" customWidth="1"/>
    <col min="10787" max="10787" width="9.140625" style="570"/>
    <col min="10788" max="10788" width="12.85546875" style="570" customWidth="1"/>
    <col min="10789" max="10789" width="9.140625" style="570"/>
    <col min="10790" max="10790" width="12.85546875" style="570" customWidth="1"/>
    <col min="10791" max="10791" width="9.140625" style="570"/>
    <col min="10792" max="10792" width="12.85546875" style="570" customWidth="1"/>
    <col min="10793" max="10793" width="9.140625" style="570"/>
    <col min="10794" max="10794" width="12.85546875" style="570" customWidth="1"/>
    <col min="10795" max="10795" width="9.140625" style="570"/>
    <col min="10796" max="10796" width="12.85546875" style="570" customWidth="1"/>
    <col min="10797" max="10797" width="9.140625" style="570"/>
    <col min="10798" max="10798" width="12.85546875" style="570" customWidth="1"/>
    <col min="10799" max="10799" width="0.140625" style="570" customWidth="1"/>
    <col min="10800" max="11008" width="9.140625" style="570"/>
    <col min="11009" max="11009" width="30.85546875" style="570" bestFit="1" customWidth="1"/>
    <col min="11010" max="11010" width="12.5703125" style="570" bestFit="1" customWidth="1"/>
    <col min="11011" max="11011" width="2.7109375" style="570" customWidth="1"/>
    <col min="11012" max="11012" width="32.7109375" style="570" bestFit="1" customWidth="1"/>
    <col min="11013" max="11013" width="10.5703125" style="570" bestFit="1" customWidth="1"/>
    <col min="11014" max="11014" width="2.85546875" style="570" customWidth="1"/>
    <col min="11015" max="11015" width="32.28515625" style="570" bestFit="1" customWidth="1"/>
    <col min="11016" max="11016" width="12" style="570" customWidth="1"/>
    <col min="11017" max="11017" width="2.5703125" style="570" customWidth="1"/>
    <col min="11018" max="11018" width="16.5703125" style="570" customWidth="1"/>
    <col min="11019" max="11019" width="10.7109375" style="570" customWidth="1"/>
    <col min="11020" max="11020" width="15.42578125" style="570" customWidth="1"/>
    <col min="11021" max="11021" width="10.7109375" style="570" customWidth="1"/>
    <col min="11022" max="11022" width="15.7109375" style="570" customWidth="1"/>
    <col min="11023" max="11023" width="9.140625" style="570"/>
    <col min="11024" max="11024" width="17" style="570" customWidth="1"/>
    <col min="11025" max="11025" width="9.140625" style="570"/>
    <col min="11026" max="11026" width="17.28515625" style="570" customWidth="1"/>
    <col min="11027" max="11027" width="9.140625" style="570"/>
    <col min="11028" max="11028" width="12.85546875" style="570" customWidth="1"/>
    <col min="11029" max="11029" width="9.140625" style="570"/>
    <col min="11030" max="11030" width="12.85546875" style="570" customWidth="1"/>
    <col min="11031" max="11031" width="9.140625" style="570"/>
    <col min="11032" max="11032" width="12.85546875" style="570" customWidth="1"/>
    <col min="11033" max="11033" width="10" style="570" customWidth="1"/>
    <col min="11034" max="11034" width="12.85546875" style="570" customWidth="1"/>
    <col min="11035" max="11035" width="9.140625" style="570"/>
    <col min="11036" max="11036" width="12.85546875" style="570" customWidth="1"/>
    <col min="11037" max="11037" width="9.140625" style="570"/>
    <col min="11038" max="11038" width="12.85546875" style="570" customWidth="1"/>
    <col min="11039" max="11039" width="9.140625" style="570"/>
    <col min="11040" max="11040" width="13.85546875" style="570" customWidth="1"/>
    <col min="11041" max="11041" width="9.140625" style="570"/>
    <col min="11042" max="11042" width="12.85546875" style="570" customWidth="1"/>
    <col min="11043" max="11043" width="9.140625" style="570"/>
    <col min="11044" max="11044" width="12.85546875" style="570" customWidth="1"/>
    <col min="11045" max="11045" width="9.140625" style="570"/>
    <col min="11046" max="11046" width="12.85546875" style="570" customWidth="1"/>
    <col min="11047" max="11047" width="9.140625" style="570"/>
    <col min="11048" max="11048" width="12.85546875" style="570" customWidth="1"/>
    <col min="11049" max="11049" width="9.140625" style="570"/>
    <col min="11050" max="11050" width="12.85546875" style="570" customWidth="1"/>
    <col min="11051" max="11051" width="9.140625" style="570"/>
    <col min="11052" max="11052" width="12.85546875" style="570" customWidth="1"/>
    <col min="11053" max="11053" width="9.140625" style="570"/>
    <col min="11054" max="11054" width="12.85546875" style="570" customWidth="1"/>
    <col min="11055" max="11055" width="0.140625" style="570" customWidth="1"/>
    <col min="11056" max="11264" width="9.140625" style="570"/>
    <col min="11265" max="11265" width="30.85546875" style="570" bestFit="1" customWidth="1"/>
    <col min="11266" max="11266" width="12.5703125" style="570" bestFit="1" customWidth="1"/>
    <col min="11267" max="11267" width="2.7109375" style="570" customWidth="1"/>
    <col min="11268" max="11268" width="32.7109375" style="570" bestFit="1" customWidth="1"/>
    <col min="11269" max="11269" width="10.5703125" style="570" bestFit="1" customWidth="1"/>
    <col min="11270" max="11270" width="2.85546875" style="570" customWidth="1"/>
    <col min="11271" max="11271" width="32.28515625" style="570" bestFit="1" customWidth="1"/>
    <col min="11272" max="11272" width="12" style="570" customWidth="1"/>
    <col min="11273" max="11273" width="2.5703125" style="570" customWidth="1"/>
    <col min="11274" max="11274" width="16.5703125" style="570" customWidth="1"/>
    <col min="11275" max="11275" width="10.7109375" style="570" customWidth="1"/>
    <col min="11276" max="11276" width="15.42578125" style="570" customWidth="1"/>
    <col min="11277" max="11277" width="10.7109375" style="570" customWidth="1"/>
    <col min="11278" max="11278" width="15.7109375" style="570" customWidth="1"/>
    <col min="11279" max="11279" width="9.140625" style="570"/>
    <col min="11280" max="11280" width="17" style="570" customWidth="1"/>
    <col min="11281" max="11281" width="9.140625" style="570"/>
    <col min="11282" max="11282" width="17.28515625" style="570" customWidth="1"/>
    <col min="11283" max="11283" width="9.140625" style="570"/>
    <col min="11284" max="11284" width="12.85546875" style="570" customWidth="1"/>
    <col min="11285" max="11285" width="9.140625" style="570"/>
    <col min="11286" max="11286" width="12.85546875" style="570" customWidth="1"/>
    <col min="11287" max="11287" width="9.140625" style="570"/>
    <col min="11288" max="11288" width="12.85546875" style="570" customWidth="1"/>
    <col min="11289" max="11289" width="10" style="570" customWidth="1"/>
    <col min="11290" max="11290" width="12.85546875" style="570" customWidth="1"/>
    <col min="11291" max="11291" width="9.140625" style="570"/>
    <col min="11292" max="11292" width="12.85546875" style="570" customWidth="1"/>
    <col min="11293" max="11293" width="9.140625" style="570"/>
    <col min="11294" max="11294" width="12.85546875" style="570" customWidth="1"/>
    <col min="11295" max="11295" width="9.140625" style="570"/>
    <col min="11296" max="11296" width="13.85546875" style="570" customWidth="1"/>
    <col min="11297" max="11297" width="9.140625" style="570"/>
    <col min="11298" max="11298" width="12.85546875" style="570" customWidth="1"/>
    <col min="11299" max="11299" width="9.140625" style="570"/>
    <col min="11300" max="11300" width="12.85546875" style="570" customWidth="1"/>
    <col min="11301" max="11301" width="9.140625" style="570"/>
    <col min="11302" max="11302" width="12.85546875" style="570" customWidth="1"/>
    <col min="11303" max="11303" width="9.140625" style="570"/>
    <col min="11304" max="11304" width="12.85546875" style="570" customWidth="1"/>
    <col min="11305" max="11305" width="9.140625" style="570"/>
    <col min="11306" max="11306" width="12.85546875" style="570" customWidth="1"/>
    <col min="11307" max="11307" width="9.140625" style="570"/>
    <col min="11308" max="11308" width="12.85546875" style="570" customWidth="1"/>
    <col min="11309" max="11309" width="9.140625" style="570"/>
    <col min="11310" max="11310" width="12.85546875" style="570" customWidth="1"/>
    <col min="11311" max="11311" width="0.140625" style="570" customWidth="1"/>
    <col min="11312" max="11520" width="9.140625" style="570"/>
    <col min="11521" max="11521" width="30.85546875" style="570" bestFit="1" customWidth="1"/>
    <col min="11522" max="11522" width="12.5703125" style="570" bestFit="1" customWidth="1"/>
    <col min="11523" max="11523" width="2.7109375" style="570" customWidth="1"/>
    <col min="11524" max="11524" width="32.7109375" style="570" bestFit="1" customWidth="1"/>
    <col min="11525" max="11525" width="10.5703125" style="570" bestFit="1" customWidth="1"/>
    <col min="11526" max="11526" width="2.85546875" style="570" customWidth="1"/>
    <col min="11527" max="11527" width="32.28515625" style="570" bestFit="1" customWidth="1"/>
    <col min="11528" max="11528" width="12" style="570" customWidth="1"/>
    <col min="11529" max="11529" width="2.5703125" style="570" customWidth="1"/>
    <col min="11530" max="11530" width="16.5703125" style="570" customWidth="1"/>
    <col min="11531" max="11531" width="10.7109375" style="570" customWidth="1"/>
    <col min="11532" max="11532" width="15.42578125" style="570" customWidth="1"/>
    <col min="11533" max="11533" width="10.7109375" style="570" customWidth="1"/>
    <col min="11534" max="11534" width="15.7109375" style="570" customWidth="1"/>
    <col min="11535" max="11535" width="9.140625" style="570"/>
    <col min="11536" max="11536" width="17" style="570" customWidth="1"/>
    <col min="11537" max="11537" width="9.140625" style="570"/>
    <col min="11538" max="11538" width="17.28515625" style="570" customWidth="1"/>
    <col min="11539" max="11539" width="9.140625" style="570"/>
    <col min="11540" max="11540" width="12.85546875" style="570" customWidth="1"/>
    <col min="11541" max="11541" width="9.140625" style="570"/>
    <col min="11542" max="11542" width="12.85546875" style="570" customWidth="1"/>
    <col min="11543" max="11543" width="9.140625" style="570"/>
    <col min="11544" max="11544" width="12.85546875" style="570" customWidth="1"/>
    <col min="11545" max="11545" width="10" style="570" customWidth="1"/>
    <col min="11546" max="11546" width="12.85546875" style="570" customWidth="1"/>
    <col min="11547" max="11547" width="9.140625" style="570"/>
    <col min="11548" max="11548" width="12.85546875" style="570" customWidth="1"/>
    <col min="11549" max="11549" width="9.140625" style="570"/>
    <col min="11550" max="11550" width="12.85546875" style="570" customWidth="1"/>
    <col min="11551" max="11551" width="9.140625" style="570"/>
    <col min="11552" max="11552" width="13.85546875" style="570" customWidth="1"/>
    <col min="11553" max="11553" width="9.140625" style="570"/>
    <col min="11554" max="11554" width="12.85546875" style="570" customWidth="1"/>
    <col min="11555" max="11555" width="9.140625" style="570"/>
    <col min="11556" max="11556" width="12.85546875" style="570" customWidth="1"/>
    <col min="11557" max="11557" width="9.140625" style="570"/>
    <col min="11558" max="11558" width="12.85546875" style="570" customWidth="1"/>
    <col min="11559" max="11559" width="9.140625" style="570"/>
    <col min="11560" max="11560" width="12.85546875" style="570" customWidth="1"/>
    <col min="11561" max="11561" width="9.140625" style="570"/>
    <col min="11562" max="11562" width="12.85546875" style="570" customWidth="1"/>
    <col min="11563" max="11563" width="9.140625" style="570"/>
    <col min="11564" max="11564" width="12.85546875" style="570" customWidth="1"/>
    <col min="11565" max="11565" width="9.140625" style="570"/>
    <col min="11566" max="11566" width="12.85546875" style="570" customWidth="1"/>
    <col min="11567" max="11567" width="0.140625" style="570" customWidth="1"/>
    <col min="11568" max="11776" width="9.140625" style="570"/>
    <col min="11777" max="11777" width="30.85546875" style="570" bestFit="1" customWidth="1"/>
    <col min="11778" max="11778" width="12.5703125" style="570" bestFit="1" customWidth="1"/>
    <col min="11779" max="11779" width="2.7109375" style="570" customWidth="1"/>
    <col min="11780" max="11780" width="32.7109375" style="570" bestFit="1" customWidth="1"/>
    <col min="11781" max="11781" width="10.5703125" style="570" bestFit="1" customWidth="1"/>
    <col min="11782" max="11782" width="2.85546875" style="570" customWidth="1"/>
    <col min="11783" max="11783" width="32.28515625" style="570" bestFit="1" customWidth="1"/>
    <col min="11784" max="11784" width="12" style="570" customWidth="1"/>
    <col min="11785" max="11785" width="2.5703125" style="570" customWidth="1"/>
    <col min="11786" max="11786" width="16.5703125" style="570" customWidth="1"/>
    <col min="11787" max="11787" width="10.7109375" style="570" customWidth="1"/>
    <col min="11788" max="11788" width="15.42578125" style="570" customWidth="1"/>
    <col min="11789" max="11789" width="10.7109375" style="570" customWidth="1"/>
    <col min="11790" max="11790" width="15.7109375" style="570" customWidth="1"/>
    <col min="11791" max="11791" width="9.140625" style="570"/>
    <col min="11792" max="11792" width="17" style="570" customWidth="1"/>
    <col min="11793" max="11793" width="9.140625" style="570"/>
    <col min="11794" max="11794" width="17.28515625" style="570" customWidth="1"/>
    <col min="11795" max="11795" width="9.140625" style="570"/>
    <col min="11796" max="11796" width="12.85546875" style="570" customWidth="1"/>
    <col min="11797" max="11797" width="9.140625" style="570"/>
    <col min="11798" max="11798" width="12.85546875" style="570" customWidth="1"/>
    <col min="11799" max="11799" width="9.140625" style="570"/>
    <col min="11800" max="11800" width="12.85546875" style="570" customWidth="1"/>
    <col min="11801" max="11801" width="10" style="570" customWidth="1"/>
    <col min="11802" max="11802" width="12.85546875" style="570" customWidth="1"/>
    <col min="11803" max="11803" width="9.140625" style="570"/>
    <col min="11804" max="11804" width="12.85546875" style="570" customWidth="1"/>
    <col min="11805" max="11805" width="9.140625" style="570"/>
    <col min="11806" max="11806" width="12.85546875" style="570" customWidth="1"/>
    <col min="11807" max="11807" width="9.140625" style="570"/>
    <col min="11808" max="11808" width="13.85546875" style="570" customWidth="1"/>
    <col min="11809" max="11809" width="9.140625" style="570"/>
    <col min="11810" max="11810" width="12.85546875" style="570" customWidth="1"/>
    <col min="11811" max="11811" width="9.140625" style="570"/>
    <col min="11812" max="11812" width="12.85546875" style="570" customWidth="1"/>
    <col min="11813" max="11813" width="9.140625" style="570"/>
    <col min="11814" max="11814" width="12.85546875" style="570" customWidth="1"/>
    <col min="11815" max="11815" width="9.140625" style="570"/>
    <col min="11816" max="11816" width="12.85546875" style="570" customWidth="1"/>
    <col min="11817" max="11817" width="9.140625" style="570"/>
    <col min="11818" max="11818" width="12.85546875" style="570" customWidth="1"/>
    <col min="11819" max="11819" width="9.140625" style="570"/>
    <col min="11820" max="11820" width="12.85546875" style="570" customWidth="1"/>
    <col min="11821" max="11821" width="9.140625" style="570"/>
    <col min="11822" max="11822" width="12.85546875" style="570" customWidth="1"/>
    <col min="11823" max="11823" width="0.140625" style="570" customWidth="1"/>
    <col min="11824" max="12032" width="9.140625" style="570"/>
    <col min="12033" max="12033" width="30.85546875" style="570" bestFit="1" customWidth="1"/>
    <col min="12034" max="12034" width="12.5703125" style="570" bestFit="1" customWidth="1"/>
    <col min="12035" max="12035" width="2.7109375" style="570" customWidth="1"/>
    <col min="12036" max="12036" width="32.7109375" style="570" bestFit="1" customWidth="1"/>
    <col min="12037" max="12037" width="10.5703125" style="570" bestFit="1" customWidth="1"/>
    <col min="12038" max="12038" width="2.85546875" style="570" customWidth="1"/>
    <col min="12039" max="12039" width="32.28515625" style="570" bestFit="1" customWidth="1"/>
    <col min="12040" max="12040" width="12" style="570" customWidth="1"/>
    <col min="12041" max="12041" width="2.5703125" style="570" customWidth="1"/>
    <col min="12042" max="12042" width="16.5703125" style="570" customWidth="1"/>
    <col min="12043" max="12043" width="10.7109375" style="570" customWidth="1"/>
    <col min="12044" max="12044" width="15.42578125" style="570" customWidth="1"/>
    <col min="12045" max="12045" width="10.7109375" style="570" customWidth="1"/>
    <col min="12046" max="12046" width="15.7109375" style="570" customWidth="1"/>
    <col min="12047" max="12047" width="9.140625" style="570"/>
    <col min="12048" max="12048" width="17" style="570" customWidth="1"/>
    <col min="12049" max="12049" width="9.140625" style="570"/>
    <col min="12050" max="12050" width="17.28515625" style="570" customWidth="1"/>
    <col min="12051" max="12051" width="9.140625" style="570"/>
    <col min="12052" max="12052" width="12.85546875" style="570" customWidth="1"/>
    <col min="12053" max="12053" width="9.140625" style="570"/>
    <col min="12054" max="12054" width="12.85546875" style="570" customWidth="1"/>
    <col min="12055" max="12055" width="9.140625" style="570"/>
    <col min="12056" max="12056" width="12.85546875" style="570" customWidth="1"/>
    <col min="12057" max="12057" width="10" style="570" customWidth="1"/>
    <col min="12058" max="12058" width="12.85546875" style="570" customWidth="1"/>
    <col min="12059" max="12059" width="9.140625" style="570"/>
    <col min="12060" max="12060" width="12.85546875" style="570" customWidth="1"/>
    <col min="12061" max="12061" width="9.140625" style="570"/>
    <col min="12062" max="12062" width="12.85546875" style="570" customWidth="1"/>
    <col min="12063" max="12063" width="9.140625" style="570"/>
    <col min="12064" max="12064" width="13.85546875" style="570" customWidth="1"/>
    <col min="12065" max="12065" width="9.140625" style="570"/>
    <col min="12066" max="12066" width="12.85546875" style="570" customWidth="1"/>
    <col min="12067" max="12067" width="9.140625" style="570"/>
    <col min="12068" max="12068" width="12.85546875" style="570" customWidth="1"/>
    <col min="12069" max="12069" width="9.140625" style="570"/>
    <col min="12070" max="12070" width="12.85546875" style="570" customWidth="1"/>
    <col min="12071" max="12071" width="9.140625" style="570"/>
    <col min="12072" max="12072" width="12.85546875" style="570" customWidth="1"/>
    <col min="12073" max="12073" width="9.140625" style="570"/>
    <col min="12074" max="12074" width="12.85546875" style="570" customWidth="1"/>
    <col min="12075" max="12075" width="9.140625" style="570"/>
    <col min="12076" max="12076" width="12.85546875" style="570" customWidth="1"/>
    <col min="12077" max="12077" width="9.140625" style="570"/>
    <col min="12078" max="12078" width="12.85546875" style="570" customWidth="1"/>
    <col min="12079" max="12079" width="0.140625" style="570" customWidth="1"/>
    <col min="12080" max="12288" width="9.140625" style="570"/>
    <col min="12289" max="12289" width="30.85546875" style="570" bestFit="1" customWidth="1"/>
    <col min="12290" max="12290" width="12.5703125" style="570" bestFit="1" customWidth="1"/>
    <col min="12291" max="12291" width="2.7109375" style="570" customWidth="1"/>
    <col min="12292" max="12292" width="32.7109375" style="570" bestFit="1" customWidth="1"/>
    <col min="12293" max="12293" width="10.5703125" style="570" bestFit="1" customWidth="1"/>
    <col min="12294" max="12294" width="2.85546875" style="570" customWidth="1"/>
    <col min="12295" max="12295" width="32.28515625" style="570" bestFit="1" customWidth="1"/>
    <col min="12296" max="12296" width="12" style="570" customWidth="1"/>
    <col min="12297" max="12297" width="2.5703125" style="570" customWidth="1"/>
    <col min="12298" max="12298" width="16.5703125" style="570" customWidth="1"/>
    <col min="12299" max="12299" width="10.7109375" style="570" customWidth="1"/>
    <col min="12300" max="12300" width="15.42578125" style="570" customWidth="1"/>
    <col min="12301" max="12301" width="10.7109375" style="570" customWidth="1"/>
    <col min="12302" max="12302" width="15.7109375" style="570" customWidth="1"/>
    <col min="12303" max="12303" width="9.140625" style="570"/>
    <col min="12304" max="12304" width="17" style="570" customWidth="1"/>
    <col min="12305" max="12305" width="9.140625" style="570"/>
    <col min="12306" max="12306" width="17.28515625" style="570" customWidth="1"/>
    <col min="12307" max="12307" width="9.140625" style="570"/>
    <col min="12308" max="12308" width="12.85546875" style="570" customWidth="1"/>
    <col min="12309" max="12309" width="9.140625" style="570"/>
    <col min="12310" max="12310" width="12.85546875" style="570" customWidth="1"/>
    <col min="12311" max="12311" width="9.140625" style="570"/>
    <col min="12312" max="12312" width="12.85546875" style="570" customWidth="1"/>
    <col min="12313" max="12313" width="10" style="570" customWidth="1"/>
    <col min="12314" max="12314" width="12.85546875" style="570" customWidth="1"/>
    <col min="12315" max="12315" width="9.140625" style="570"/>
    <col min="12316" max="12316" width="12.85546875" style="570" customWidth="1"/>
    <col min="12317" max="12317" width="9.140625" style="570"/>
    <col min="12318" max="12318" width="12.85546875" style="570" customWidth="1"/>
    <col min="12319" max="12319" width="9.140625" style="570"/>
    <col min="12320" max="12320" width="13.85546875" style="570" customWidth="1"/>
    <col min="12321" max="12321" width="9.140625" style="570"/>
    <col min="12322" max="12322" width="12.85546875" style="570" customWidth="1"/>
    <col min="12323" max="12323" width="9.140625" style="570"/>
    <col min="12324" max="12324" width="12.85546875" style="570" customWidth="1"/>
    <col min="12325" max="12325" width="9.140625" style="570"/>
    <col min="12326" max="12326" width="12.85546875" style="570" customWidth="1"/>
    <col min="12327" max="12327" width="9.140625" style="570"/>
    <col min="12328" max="12328" width="12.85546875" style="570" customWidth="1"/>
    <col min="12329" max="12329" width="9.140625" style="570"/>
    <col min="12330" max="12330" width="12.85546875" style="570" customWidth="1"/>
    <col min="12331" max="12331" width="9.140625" style="570"/>
    <col min="12332" max="12332" width="12.85546875" style="570" customWidth="1"/>
    <col min="12333" max="12333" width="9.140625" style="570"/>
    <col min="12334" max="12334" width="12.85546875" style="570" customWidth="1"/>
    <col min="12335" max="12335" width="0.140625" style="570" customWidth="1"/>
    <col min="12336" max="12544" width="9.140625" style="570"/>
    <col min="12545" max="12545" width="30.85546875" style="570" bestFit="1" customWidth="1"/>
    <col min="12546" max="12546" width="12.5703125" style="570" bestFit="1" customWidth="1"/>
    <col min="12547" max="12547" width="2.7109375" style="570" customWidth="1"/>
    <col min="12548" max="12548" width="32.7109375" style="570" bestFit="1" customWidth="1"/>
    <col min="12549" max="12549" width="10.5703125" style="570" bestFit="1" customWidth="1"/>
    <col min="12550" max="12550" width="2.85546875" style="570" customWidth="1"/>
    <col min="12551" max="12551" width="32.28515625" style="570" bestFit="1" customWidth="1"/>
    <col min="12552" max="12552" width="12" style="570" customWidth="1"/>
    <col min="12553" max="12553" width="2.5703125" style="570" customWidth="1"/>
    <col min="12554" max="12554" width="16.5703125" style="570" customWidth="1"/>
    <col min="12555" max="12555" width="10.7109375" style="570" customWidth="1"/>
    <col min="12556" max="12556" width="15.42578125" style="570" customWidth="1"/>
    <col min="12557" max="12557" width="10.7109375" style="570" customWidth="1"/>
    <col min="12558" max="12558" width="15.7109375" style="570" customWidth="1"/>
    <col min="12559" max="12559" width="9.140625" style="570"/>
    <col min="12560" max="12560" width="17" style="570" customWidth="1"/>
    <col min="12561" max="12561" width="9.140625" style="570"/>
    <col min="12562" max="12562" width="17.28515625" style="570" customWidth="1"/>
    <col min="12563" max="12563" width="9.140625" style="570"/>
    <col min="12564" max="12564" width="12.85546875" style="570" customWidth="1"/>
    <col min="12565" max="12565" width="9.140625" style="570"/>
    <col min="12566" max="12566" width="12.85546875" style="570" customWidth="1"/>
    <col min="12567" max="12567" width="9.140625" style="570"/>
    <col min="12568" max="12568" width="12.85546875" style="570" customWidth="1"/>
    <col min="12569" max="12569" width="10" style="570" customWidth="1"/>
    <col min="12570" max="12570" width="12.85546875" style="570" customWidth="1"/>
    <col min="12571" max="12571" width="9.140625" style="570"/>
    <col min="12572" max="12572" width="12.85546875" style="570" customWidth="1"/>
    <col min="12573" max="12573" width="9.140625" style="570"/>
    <col min="12574" max="12574" width="12.85546875" style="570" customWidth="1"/>
    <col min="12575" max="12575" width="9.140625" style="570"/>
    <col min="12576" max="12576" width="13.85546875" style="570" customWidth="1"/>
    <col min="12577" max="12577" width="9.140625" style="570"/>
    <col min="12578" max="12578" width="12.85546875" style="570" customWidth="1"/>
    <col min="12579" max="12579" width="9.140625" style="570"/>
    <col min="12580" max="12580" width="12.85546875" style="570" customWidth="1"/>
    <col min="12581" max="12581" width="9.140625" style="570"/>
    <col min="12582" max="12582" width="12.85546875" style="570" customWidth="1"/>
    <col min="12583" max="12583" width="9.140625" style="570"/>
    <col min="12584" max="12584" width="12.85546875" style="570" customWidth="1"/>
    <col min="12585" max="12585" width="9.140625" style="570"/>
    <col min="12586" max="12586" width="12.85546875" style="570" customWidth="1"/>
    <col min="12587" max="12587" width="9.140625" style="570"/>
    <col min="12588" max="12588" width="12.85546875" style="570" customWidth="1"/>
    <col min="12589" max="12589" width="9.140625" style="570"/>
    <col min="12590" max="12590" width="12.85546875" style="570" customWidth="1"/>
    <col min="12591" max="12591" width="0.140625" style="570" customWidth="1"/>
    <col min="12592" max="12800" width="9.140625" style="570"/>
    <col min="12801" max="12801" width="30.85546875" style="570" bestFit="1" customWidth="1"/>
    <col min="12802" max="12802" width="12.5703125" style="570" bestFit="1" customWidth="1"/>
    <col min="12803" max="12803" width="2.7109375" style="570" customWidth="1"/>
    <col min="12804" max="12804" width="32.7109375" style="570" bestFit="1" customWidth="1"/>
    <col min="12805" max="12805" width="10.5703125" style="570" bestFit="1" customWidth="1"/>
    <col min="12806" max="12806" width="2.85546875" style="570" customWidth="1"/>
    <col min="12807" max="12807" width="32.28515625" style="570" bestFit="1" customWidth="1"/>
    <col min="12808" max="12808" width="12" style="570" customWidth="1"/>
    <col min="12809" max="12809" width="2.5703125" style="570" customWidth="1"/>
    <col min="12810" max="12810" width="16.5703125" style="570" customWidth="1"/>
    <col min="12811" max="12811" width="10.7109375" style="570" customWidth="1"/>
    <col min="12812" max="12812" width="15.42578125" style="570" customWidth="1"/>
    <col min="12813" max="12813" width="10.7109375" style="570" customWidth="1"/>
    <col min="12814" max="12814" width="15.7109375" style="570" customWidth="1"/>
    <col min="12815" max="12815" width="9.140625" style="570"/>
    <col min="12816" max="12816" width="17" style="570" customWidth="1"/>
    <col min="12817" max="12817" width="9.140625" style="570"/>
    <col min="12818" max="12818" width="17.28515625" style="570" customWidth="1"/>
    <col min="12819" max="12819" width="9.140625" style="570"/>
    <col min="12820" max="12820" width="12.85546875" style="570" customWidth="1"/>
    <col min="12821" max="12821" width="9.140625" style="570"/>
    <col min="12822" max="12822" width="12.85546875" style="570" customWidth="1"/>
    <col min="12823" max="12823" width="9.140625" style="570"/>
    <col min="12824" max="12824" width="12.85546875" style="570" customWidth="1"/>
    <col min="12825" max="12825" width="10" style="570" customWidth="1"/>
    <col min="12826" max="12826" width="12.85546875" style="570" customWidth="1"/>
    <col min="12827" max="12827" width="9.140625" style="570"/>
    <col min="12828" max="12828" width="12.85546875" style="570" customWidth="1"/>
    <col min="12829" max="12829" width="9.140625" style="570"/>
    <col min="12830" max="12830" width="12.85546875" style="570" customWidth="1"/>
    <col min="12831" max="12831" width="9.140625" style="570"/>
    <col min="12832" max="12832" width="13.85546875" style="570" customWidth="1"/>
    <col min="12833" max="12833" width="9.140625" style="570"/>
    <col min="12834" max="12834" width="12.85546875" style="570" customWidth="1"/>
    <col min="12835" max="12835" width="9.140625" style="570"/>
    <col min="12836" max="12836" width="12.85546875" style="570" customWidth="1"/>
    <col min="12837" max="12837" width="9.140625" style="570"/>
    <col min="12838" max="12838" width="12.85546875" style="570" customWidth="1"/>
    <col min="12839" max="12839" width="9.140625" style="570"/>
    <col min="12840" max="12840" width="12.85546875" style="570" customWidth="1"/>
    <col min="12841" max="12841" width="9.140625" style="570"/>
    <col min="12842" max="12842" width="12.85546875" style="570" customWidth="1"/>
    <col min="12843" max="12843" width="9.140625" style="570"/>
    <col min="12844" max="12844" width="12.85546875" style="570" customWidth="1"/>
    <col min="12845" max="12845" width="9.140625" style="570"/>
    <col min="12846" max="12846" width="12.85546875" style="570" customWidth="1"/>
    <col min="12847" max="12847" width="0.140625" style="570" customWidth="1"/>
    <col min="12848" max="13056" width="9.140625" style="570"/>
    <col min="13057" max="13057" width="30.85546875" style="570" bestFit="1" customWidth="1"/>
    <col min="13058" max="13058" width="12.5703125" style="570" bestFit="1" customWidth="1"/>
    <col min="13059" max="13059" width="2.7109375" style="570" customWidth="1"/>
    <col min="13060" max="13060" width="32.7109375" style="570" bestFit="1" customWidth="1"/>
    <col min="13061" max="13061" width="10.5703125" style="570" bestFit="1" customWidth="1"/>
    <col min="13062" max="13062" width="2.85546875" style="570" customWidth="1"/>
    <col min="13063" max="13063" width="32.28515625" style="570" bestFit="1" customWidth="1"/>
    <col min="13064" max="13064" width="12" style="570" customWidth="1"/>
    <col min="13065" max="13065" width="2.5703125" style="570" customWidth="1"/>
    <col min="13066" max="13066" width="16.5703125" style="570" customWidth="1"/>
    <col min="13067" max="13067" width="10.7109375" style="570" customWidth="1"/>
    <col min="13068" max="13068" width="15.42578125" style="570" customWidth="1"/>
    <col min="13069" max="13069" width="10.7109375" style="570" customWidth="1"/>
    <col min="13070" max="13070" width="15.7109375" style="570" customWidth="1"/>
    <col min="13071" max="13071" width="9.140625" style="570"/>
    <col min="13072" max="13072" width="17" style="570" customWidth="1"/>
    <col min="13073" max="13073" width="9.140625" style="570"/>
    <col min="13074" max="13074" width="17.28515625" style="570" customWidth="1"/>
    <col min="13075" max="13075" width="9.140625" style="570"/>
    <col min="13076" max="13076" width="12.85546875" style="570" customWidth="1"/>
    <col min="13077" max="13077" width="9.140625" style="570"/>
    <col min="13078" max="13078" width="12.85546875" style="570" customWidth="1"/>
    <col min="13079" max="13079" width="9.140625" style="570"/>
    <col min="13080" max="13080" width="12.85546875" style="570" customWidth="1"/>
    <col min="13081" max="13081" width="10" style="570" customWidth="1"/>
    <col min="13082" max="13082" width="12.85546875" style="570" customWidth="1"/>
    <col min="13083" max="13083" width="9.140625" style="570"/>
    <col min="13084" max="13084" width="12.85546875" style="570" customWidth="1"/>
    <col min="13085" max="13085" width="9.140625" style="570"/>
    <col min="13086" max="13086" width="12.85546875" style="570" customWidth="1"/>
    <col min="13087" max="13087" width="9.140625" style="570"/>
    <col min="13088" max="13088" width="13.85546875" style="570" customWidth="1"/>
    <col min="13089" max="13089" width="9.140625" style="570"/>
    <col min="13090" max="13090" width="12.85546875" style="570" customWidth="1"/>
    <col min="13091" max="13091" width="9.140625" style="570"/>
    <col min="13092" max="13092" width="12.85546875" style="570" customWidth="1"/>
    <col min="13093" max="13093" width="9.140625" style="570"/>
    <col min="13094" max="13094" width="12.85546875" style="570" customWidth="1"/>
    <col min="13095" max="13095" width="9.140625" style="570"/>
    <col min="13096" max="13096" width="12.85546875" style="570" customWidth="1"/>
    <col min="13097" max="13097" width="9.140625" style="570"/>
    <col min="13098" max="13098" width="12.85546875" style="570" customWidth="1"/>
    <col min="13099" max="13099" width="9.140625" style="570"/>
    <col min="13100" max="13100" width="12.85546875" style="570" customWidth="1"/>
    <col min="13101" max="13101" width="9.140625" style="570"/>
    <col min="13102" max="13102" width="12.85546875" style="570" customWidth="1"/>
    <col min="13103" max="13103" width="0.140625" style="570" customWidth="1"/>
    <col min="13104" max="13312" width="9.140625" style="570"/>
    <col min="13313" max="13313" width="30.85546875" style="570" bestFit="1" customWidth="1"/>
    <col min="13314" max="13314" width="12.5703125" style="570" bestFit="1" customWidth="1"/>
    <col min="13315" max="13315" width="2.7109375" style="570" customWidth="1"/>
    <col min="13316" max="13316" width="32.7109375" style="570" bestFit="1" customWidth="1"/>
    <col min="13317" max="13317" width="10.5703125" style="570" bestFit="1" customWidth="1"/>
    <col min="13318" max="13318" width="2.85546875" style="570" customWidth="1"/>
    <col min="13319" max="13319" width="32.28515625" style="570" bestFit="1" customWidth="1"/>
    <col min="13320" max="13320" width="12" style="570" customWidth="1"/>
    <col min="13321" max="13321" width="2.5703125" style="570" customWidth="1"/>
    <col min="13322" max="13322" width="16.5703125" style="570" customWidth="1"/>
    <col min="13323" max="13323" width="10.7109375" style="570" customWidth="1"/>
    <col min="13324" max="13324" width="15.42578125" style="570" customWidth="1"/>
    <col min="13325" max="13325" width="10.7109375" style="570" customWidth="1"/>
    <col min="13326" max="13326" width="15.7109375" style="570" customWidth="1"/>
    <col min="13327" max="13327" width="9.140625" style="570"/>
    <col min="13328" max="13328" width="17" style="570" customWidth="1"/>
    <col min="13329" max="13329" width="9.140625" style="570"/>
    <col min="13330" max="13330" width="17.28515625" style="570" customWidth="1"/>
    <col min="13331" max="13331" width="9.140625" style="570"/>
    <col min="13332" max="13332" width="12.85546875" style="570" customWidth="1"/>
    <col min="13333" max="13333" width="9.140625" style="570"/>
    <col min="13334" max="13334" width="12.85546875" style="570" customWidth="1"/>
    <col min="13335" max="13335" width="9.140625" style="570"/>
    <col min="13336" max="13336" width="12.85546875" style="570" customWidth="1"/>
    <col min="13337" max="13337" width="10" style="570" customWidth="1"/>
    <col min="13338" max="13338" width="12.85546875" style="570" customWidth="1"/>
    <col min="13339" max="13339" width="9.140625" style="570"/>
    <col min="13340" max="13340" width="12.85546875" style="570" customWidth="1"/>
    <col min="13341" max="13341" width="9.140625" style="570"/>
    <col min="13342" max="13342" width="12.85546875" style="570" customWidth="1"/>
    <col min="13343" max="13343" width="9.140625" style="570"/>
    <col min="13344" max="13344" width="13.85546875" style="570" customWidth="1"/>
    <col min="13345" max="13345" width="9.140625" style="570"/>
    <col min="13346" max="13346" width="12.85546875" style="570" customWidth="1"/>
    <col min="13347" max="13347" width="9.140625" style="570"/>
    <col min="13348" max="13348" width="12.85546875" style="570" customWidth="1"/>
    <col min="13349" max="13349" width="9.140625" style="570"/>
    <col min="13350" max="13350" width="12.85546875" style="570" customWidth="1"/>
    <col min="13351" max="13351" width="9.140625" style="570"/>
    <col min="13352" max="13352" width="12.85546875" style="570" customWidth="1"/>
    <col min="13353" max="13353" width="9.140625" style="570"/>
    <col min="13354" max="13354" width="12.85546875" style="570" customWidth="1"/>
    <col min="13355" max="13355" width="9.140625" style="570"/>
    <col min="13356" max="13356" width="12.85546875" style="570" customWidth="1"/>
    <col min="13357" max="13357" width="9.140625" style="570"/>
    <col min="13358" max="13358" width="12.85546875" style="570" customWidth="1"/>
    <col min="13359" max="13359" width="0.140625" style="570" customWidth="1"/>
    <col min="13360" max="13568" width="9.140625" style="570"/>
    <col min="13569" max="13569" width="30.85546875" style="570" bestFit="1" customWidth="1"/>
    <col min="13570" max="13570" width="12.5703125" style="570" bestFit="1" customWidth="1"/>
    <col min="13571" max="13571" width="2.7109375" style="570" customWidth="1"/>
    <col min="13572" max="13572" width="32.7109375" style="570" bestFit="1" customWidth="1"/>
    <col min="13573" max="13573" width="10.5703125" style="570" bestFit="1" customWidth="1"/>
    <col min="13574" max="13574" width="2.85546875" style="570" customWidth="1"/>
    <col min="13575" max="13575" width="32.28515625" style="570" bestFit="1" customWidth="1"/>
    <col min="13576" max="13576" width="12" style="570" customWidth="1"/>
    <col min="13577" max="13577" width="2.5703125" style="570" customWidth="1"/>
    <col min="13578" max="13578" width="16.5703125" style="570" customWidth="1"/>
    <col min="13579" max="13579" width="10.7109375" style="570" customWidth="1"/>
    <col min="13580" max="13580" width="15.42578125" style="570" customWidth="1"/>
    <col min="13581" max="13581" width="10.7109375" style="570" customWidth="1"/>
    <col min="13582" max="13582" width="15.7109375" style="570" customWidth="1"/>
    <col min="13583" max="13583" width="9.140625" style="570"/>
    <col min="13584" max="13584" width="17" style="570" customWidth="1"/>
    <col min="13585" max="13585" width="9.140625" style="570"/>
    <col min="13586" max="13586" width="17.28515625" style="570" customWidth="1"/>
    <col min="13587" max="13587" width="9.140625" style="570"/>
    <col min="13588" max="13588" width="12.85546875" style="570" customWidth="1"/>
    <col min="13589" max="13589" width="9.140625" style="570"/>
    <col min="13590" max="13590" width="12.85546875" style="570" customWidth="1"/>
    <col min="13591" max="13591" width="9.140625" style="570"/>
    <col min="13592" max="13592" width="12.85546875" style="570" customWidth="1"/>
    <col min="13593" max="13593" width="10" style="570" customWidth="1"/>
    <col min="13594" max="13594" width="12.85546875" style="570" customWidth="1"/>
    <col min="13595" max="13595" width="9.140625" style="570"/>
    <col min="13596" max="13596" width="12.85546875" style="570" customWidth="1"/>
    <col min="13597" max="13597" width="9.140625" style="570"/>
    <col min="13598" max="13598" width="12.85546875" style="570" customWidth="1"/>
    <col min="13599" max="13599" width="9.140625" style="570"/>
    <col min="13600" max="13600" width="13.85546875" style="570" customWidth="1"/>
    <col min="13601" max="13601" width="9.140625" style="570"/>
    <col min="13602" max="13602" width="12.85546875" style="570" customWidth="1"/>
    <col min="13603" max="13603" width="9.140625" style="570"/>
    <col min="13604" max="13604" width="12.85546875" style="570" customWidth="1"/>
    <col min="13605" max="13605" width="9.140625" style="570"/>
    <col min="13606" max="13606" width="12.85546875" style="570" customWidth="1"/>
    <col min="13607" max="13607" width="9.140625" style="570"/>
    <col min="13608" max="13608" width="12.85546875" style="570" customWidth="1"/>
    <col min="13609" max="13609" width="9.140625" style="570"/>
    <col min="13610" max="13610" width="12.85546875" style="570" customWidth="1"/>
    <col min="13611" max="13611" width="9.140625" style="570"/>
    <col min="13612" max="13612" width="12.85546875" style="570" customWidth="1"/>
    <col min="13613" max="13613" width="9.140625" style="570"/>
    <col min="13614" max="13614" width="12.85546875" style="570" customWidth="1"/>
    <col min="13615" max="13615" width="0.140625" style="570" customWidth="1"/>
    <col min="13616" max="13824" width="9.140625" style="570"/>
    <col min="13825" max="13825" width="30.85546875" style="570" bestFit="1" customWidth="1"/>
    <col min="13826" max="13826" width="12.5703125" style="570" bestFit="1" customWidth="1"/>
    <col min="13827" max="13827" width="2.7109375" style="570" customWidth="1"/>
    <col min="13828" max="13828" width="32.7109375" style="570" bestFit="1" customWidth="1"/>
    <col min="13829" max="13829" width="10.5703125" style="570" bestFit="1" customWidth="1"/>
    <col min="13830" max="13830" width="2.85546875" style="570" customWidth="1"/>
    <col min="13831" max="13831" width="32.28515625" style="570" bestFit="1" customWidth="1"/>
    <col min="13832" max="13832" width="12" style="570" customWidth="1"/>
    <col min="13833" max="13833" width="2.5703125" style="570" customWidth="1"/>
    <col min="13834" max="13834" width="16.5703125" style="570" customWidth="1"/>
    <col min="13835" max="13835" width="10.7109375" style="570" customWidth="1"/>
    <col min="13836" max="13836" width="15.42578125" style="570" customWidth="1"/>
    <col min="13837" max="13837" width="10.7109375" style="570" customWidth="1"/>
    <col min="13838" max="13838" width="15.7109375" style="570" customWidth="1"/>
    <col min="13839" max="13839" width="9.140625" style="570"/>
    <col min="13840" max="13840" width="17" style="570" customWidth="1"/>
    <col min="13841" max="13841" width="9.140625" style="570"/>
    <col min="13842" max="13842" width="17.28515625" style="570" customWidth="1"/>
    <col min="13843" max="13843" width="9.140625" style="570"/>
    <col min="13844" max="13844" width="12.85546875" style="570" customWidth="1"/>
    <col min="13845" max="13845" width="9.140625" style="570"/>
    <col min="13846" max="13846" width="12.85546875" style="570" customWidth="1"/>
    <col min="13847" max="13847" width="9.140625" style="570"/>
    <col min="13848" max="13848" width="12.85546875" style="570" customWidth="1"/>
    <col min="13849" max="13849" width="10" style="570" customWidth="1"/>
    <col min="13850" max="13850" width="12.85546875" style="570" customWidth="1"/>
    <col min="13851" max="13851" width="9.140625" style="570"/>
    <col min="13852" max="13852" width="12.85546875" style="570" customWidth="1"/>
    <col min="13853" max="13853" width="9.140625" style="570"/>
    <col min="13854" max="13854" width="12.85546875" style="570" customWidth="1"/>
    <col min="13855" max="13855" width="9.140625" style="570"/>
    <col min="13856" max="13856" width="13.85546875" style="570" customWidth="1"/>
    <col min="13857" max="13857" width="9.140625" style="570"/>
    <col min="13858" max="13858" width="12.85546875" style="570" customWidth="1"/>
    <col min="13859" max="13859" width="9.140625" style="570"/>
    <col min="13860" max="13860" width="12.85546875" style="570" customWidth="1"/>
    <col min="13861" max="13861" width="9.140625" style="570"/>
    <col min="13862" max="13862" width="12.85546875" style="570" customWidth="1"/>
    <col min="13863" max="13863" width="9.140625" style="570"/>
    <col min="13864" max="13864" width="12.85546875" style="570" customWidth="1"/>
    <col min="13865" max="13865" width="9.140625" style="570"/>
    <col min="13866" max="13866" width="12.85546875" style="570" customWidth="1"/>
    <col min="13867" max="13867" width="9.140625" style="570"/>
    <col min="13868" max="13868" width="12.85546875" style="570" customWidth="1"/>
    <col min="13869" max="13869" width="9.140625" style="570"/>
    <col min="13870" max="13870" width="12.85546875" style="570" customWidth="1"/>
    <col min="13871" max="13871" width="0.140625" style="570" customWidth="1"/>
    <col min="13872" max="14080" width="9.140625" style="570"/>
    <col min="14081" max="14081" width="30.85546875" style="570" bestFit="1" customWidth="1"/>
    <col min="14082" max="14082" width="12.5703125" style="570" bestFit="1" customWidth="1"/>
    <col min="14083" max="14083" width="2.7109375" style="570" customWidth="1"/>
    <col min="14084" max="14084" width="32.7109375" style="570" bestFit="1" customWidth="1"/>
    <col min="14085" max="14085" width="10.5703125" style="570" bestFit="1" customWidth="1"/>
    <col min="14086" max="14086" width="2.85546875" style="570" customWidth="1"/>
    <col min="14087" max="14087" width="32.28515625" style="570" bestFit="1" customWidth="1"/>
    <col min="14088" max="14088" width="12" style="570" customWidth="1"/>
    <col min="14089" max="14089" width="2.5703125" style="570" customWidth="1"/>
    <col min="14090" max="14090" width="16.5703125" style="570" customWidth="1"/>
    <col min="14091" max="14091" width="10.7109375" style="570" customWidth="1"/>
    <col min="14092" max="14092" width="15.42578125" style="570" customWidth="1"/>
    <col min="14093" max="14093" width="10.7109375" style="570" customWidth="1"/>
    <col min="14094" max="14094" width="15.7109375" style="570" customWidth="1"/>
    <col min="14095" max="14095" width="9.140625" style="570"/>
    <col min="14096" max="14096" width="17" style="570" customWidth="1"/>
    <col min="14097" max="14097" width="9.140625" style="570"/>
    <col min="14098" max="14098" width="17.28515625" style="570" customWidth="1"/>
    <col min="14099" max="14099" width="9.140625" style="570"/>
    <col min="14100" max="14100" width="12.85546875" style="570" customWidth="1"/>
    <col min="14101" max="14101" width="9.140625" style="570"/>
    <col min="14102" max="14102" width="12.85546875" style="570" customWidth="1"/>
    <col min="14103" max="14103" width="9.140625" style="570"/>
    <col min="14104" max="14104" width="12.85546875" style="570" customWidth="1"/>
    <col min="14105" max="14105" width="10" style="570" customWidth="1"/>
    <col min="14106" max="14106" width="12.85546875" style="570" customWidth="1"/>
    <col min="14107" max="14107" width="9.140625" style="570"/>
    <col min="14108" max="14108" width="12.85546875" style="570" customWidth="1"/>
    <col min="14109" max="14109" width="9.140625" style="570"/>
    <col min="14110" max="14110" width="12.85546875" style="570" customWidth="1"/>
    <col min="14111" max="14111" width="9.140625" style="570"/>
    <col min="14112" max="14112" width="13.85546875" style="570" customWidth="1"/>
    <col min="14113" max="14113" width="9.140625" style="570"/>
    <col min="14114" max="14114" width="12.85546875" style="570" customWidth="1"/>
    <col min="14115" max="14115" width="9.140625" style="570"/>
    <col min="14116" max="14116" width="12.85546875" style="570" customWidth="1"/>
    <col min="14117" max="14117" width="9.140625" style="570"/>
    <col min="14118" max="14118" width="12.85546875" style="570" customWidth="1"/>
    <col min="14119" max="14119" width="9.140625" style="570"/>
    <col min="14120" max="14120" width="12.85546875" style="570" customWidth="1"/>
    <col min="14121" max="14121" width="9.140625" style="570"/>
    <col min="14122" max="14122" width="12.85546875" style="570" customWidth="1"/>
    <col min="14123" max="14123" width="9.140625" style="570"/>
    <col min="14124" max="14124" width="12.85546875" style="570" customWidth="1"/>
    <col min="14125" max="14125" width="9.140625" style="570"/>
    <col min="14126" max="14126" width="12.85546875" style="570" customWidth="1"/>
    <col min="14127" max="14127" width="0.140625" style="570" customWidth="1"/>
    <col min="14128" max="14336" width="9.140625" style="570"/>
    <col min="14337" max="14337" width="30.85546875" style="570" bestFit="1" customWidth="1"/>
    <col min="14338" max="14338" width="12.5703125" style="570" bestFit="1" customWidth="1"/>
    <col min="14339" max="14339" width="2.7109375" style="570" customWidth="1"/>
    <col min="14340" max="14340" width="32.7109375" style="570" bestFit="1" customWidth="1"/>
    <col min="14341" max="14341" width="10.5703125" style="570" bestFit="1" customWidth="1"/>
    <col min="14342" max="14342" width="2.85546875" style="570" customWidth="1"/>
    <col min="14343" max="14343" width="32.28515625" style="570" bestFit="1" customWidth="1"/>
    <col min="14344" max="14344" width="12" style="570" customWidth="1"/>
    <col min="14345" max="14345" width="2.5703125" style="570" customWidth="1"/>
    <col min="14346" max="14346" width="16.5703125" style="570" customWidth="1"/>
    <col min="14347" max="14347" width="10.7109375" style="570" customWidth="1"/>
    <col min="14348" max="14348" width="15.42578125" style="570" customWidth="1"/>
    <col min="14349" max="14349" width="10.7109375" style="570" customWidth="1"/>
    <col min="14350" max="14350" width="15.7109375" style="570" customWidth="1"/>
    <col min="14351" max="14351" width="9.140625" style="570"/>
    <col min="14352" max="14352" width="17" style="570" customWidth="1"/>
    <col min="14353" max="14353" width="9.140625" style="570"/>
    <col min="14354" max="14354" width="17.28515625" style="570" customWidth="1"/>
    <col min="14355" max="14355" width="9.140625" style="570"/>
    <col min="14356" max="14356" width="12.85546875" style="570" customWidth="1"/>
    <col min="14357" max="14357" width="9.140625" style="570"/>
    <col min="14358" max="14358" width="12.85546875" style="570" customWidth="1"/>
    <col min="14359" max="14359" width="9.140625" style="570"/>
    <col min="14360" max="14360" width="12.85546875" style="570" customWidth="1"/>
    <col min="14361" max="14361" width="10" style="570" customWidth="1"/>
    <col min="14362" max="14362" width="12.85546875" style="570" customWidth="1"/>
    <col min="14363" max="14363" width="9.140625" style="570"/>
    <col min="14364" max="14364" width="12.85546875" style="570" customWidth="1"/>
    <col min="14365" max="14365" width="9.140625" style="570"/>
    <col min="14366" max="14366" width="12.85546875" style="570" customWidth="1"/>
    <col min="14367" max="14367" width="9.140625" style="570"/>
    <col min="14368" max="14368" width="13.85546875" style="570" customWidth="1"/>
    <col min="14369" max="14369" width="9.140625" style="570"/>
    <col min="14370" max="14370" width="12.85546875" style="570" customWidth="1"/>
    <col min="14371" max="14371" width="9.140625" style="570"/>
    <col min="14372" max="14372" width="12.85546875" style="570" customWidth="1"/>
    <col min="14373" max="14373" width="9.140625" style="570"/>
    <col min="14374" max="14374" width="12.85546875" style="570" customWidth="1"/>
    <col min="14375" max="14375" width="9.140625" style="570"/>
    <col min="14376" max="14376" width="12.85546875" style="570" customWidth="1"/>
    <col min="14377" max="14377" width="9.140625" style="570"/>
    <col min="14378" max="14378" width="12.85546875" style="570" customWidth="1"/>
    <col min="14379" max="14379" width="9.140625" style="570"/>
    <col min="14380" max="14380" width="12.85546875" style="570" customWidth="1"/>
    <col min="14381" max="14381" width="9.140625" style="570"/>
    <col min="14382" max="14382" width="12.85546875" style="570" customWidth="1"/>
    <col min="14383" max="14383" width="0.140625" style="570" customWidth="1"/>
    <col min="14384" max="14592" width="9.140625" style="570"/>
    <col min="14593" max="14593" width="30.85546875" style="570" bestFit="1" customWidth="1"/>
    <col min="14594" max="14594" width="12.5703125" style="570" bestFit="1" customWidth="1"/>
    <col min="14595" max="14595" width="2.7109375" style="570" customWidth="1"/>
    <col min="14596" max="14596" width="32.7109375" style="570" bestFit="1" customWidth="1"/>
    <col min="14597" max="14597" width="10.5703125" style="570" bestFit="1" customWidth="1"/>
    <col min="14598" max="14598" width="2.85546875" style="570" customWidth="1"/>
    <col min="14599" max="14599" width="32.28515625" style="570" bestFit="1" customWidth="1"/>
    <col min="14600" max="14600" width="12" style="570" customWidth="1"/>
    <col min="14601" max="14601" width="2.5703125" style="570" customWidth="1"/>
    <col min="14602" max="14602" width="16.5703125" style="570" customWidth="1"/>
    <col min="14603" max="14603" width="10.7109375" style="570" customWidth="1"/>
    <col min="14604" max="14604" width="15.42578125" style="570" customWidth="1"/>
    <col min="14605" max="14605" width="10.7109375" style="570" customWidth="1"/>
    <col min="14606" max="14606" width="15.7109375" style="570" customWidth="1"/>
    <col min="14607" max="14607" width="9.140625" style="570"/>
    <col min="14608" max="14608" width="17" style="570" customWidth="1"/>
    <col min="14609" max="14609" width="9.140625" style="570"/>
    <col min="14610" max="14610" width="17.28515625" style="570" customWidth="1"/>
    <col min="14611" max="14611" width="9.140625" style="570"/>
    <col min="14612" max="14612" width="12.85546875" style="570" customWidth="1"/>
    <col min="14613" max="14613" width="9.140625" style="570"/>
    <col min="14614" max="14614" width="12.85546875" style="570" customWidth="1"/>
    <col min="14615" max="14615" width="9.140625" style="570"/>
    <col min="14616" max="14616" width="12.85546875" style="570" customWidth="1"/>
    <col min="14617" max="14617" width="10" style="570" customWidth="1"/>
    <col min="14618" max="14618" width="12.85546875" style="570" customWidth="1"/>
    <col min="14619" max="14619" width="9.140625" style="570"/>
    <col min="14620" max="14620" width="12.85546875" style="570" customWidth="1"/>
    <col min="14621" max="14621" width="9.140625" style="570"/>
    <col min="14622" max="14622" width="12.85546875" style="570" customWidth="1"/>
    <col min="14623" max="14623" width="9.140625" style="570"/>
    <col min="14624" max="14624" width="13.85546875" style="570" customWidth="1"/>
    <col min="14625" max="14625" width="9.140625" style="570"/>
    <col min="14626" max="14626" width="12.85546875" style="570" customWidth="1"/>
    <col min="14627" max="14627" width="9.140625" style="570"/>
    <col min="14628" max="14628" width="12.85546875" style="570" customWidth="1"/>
    <col min="14629" max="14629" width="9.140625" style="570"/>
    <col min="14630" max="14630" width="12.85546875" style="570" customWidth="1"/>
    <col min="14631" max="14631" width="9.140625" style="570"/>
    <col min="14632" max="14632" width="12.85546875" style="570" customWidth="1"/>
    <col min="14633" max="14633" width="9.140625" style="570"/>
    <col min="14634" max="14634" width="12.85546875" style="570" customWidth="1"/>
    <col min="14635" max="14635" width="9.140625" style="570"/>
    <col min="14636" max="14636" width="12.85546875" style="570" customWidth="1"/>
    <col min="14637" max="14637" width="9.140625" style="570"/>
    <col min="14638" max="14638" width="12.85546875" style="570" customWidth="1"/>
    <col min="14639" max="14639" width="0.140625" style="570" customWidth="1"/>
    <col min="14640" max="14848" width="9.140625" style="570"/>
    <col min="14849" max="14849" width="30.85546875" style="570" bestFit="1" customWidth="1"/>
    <col min="14850" max="14850" width="12.5703125" style="570" bestFit="1" customWidth="1"/>
    <col min="14851" max="14851" width="2.7109375" style="570" customWidth="1"/>
    <col min="14852" max="14852" width="32.7109375" style="570" bestFit="1" customWidth="1"/>
    <col min="14853" max="14853" width="10.5703125" style="570" bestFit="1" customWidth="1"/>
    <col min="14854" max="14854" width="2.85546875" style="570" customWidth="1"/>
    <col min="14855" max="14855" width="32.28515625" style="570" bestFit="1" customWidth="1"/>
    <col min="14856" max="14856" width="12" style="570" customWidth="1"/>
    <col min="14857" max="14857" width="2.5703125" style="570" customWidth="1"/>
    <col min="14858" max="14858" width="16.5703125" style="570" customWidth="1"/>
    <col min="14859" max="14859" width="10.7109375" style="570" customWidth="1"/>
    <col min="14860" max="14860" width="15.42578125" style="570" customWidth="1"/>
    <col min="14861" max="14861" width="10.7109375" style="570" customWidth="1"/>
    <col min="14862" max="14862" width="15.7109375" style="570" customWidth="1"/>
    <col min="14863" max="14863" width="9.140625" style="570"/>
    <col min="14864" max="14864" width="17" style="570" customWidth="1"/>
    <col min="14865" max="14865" width="9.140625" style="570"/>
    <col min="14866" max="14866" width="17.28515625" style="570" customWidth="1"/>
    <col min="14867" max="14867" width="9.140625" style="570"/>
    <col min="14868" max="14868" width="12.85546875" style="570" customWidth="1"/>
    <col min="14869" max="14869" width="9.140625" style="570"/>
    <col min="14870" max="14870" width="12.85546875" style="570" customWidth="1"/>
    <col min="14871" max="14871" width="9.140625" style="570"/>
    <col min="14872" max="14872" width="12.85546875" style="570" customWidth="1"/>
    <col min="14873" max="14873" width="10" style="570" customWidth="1"/>
    <col min="14874" max="14874" width="12.85546875" style="570" customWidth="1"/>
    <col min="14875" max="14875" width="9.140625" style="570"/>
    <col min="14876" max="14876" width="12.85546875" style="570" customWidth="1"/>
    <col min="14877" max="14877" width="9.140625" style="570"/>
    <col min="14878" max="14878" width="12.85546875" style="570" customWidth="1"/>
    <col min="14879" max="14879" width="9.140625" style="570"/>
    <col min="14880" max="14880" width="13.85546875" style="570" customWidth="1"/>
    <col min="14881" max="14881" width="9.140625" style="570"/>
    <col min="14882" max="14882" width="12.85546875" style="570" customWidth="1"/>
    <col min="14883" max="14883" width="9.140625" style="570"/>
    <col min="14884" max="14884" width="12.85546875" style="570" customWidth="1"/>
    <col min="14885" max="14885" width="9.140625" style="570"/>
    <col min="14886" max="14886" width="12.85546875" style="570" customWidth="1"/>
    <col min="14887" max="14887" width="9.140625" style="570"/>
    <col min="14888" max="14888" width="12.85546875" style="570" customWidth="1"/>
    <col min="14889" max="14889" width="9.140625" style="570"/>
    <col min="14890" max="14890" width="12.85546875" style="570" customWidth="1"/>
    <col min="14891" max="14891" width="9.140625" style="570"/>
    <col min="14892" max="14892" width="12.85546875" style="570" customWidth="1"/>
    <col min="14893" max="14893" width="9.140625" style="570"/>
    <col min="14894" max="14894" width="12.85546875" style="570" customWidth="1"/>
    <col min="14895" max="14895" width="0.140625" style="570" customWidth="1"/>
    <col min="14896" max="15104" width="9.140625" style="570"/>
    <col min="15105" max="15105" width="30.85546875" style="570" bestFit="1" customWidth="1"/>
    <col min="15106" max="15106" width="12.5703125" style="570" bestFit="1" customWidth="1"/>
    <col min="15107" max="15107" width="2.7109375" style="570" customWidth="1"/>
    <col min="15108" max="15108" width="32.7109375" style="570" bestFit="1" customWidth="1"/>
    <col min="15109" max="15109" width="10.5703125" style="570" bestFit="1" customWidth="1"/>
    <col min="15110" max="15110" width="2.85546875" style="570" customWidth="1"/>
    <col min="15111" max="15111" width="32.28515625" style="570" bestFit="1" customWidth="1"/>
    <col min="15112" max="15112" width="12" style="570" customWidth="1"/>
    <col min="15113" max="15113" width="2.5703125" style="570" customWidth="1"/>
    <col min="15114" max="15114" width="16.5703125" style="570" customWidth="1"/>
    <col min="15115" max="15115" width="10.7109375" style="570" customWidth="1"/>
    <col min="15116" max="15116" width="15.42578125" style="570" customWidth="1"/>
    <col min="15117" max="15117" width="10.7109375" style="570" customWidth="1"/>
    <col min="15118" max="15118" width="15.7109375" style="570" customWidth="1"/>
    <col min="15119" max="15119" width="9.140625" style="570"/>
    <col min="15120" max="15120" width="17" style="570" customWidth="1"/>
    <col min="15121" max="15121" width="9.140625" style="570"/>
    <col min="15122" max="15122" width="17.28515625" style="570" customWidth="1"/>
    <col min="15123" max="15123" width="9.140625" style="570"/>
    <col min="15124" max="15124" width="12.85546875" style="570" customWidth="1"/>
    <col min="15125" max="15125" width="9.140625" style="570"/>
    <col min="15126" max="15126" width="12.85546875" style="570" customWidth="1"/>
    <col min="15127" max="15127" width="9.140625" style="570"/>
    <col min="15128" max="15128" width="12.85546875" style="570" customWidth="1"/>
    <col min="15129" max="15129" width="10" style="570" customWidth="1"/>
    <col min="15130" max="15130" width="12.85546875" style="570" customWidth="1"/>
    <col min="15131" max="15131" width="9.140625" style="570"/>
    <col min="15132" max="15132" width="12.85546875" style="570" customWidth="1"/>
    <col min="15133" max="15133" width="9.140625" style="570"/>
    <col min="15134" max="15134" width="12.85546875" style="570" customWidth="1"/>
    <col min="15135" max="15135" width="9.140625" style="570"/>
    <col min="15136" max="15136" width="13.85546875" style="570" customWidth="1"/>
    <col min="15137" max="15137" width="9.140625" style="570"/>
    <col min="15138" max="15138" width="12.85546875" style="570" customWidth="1"/>
    <col min="15139" max="15139" width="9.140625" style="570"/>
    <col min="15140" max="15140" width="12.85546875" style="570" customWidth="1"/>
    <col min="15141" max="15141" width="9.140625" style="570"/>
    <col min="15142" max="15142" width="12.85546875" style="570" customWidth="1"/>
    <col min="15143" max="15143" width="9.140625" style="570"/>
    <col min="15144" max="15144" width="12.85546875" style="570" customWidth="1"/>
    <col min="15145" max="15145" width="9.140625" style="570"/>
    <col min="15146" max="15146" width="12.85546875" style="570" customWidth="1"/>
    <col min="15147" max="15147" width="9.140625" style="570"/>
    <col min="15148" max="15148" width="12.85546875" style="570" customWidth="1"/>
    <col min="15149" max="15149" width="9.140625" style="570"/>
    <col min="15150" max="15150" width="12.85546875" style="570" customWidth="1"/>
    <col min="15151" max="15151" width="0.140625" style="570" customWidth="1"/>
    <col min="15152" max="15360" width="9.140625" style="570"/>
    <col min="15361" max="15361" width="30.85546875" style="570" bestFit="1" customWidth="1"/>
    <col min="15362" max="15362" width="12.5703125" style="570" bestFit="1" customWidth="1"/>
    <col min="15363" max="15363" width="2.7109375" style="570" customWidth="1"/>
    <col min="15364" max="15364" width="32.7109375" style="570" bestFit="1" customWidth="1"/>
    <col min="15365" max="15365" width="10.5703125" style="570" bestFit="1" customWidth="1"/>
    <col min="15366" max="15366" width="2.85546875" style="570" customWidth="1"/>
    <col min="15367" max="15367" width="32.28515625" style="570" bestFit="1" customWidth="1"/>
    <col min="15368" max="15368" width="12" style="570" customWidth="1"/>
    <col min="15369" max="15369" width="2.5703125" style="570" customWidth="1"/>
    <col min="15370" max="15370" width="16.5703125" style="570" customWidth="1"/>
    <col min="15371" max="15371" width="10.7109375" style="570" customWidth="1"/>
    <col min="15372" max="15372" width="15.42578125" style="570" customWidth="1"/>
    <col min="15373" max="15373" width="10.7109375" style="570" customWidth="1"/>
    <col min="15374" max="15374" width="15.7109375" style="570" customWidth="1"/>
    <col min="15375" max="15375" width="9.140625" style="570"/>
    <col min="15376" max="15376" width="17" style="570" customWidth="1"/>
    <col min="15377" max="15377" width="9.140625" style="570"/>
    <col min="15378" max="15378" width="17.28515625" style="570" customWidth="1"/>
    <col min="15379" max="15379" width="9.140625" style="570"/>
    <col min="15380" max="15380" width="12.85546875" style="570" customWidth="1"/>
    <col min="15381" max="15381" width="9.140625" style="570"/>
    <col min="15382" max="15382" width="12.85546875" style="570" customWidth="1"/>
    <col min="15383" max="15383" width="9.140625" style="570"/>
    <col min="15384" max="15384" width="12.85546875" style="570" customWidth="1"/>
    <col min="15385" max="15385" width="10" style="570" customWidth="1"/>
    <col min="15386" max="15386" width="12.85546875" style="570" customWidth="1"/>
    <col min="15387" max="15387" width="9.140625" style="570"/>
    <col min="15388" max="15388" width="12.85546875" style="570" customWidth="1"/>
    <col min="15389" max="15389" width="9.140625" style="570"/>
    <col min="15390" max="15390" width="12.85546875" style="570" customWidth="1"/>
    <col min="15391" max="15391" width="9.140625" style="570"/>
    <col min="15392" max="15392" width="13.85546875" style="570" customWidth="1"/>
    <col min="15393" max="15393" width="9.140625" style="570"/>
    <col min="15394" max="15394" width="12.85546875" style="570" customWidth="1"/>
    <col min="15395" max="15395" width="9.140625" style="570"/>
    <col min="15396" max="15396" width="12.85546875" style="570" customWidth="1"/>
    <col min="15397" max="15397" width="9.140625" style="570"/>
    <col min="15398" max="15398" width="12.85546875" style="570" customWidth="1"/>
    <col min="15399" max="15399" width="9.140625" style="570"/>
    <col min="15400" max="15400" width="12.85546875" style="570" customWidth="1"/>
    <col min="15401" max="15401" width="9.140625" style="570"/>
    <col min="15402" max="15402" width="12.85546875" style="570" customWidth="1"/>
    <col min="15403" max="15403" width="9.140625" style="570"/>
    <col min="15404" max="15404" width="12.85546875" style="570" customWidth="1"/>
    <col min="15405" max="15405" width="9.140625" style="570"/>
    <col min="15406" max="15406" width="12.85546875" style="570" customWidth="1"/>
    <col min="15407" max="15407" width="0.140625" style="570" customWidth="1"/>
    <col min="15408" max="15616" width="9.140625" style="570"/>
    <col min="15617" max="15617" width="30.85546875" style="570" bestFit="1" customWidth="1"/>
    <col min="15618" max="15618" width="12.5703125" style="570" bestFit="1" customWidth="1"/>
    <col min="15619" max="15619" width="2.7109375" style="570" customWidth="1"/>
    <col min="15620" max="15620" width="32.7109375" style="570" bestFit="1" customWidth="1"/>
    <col min="15621" max="15621" width="10.5703125" style="570" bestFit="1" customWidth="1"/>
    <col min="15622" max="15622" width="2.85546875" style="570" customWidth="1"/>
    <col min="15623" max="15623" width="32.28515625" style="570" bestFit="1" customWidth="1"/>
    <col min="15624" max="15624" width="12" style="570" customWidth="1"/>
    <col min="15625" max="15625" width="2.5703125" style="570" customWidth="1"/>
    <col min="15626" max="15626" width="16.5703125" style="570" customWidth="1"/>
    <col min="15627" max="15627" width="10.7109375" style="570" customWidth="1"/>
    <col min="15628" max="15628" width="15.42578125" style="570" customWidth="1"/>
    <col min="15629" max="15629" width="10.7109375" style="570" customWidth="1"/>
    <col min="15630" max="15630" width="15.7109375" style="570" customWidth="1"/>
    <col min="15631" max="15631" width="9.140625" style="570"/>
    <col min="15632" max="15632" width="17" style="570" customWidth="1"/>
    <col min="15633" max="15633" width="9.140625" style="570"/>
    <col min="15634" max="15634" width="17.28515625" style="570" customWidth="1"/>
    <col min="15635" max="15635" width="9.140625" style="570"/>
    <col min="15636" max="15636" width="12.85546875" style="570" customWidth="1"/>
    <col min="15637" max="15637" width="9.140625" style="570"/>
    <col min="15638" max="15638" width="12.85546875" style="570" customWidth="1"/>
    <col min="15639" max="15639" width="9.140625" style="570"/>
    <col min="15640" max="15640" width="12.85546875" style="570" customWidth="1"/>
    <col min="15641" max="15641" width="10" style="570" customWidth="1"/>
    <col min="15642" max="15642" width="12.85546875" style="570" customWidth="1"/>
    <col min="15643" max="15643" width="9.140625" style="570"/>
    <col min="15644" max="15644" width="12.85546875" style="570" customWidth="1"/>
    <col min="15645" max="15645" width="9.140625" style="570"/>
    <col min="15646" max="15646" width="12.85546875" style="570" customWidth="1"/>
    <col min="15647" max="15647" width="9.140625" style="570"/>
    <col min="15648" max="15648" width="13.85546875" style="570" customWidth="1"/>
    <col min="15649" max="15649" width="9.140625" style="570"/>
    <col min="15650" max="15650" width="12.85546875" style="570" customWidth="1"/>
    <col min="15651" max="15651" width="9.140625" style="570"/>
    <col min="15652" max="15652" width="12.85546875" style="570" customWidth="1"/>
    <col min="15653" max="15653" width="9.140625" style="570"/>
    <col min="15654" max="15654" width="12.85546875" style="570" customWidth="1"/>
    <col min="15655" max="15655" width="9.140625" style="570"/>
    <col min="15656" max="15656" width="12.85546875" style="570" customWidth="1"/>
    <col min="15657" max="15657" width="9.140625" style="570"/>
    <col min="15658" max="15658" width="12.85546875" style="570" customWidth="1"/>
    <col min="15659" max="15659" width="9.140625" style="570"/>
    <col min="15660" max="15660" width="12.85546875" style="570" customWidth="1"/>
    <col min="15661" max="15661" width="9.140625" style="570"/>
    <col min="15662" max="15662" width="12.85546875" style="570" customWidth="1"/>
    <col min="15663" max="15663" width="0.140625" style="570" customWidth="1"/>
    <col min="15664" max="15872" width="9.140625" style="570"/>
    <col min="15873" max="15873" width="30.85546875" style="570" bestFit="1" customWidth="1"/>
    <col min="15874" max="15874" width="12.5703125" style="570" bestFit="1" customWidth="1"/>
    <col min="15875" max="15875" width="2.7109375" style="570" customWidth="1"/>
    <col min="15876" max="15876" width="32.7109375" style="570" bestFit="1" customWidth="1"/>
    <col min="15877" max="15877" width="10.5703125" style="570" bestFit="1" customWidth="1"/>
    <col min="15878" max="15878" width="2.85546875" style="570" customWidth="1"/>
    <col min="15879" max="15879" width="32.28515625" style="570" bestFit="1" customWidth="1"/>
    <col min="15880" max="15880" width="12" style="570" customWidth="1"/>
    <col min="15881" max="15881" width="2.5703125" style="570" customWidth="1"/>
    <col min="15882" max="15882" width="16.5703125" style="570" customWidth="1"/>
    <col min="15883" max="15883" width="10.7109375" style="570" customWidth="1"/>
    <col min="15884" max="15884" width="15.42578125" style="570" customWidth="1"/>
    <col min="15885" max="15885" width="10.7109375" style="570" customWidth="1"/>
    <col min="15886" max="15886" width="15.7109375" style="570" customWidth="1"/>
    <col min="15887" max="15887" width="9.140625" style="570"/>
    <col min="15888" max="15888" width="17" style="570" customWidth="1"/>
    <col min="15889" max="15889" width="9.140625" style="570"/>
    <col min="15890" max="15890" width="17.28515625" style="570" customWidth="1"/>
    <col min="15891" max="15891" width="9.140625" style="570"/>
    <col min="15892" max="15892" width="12.85546875" style="570" customWidth="1"/>
    <col min="15893" max="15893" width="9.140625" style="570"/>
    <col min="15894" max="15894" width="12.85546875" style="570" customWidth="1"/>
    <col min="15895" max="15895" width="9.140625" style="570"/>
    <col min="15896" max="15896" width="12.85546875" style="570" customWidth="1"/>
    <col min="15897" max="15897" width="10" style="570" customWidth="1"/>
    <col min="15898" max="15898" width="12.85546875" style="570" customWidth="1"/>
    <col min="15899" max="15899" width="9.140625" style="570"/>
    <col min="15900" max="15900" width="12.85546875" style="570" customWidth="1"/>
    <col min="15901" max="15901" width="9.140625" style="570"/>
    <col min="15902" max="15902" width="12.85546875" style="570" customWidth="1"/>
    <col min="15903" max="15903" width="9.140625" style="570"/>
    <col min="15904" max="15904" width="13.85546875" style="570" customWidth="1"/>
    <col min="15905" max="15905" width="9.140625" style="570"/>
    <col min="15906" max="15906" width="12.85546875" style="570" customWidth="1"/>
    <col min="15907" max="15907" width="9.140625" style="570"/>
    <col min="15908" max="15908" width="12.85546875" style="570" customWidth="1"/>
    <col min="15909" max="15909" width="9.140625" style="570"/>
    <col min="15910" max="15910" width="12.85546875" style="570" customWidth="1"/>
    <col min="15911" max="15911" width="9.140625" style="570"/>
    <col min="15912" max="15912" width="12.85546875" style="570" customWidth="1"/>
    <col min="15913" max="15913" width="9.140625" style="570"/>
    <col min="15914" max="15914" width="12.85546875" style="570" customWidth="1"/>
    <col min="15915" max="15915" width="9.140625" style="570"/>
    <col min="15916" max="15916" width="12.85546875" style="570" customWidth="1"/>
    <col min="15917" max="15917" width="9.140625" style="570"/>
    <col min="15918" max="15918" width="12.85546875" style="570" customWidth="1"/>
    <col min="15919" max="15919" width="0.140625" style="570" customWidth="1"/>
    <col min="15920" max="16128" width="9.140625" style="570"/>
    <col min="16129" max="16129" width="30.85546875" style="570" bestFit="1" customWidth="1"/>
    <col min="16130" max="16130" width="12.5703125" style="570" bestFit="1" customWidth="1"/>
    <col min="16131" max="16131" width="2.7109375" style="570" customWidth="1"/>
    <col min="16132" max="16132" width="32.7109375" style="570" bestFit="1" customWidth="1"/>
    <col min="16133" max="16133" width="10.5703125" style="570" bestFit="1" customWidth="1"/>
    <col min="16134" max="16134" width="2.85546875" style="570" customWidth="1"/>
    <col min="16135" max="16135" width="32.28515625" style="570" bestFit="1" customWidth="1"/>
    <col min="16136" max="16136" width="12" style="570" customWidth="1"/>
    <col min="16137" max="16137" width="2.5703125" style="570" customWidth="1"/>
    <col min="16138" max="16138" width="16.5703125" style="570" customWidth="1"/>
    <col min="16139" max="16139" width="10.7109375" style="570" customWidth="1"/>
    <col min="16140" max="16140" width="15.42578125" style="570" customWidth="1"/>
    <col min="16141" max="16141" width="10.7109375" style="570" customWidth="1"/>
    <col min="16142" max="16142" width="15.7109375" style="570" customWidth="1"/>
    <col min="16143" max="16143" width="9.140625" style="570"/>
    <col min="16144" max="16144" width="17" style="570" customWidth="1"/>
    <col min="16145" max="16145" width="9.140625" style="570"/>
    <col min="16146" max="16146" width="17.28515625" style="570" customWidth="1"/>
    <col min="16147" max="16147" width="9.140625" style="570"/>
    <col min="16148" max="16148" width="12.85546875" style="570" customWidth="1"/>
    <col min="16149" max="16149" width="9.140625" style="570"/>
    <col min="16150" max="16150" width="12.85546875" style="570" customWidth="1"/>
    <col min="16151" max="16151" width="9.140625" style="570"/>
    <col min="16152" max="16152" width="12.85546875" style="570" customWidth="1"/>
    <col min="16153" max="16153" width="10" style="570" customWidth="1"/>
    <col min="16154" max="16154" width="12.85546875" style="570" customWidth="1"/>
    <col min="16155" max="16155" width="9.140625" style="570"/>
    <col min="16156" max="16156" width="12.85546875" style="570" customWidth="1"/>
    <col min="16157" max="16157" width="9.140625" style="570"/>
    <col min="16158" max="16158" width="12.85546875" style="570" customWidth="1"/>
    <col min="16159" max="16159" width="9.140625" style="570"/>
    <col min="16160" max="16160" width="13.85546875" style="570" customWidth="1"/>
    <col min="16161" max="16161" width="9.140625" style="570"/>
    <col min="16162" max="16162" width="12.85546875" style="570" customWidth="1"/>
    <col min="16163" max="16163" width="9.140625" style="570"/>
    <col min="16164" max="16164" width="12.85546875" style="570" customWidth="1"/>
    <col min="16165" max="16165" width="9.140625" style="570"/>
    <col min="16166" max="16166" width="12.85546875" style="570" customWidth="1"/>
    <col min="16167" max="16167" width="9.140625" style="570"/>
    <col min="16168" max="16168" width="12.85546875" style="570" customWidth="1"/>
    <col min="16169" max="16169" width="9.140625" style="570"/>
    <col min="16170" max="16170" width="12.85546875" style="570" customWidth="1"/>
    <col min="16171" max="16171" width="9.140625" style="570"/>
    <col min="16172" max="16172" width="12.85546875" style="570" customWidth="1"/>
    <col min="16173" max="16173" width="9.140625" style="570"/>
    <col min="16174" max="16174" width="12.85546875" style="570" customWidth="1"/>
    <col min="16175" max="16175" width="0.140625" style="570" customWidth="1"/>
    <col min="16176" max="16384" width="9.140625" style="570"/>
  </cols>
  <sheetData>
    <row r="2" spans="1:35" x14ac:dyDescent="0.25">
      <c r="G2" s="1520" t="s">
        <v>605</v>
      </c>
      <c r="H2" s="1520"/>
      <c r="I2" s="1520"/>
      <c r="J2" s="1520"/>
      <c r="K2" s="1520"/>
      <c r="L2" s="1520"/>
      <c r="M2" s="1520"/>
      <c r="N2" s="1520"/>
      <c r="O2" s="1520"/>
      <c r="P2" s="1520"/>
      <c r="Q2" s="1520"/>
      <c r="R2" s="1520"/>
      <c r="S2" s="1520"/>
      <c r="T2" s="1520"/>
      <c r="U2" s="1520"/>
    </row>
    <row r="3" spans="1:35" x14ac:dyDescent="0.25">
      <c r="G3" s="1520"/>
      <c r="H3" s="1520"/>
      <c r="I3" s="1520"/>
      <c r="J3" s="1520"/>
      <c r="K3" s="1520"/>
      <c r="L3" s="1520"/>
      <c r="M3" s="1520"/>
      <c r="N3" s="1520"/>
      <c r="O3" s="1520"/>
      <c r="P3" s="1520"/>
      <c r="Q3" s="1520"/>
      <c r="R3" s="1520"/>
      <c r="S3" s="1520"/>
      <c r="T3" s="1520"/>
      <c r="U3" s="1520"/>
    </row>
    <row r="4" spans="1:35" x14ac:dyDescent="0.25">
      <c r="G4" s="1520"/>
      <c r="H4" s="1520"/>
      <c r="I4" s="1520"/>
      <c r="J4" s="1520"/>
      <c r="K4" s="1520"/>
      <c r="L4" s="1520"/>
      <c r="M4" s="1520"/>
      <c r="N4" s="1520"/>
      <c r="O4" s="1520"/>
      <c r="P4" s="1520"/>
      <c r="Q4" s="1520"/>
      <c r="R4" s="1520"/>
      <c r="S4" s="1520"/>
      <c r="T4" s="1520"/>
      <c r="U4" s="1520"/>
    </row>
    <row r="5" spans="1:35" x14ac:dyDescent="0.25">
      <c r="G5" s="1520"/>
      <c r="H5" s="1520"/>
      <c r="I5" s="1520"/>
      <c r="J5" s="1520"/>
      <c r="K5" s="1520"/>
      <c r="L5" s="1520"/>
      <c r="M5" s="1520"/>
      <c r="N5" s="1520"/>
      <c r="O5" s="1520"/>
      <c r="P5" s="1520"/>
      <c r="Q5" s="1520"/>
      <c r="R5" s="1520"/>
      <c r="S5" s="1520"/>
      <c r="T5" s="1520"/>
      <c r="U5" s="1520"/>
    </row>
    <row r="7" spans="1:35" ht="15.75" thickBot="1" x14ac:dyDescent="0.3">
      <c r="A7" s="928"/>
      <c r="B7" s="928" t="s">
        <v>775</v>
      </c>
      <c r="E7" s="570" t="s">
        <v>775</v>
      </c>
      <c r="H7" s="570" t="s">
        <v>775</v>
      </c>
      <c r="J7" s="929"/>
      <c r="K7" s="929"/>
      <c r="L7" s="929"/>
      <c r="M7" s="929"/>
      <c r="N7" s="929"/>
      <c r="O7" s="929"/>
      <c r="P7" s="929"/>
      <c r="Q7" s="929"/>
      <c r="R7" s="929"/>
      <c r="S7" s="929"/>
      <c r="T7" s="929"/>
      <c r="U7" s="929"/>
      <c r="V7" s="930"/>
      <c r="W7" s="930"/>
      <c r="X7" s="930"/>
      <c r="Y7" s="930"/>
      <c r="Z7" s="930"/>
      <c r="AA7" s="930"/>
      <c r="AB7" s="930"/>
      <c r="AC7" s="930"/>
    </row>
    <row r="8" spans="1:35" ht="15.75" thickTop="1" x14ac:dyDescent="0.25">
      <c r="A8" s="1521" t="s">
        <v>606</v>
      </c>
      <c r="B8" s="1522"/>
      <c r="D8" s="1518" t="s">
        <v>139</v>
      </c>
      <c r="E8" s="1519"/>
      <c r="G8" s="1526" t="s">
        <v>220</v>
      </c>
      <c r="H8" s="1527"/>
      <c r="I8" s="935"/>
      <c r="J8" s="1413" t="s">
        <v>607</v>
      </c>
      <c r="K8" s="1523"/>
      <c r="L8" s="1413" t="s">
        <v>607</v>
      </c>
      <c r="M8" s="1523"/>
      <c r="N8" s="1524" t="s">
        <v>607</v>
      </c>
      <c r="O8" s="1525"/>
      <c r="P8" s="1524" t="s">
        <v>607</v>
      </c>
      <c r="Q8" s="1525"/>
      <c r="R8" s="1524" t="s">
        <v>607</v>
      </c>
      <c r="S8" s="1525"/>
      <c r="T8" s="1413" t="s">
        <v>607</v>
      </c>
      <c r="U8" s="1523"/>
      <c r="V8" s="1413" t="s">
        <v>607</v>
      </c>
      <c r="W8" s="1523"/>
      <c r="X8" s="1413" t="s">
        <v>607</v>
      </c>
      <c r="Y8" s="1523"/>
      <c r="Z8" s="1413" t="s">
        <v>607</v>
      </c>
      <c r="AA8" s="1523"/>
      <c r="AB8" s="1514" t="s">
        <v>607</v>
      </c>
      <c r="AC8" s="1515"/>
      <c r="AD8" s="1514" t="s">
        <v>607</v>
      </c>
      <c r="AE8" s="1515"/>
      <c r="AF8" s="1514" t="s">
        <v>607</v>
      </c>
      <c r="AG8" s="1515"/>
      <c r="AH8" s="1514" t="s">
        <v>607</v>
      </c>
      <c r="AI8" s="1515"/>
    </row>
    <row r="9" spans="1:35" ht="15.75" thickBot="1" x14ac:dyDescent="0.3">
      <c r="A9" s="646" t="s">
        <v>608</v>
      </c>
      <c r="B9" s="932">
        <f>WEEKLY!E61/19</f>
        <v>315.78947368421052</v>
      </c>
      <c r="D9" s="933" t="s">
        <v>609</v>
      </c>
      <c r="E9" s="934">
        <f>WEEKLY!E12</f>
        <v>6248.4375</v>
      </c>
      <c r="G9" s="989" t="s">
        <v>220</v>
      </c>
      <c r="H9" s="936">
        <f>WEEKLY!E17</f>
        <v>24070</v>
      </c>
      <c r="I9" s="935"/>
      <c r="J9" s="1530" t="s">
        <v>754</v>
      </c>
      <c r="K9" s="1531"/>
      <c r="L9" s="1530" t="s">
        <v>755</v>
      </c>
      <c r="M9" s="1531"/>
      <c r="N9" s="1530" t="s">
        <v>756</v>
      </c>
      <c r="O9" s="1531"/>
      <c r="P9" s="1530" t="s">
        <v>757</v>
      </c>
      <c r="Q9" s="1531"/>
      <c r="R9" s="1530" t="s">
        <v>758</v>
      </c>
      <c r="S9" s="1531"/>
      <c r="T9" s="1530" t="s">
        <v>759</v>
      </c>
      <c r="U9" s="1531"/>
      <c r="V9" s="1530" t="s">
        <v>760</v>
      </c>
      <c r="W9" s="1531"/>
      <c r="X9" s="1530" t="s">
        <v>855</v>
      </c>
      <c r="Y9" s="1531"/>
      <c r="Z9" s="1530" t="s">
        <v>856</v>
      </c>
      <c r="AA9" s="1531"/>
      <c r="AB9" s="1516" t="s">
        <v>610</v>
      </c>
      <c r="AC9" s="1517"/>
      <c r="AD9" s="1516" t="s">
        <v>611</v>
      </c>
      <c r="AE9" s="1517"/>
      <c r="AF9" s="1516" t="s">
        <v>612</v>
      </c>
      <c r="AG9" s="1517"/>
      <c r="AH9" s="1516" t="s">
        <v>917</v>
      </c>
      <c r="AI9" s="1517"/>
    </row>
    <row r="10" spans="1:35" ht="15.75" thickTop="1" x14ac:dyDescent="0.25">
      <c r="A10" s="646" t="s">
        <v>613</v>
      </c>
      <c r="B10" s="936">
        <f>WEEKLY!E62/10000</f>
        <v>1.4</v>
      </c>
      <c r="D10" s="933"/>
      <c r="E10" s="934"/>
      <c r="G10" s="989"/>
      <c r="H10" s="1053"/>
      <c r="I10" s="935"/>
      <c r="J10" s="937" t="s">
        <v>52</v>
      </c>
      <c r="K10" s="938">
        <f>H61</f>
        <v>1477.7327935222672</v>
      </c>
      <c r="L10" s="937" t="s">
        <v>52</v>
      </c>
      <c r="M10" s="938">
        <f>K10</f>
        <v>1477.7327935222672</v>
      </c>
      <c r="N10" s="937" t="s">
        <v>52</v>
      </c>
      <c r="O10" s="938">
        <f>K10</f>
        <v>1477.7327935222672</v>
      </c>
      <c r="P10" s="937" t="s">
        <v>52</v>
      </c>
      <c r="Q10" s="938">
        <f>K10</f>
        <v>1477.7327935222672</v>
      </c>
      <c r="R10" s="937" t="s">
        <v>52</v>
      </c>
      <c r="S10" s="938">
        <f>K10</f>
        <v>1477.7327935222672</v>
      </c>
      <c r="T10" s="937" t="s">
        <v>576</v>
      </c>
      <c r="U10" s="938">
        <f>H70</f>
        <v>4409.7724242424238</v>
      </c>
      <c r="V10" s="937" t="s">
        <v>828</v>
      </c>
      <c r="W10" s="938">
        <f>H97</f>
        <v>9926.6650650717711</v>
      </c>
      <c r="X10" s="937" t="s">
        <v>52</v>
      </c>
      <c r="Y10" s="938">
        <f>K10</f>
        <v>1477.7327935222672</v>
      </c>
      <c r="Z10" s="937" t="s">
        <v>52</v>
      </c>
      <c r="AA10" s="938">
        <f>K10</f>
        <v>1477.7327935222672</v>
      </c>
      <c r="AB10" s="997" t="s">
        <v>52</v>
      </c>
      <c r="AC10" s="1037">
        <f>K10</f>
        <v>1477.7327935222672</v>
      </c>
      <c r="AD10" s="997" t="s">
        <v>52</v>
      </c>
      <c r="AE10" s="1037">
        <f>AC10</f>
        <v>1477.7327935222672</v>
      </c>
      <c r="AF10" s="997" t="s">
        <v>52</v>
      </c>
      <c r="AG10" s="1037">
        <f>AC10</f>
        <v>1477.7327935222672</v>
      </c>
      <c r="AH10" s="997" t="s">
        <v>52</v>
      </c>
      <c r="AI10" s="1037">
        <f>AC10</f>
        <v>1477.7327935222672</v>
      </c>
    </row>
    <row r="11" spans="1:35" x14ac:dyDescent="0.25">
      <c r="A11" s="939"/>
      <c r="B11" s="940"/>
      <c r="D11" s="933" t="s">
        <v>329</v>
      </c>
      <c r="E11" s="934">
        <f>WEEKLY!E310*5/105</f>
        <v>457.14285714285717</v>
      </c>
      <c r="G11" s="989" t="s">
        <v>329</v>
      </c>
      <c r="H11" s="1053">
        <f>E11*5</f>
        <v>2285.7142857142858</v>
      </c>
      <c r="I11" s="935"/>
      <c r="J11" s="937" t="s">
        <v>31</v>
      </c>
      <c r="K11" s="938">
        <f>E56</f>
        <v>6129.8682502043876</v>
      </c>
      <c r="L11" s="937" t="s">
        <v>30</v>
      </c>
      <c r="M11" s="938">
        <f>E83</f>
        <v>31153.422565219869</v>
      </c>
      <c r="N11" s="937" t="s">
        <v>28</v>
      </c>
      <c r="O11" s="938">
        <f>E17</f>
        <v>8138.2873678514461</v>
      </c>
      <c r="P11" s="937" t="s">
        <v>29</v>
      </c>
      <c r="Q11" s="941">
        <f>E30</f>
        <v>8339.8498678514461</v>
      </c>
      <c r="R11" s="937" t="s">
        <v>915</v>
      </c>
      <c r="S11" s="938">
        <f>E100</f>
        <v>5519.5088277511959</v>
      </c>
      <c r="T11" s="937" t="s">
        <v>834</v>
      </c>
      <c r="U11" s="938">
        <f>H136</f>
        <v>6991.9992099567098</v>
      </c>
      <c r="V11" s="937" t="s">
        <v>916</v>
      </c>
      <c r="W11" s="938">
        <f>S12</f>
        <v>2810.3087196715192</v>
      </c>
      <c r="X11" s="937" t="s">
        <v>558</v>
      </c>
      <c r="Y11" s="938">
        <f>E83</f>
        <v>31153.422565219869</v>
      </c>
      <c r="Z11" s="937" t="s">
        <v>918</v>
      </c>
      <c r="AA11" s="938">
        <f>E183</f>
        <v>4619.0166666666664</v>
      </c>
      <c r="AB11" s="997" t="s">
        <v>919</v>
      </c>
      <c r="AC11" s="1037">
        <f>Q36</f>
        <v>12461.307416871055</v>
      </c>
      <c r="AD11" s="997" t="s">
        <v>920</v>
      </c>
      <c r="AE11" s="1037">
        <f>O36</f>
        <v>12857.226534518113</v>
      </c>
      <c r="AF11" s="997" t="s">
        <v>921</v>
      </c>
      <c r="AG11" s="1037">
        <f>K36</f>
        <v>14469.726534518113</v>
      </c>
      <c r="AH11" s="997" t="s">
        <v>922</v>
      </c>
      <c r="AI11" s="1037">
        <f>M36</f>
        <v>14671.289034518113</v>
      </c>
    </row>
    <row r="12" spans="1:35" x14ac:dyDescent="0.25">
      <c r="B12" s="570" t="s">
        <v>775</v>
      </c>
      <c r="D12" s="933" t="s">
        <v>616</v>
      </c>
      <c r="E12" s="942">
        <f>WEEKLY!E321/105</f>
        <v>184.17142857142858</v>
      </c>
      <c r="G12" s="989" t="s">
        <v>616</v>
      </c>
      <c r="H12" s="936">
        <f>E12*5</f>
        <v>920.85714285714289</v>
      </c>
      <c r="I12" s="935"/>
      <c r="J12" s="937" t="s">
        <v>614</v>
      </c>
      <c r="K12" s="938">
        <f>B136</f>
        <v>1916.8406578947368</v>
      </c>
      <c r="L12" s="937" t="s">
        <v>614</v>
      </c>
      <c r="M12" s="938">
        <f>K12</f>
        <v>1916.8406578947368</v>
      </c>
      <c r="N12" s="937" t="s">
        <v>827</v>
      </c>
      <c r="O12" s="938">
        <f>K12</f>
        <v>1916.8406578947368</v>
      </c>
      <c r="P12" s="937" t="s">
        <v>614</v>
      </c>
      <c r="Q12" s="938">
        <f>K12</f>
        <v>1916.8406578947368</v>
      </c>
      <c r="R12" s="937" t="s">
        <v>916</v>
      </c>
      <c r="S12" s="938">
        <f>B56</f>
        <v>2810.3087196715192</v>
      </c>
      <c r="T12" s="937" t="s">
        <v>877</v>
      </c>
      <c r="U12" s="938">
        <f>B79</f>
        <v>3834.683859649123</v>
      </c>
      <c r="V12" s="937"/>
      <c r="W12" s="938"/>
      <c r="X12" s="937" t="s">
        <v>916</v>
      </c>
      <c r="Y12" s="938">
        <f>S12</f>
        <v>2810.3087196715192</v>
      </c>
      <c r="Z12" s="937" t="s">
        <v>614</v>
      </c>
      <c r="AA12" s="938">
        <f>K12</f>
        <v>1916.8406578947368</v>
      </c>
      <c r="AB12" s="997" t="s">
        <v>916</v>
      </c>
      <c r="AC12" s="1037">
        <f>B56</f>
        <v>2810.3087196715192</v>
      </c>
      <c r="AD12" s="997" t="s">
        <v>916</v>
      </c>
      <c r="AE12" s="1037">
        <f>AC12</f>
        <v>2810.3087196715192</v>
      </c>
      <c r="AF12" s="997" t="s">
        <v>916</v>
      </c>
      <c r="AG12" s="1037">
        <f>AC12</f>
        <v>2810.3087196715192</v>
      </c>
      <c r="AH12" s="997" t="s">
        <v>916</v>
      </c>
      <c r="AI12" s="1037">
        <f>AC12</f>
        <v>2810.3087196715192</v>
      </c>
    </row>
    <row r="13" spans="1:35" x14ac:dyDescent="0.25">
      <c r="A13" s="1518" t="s">
        <v>617</v>
      </c>
      <c r="B13" s="1519"/>
      <c r="D13" s="933" t="s">
        <v>92</v>
      </c>
      <c r="E13" s="942">
        <f>WEEKLY!E146/33</f>
        <v>712.87242424242424</v>
      </c>
      <c r="G13" s="989" t="s">
        <v>92</v>
      </c>
      <c r="H13" s="936">
        <f t="shared" ref="H13:H15" si="0">E13*5</f>
        <v>3564.3621212121211</v>
      </c>
      <c r="I13" s="935"/>
      <c r="J13" s="937" t="s">
        <v>104</v>
      </c>
      <c r="K13" s="938">
        <f>E154</f>
        <v>1446.2666666666669</v>
      </c>
      <c r="L13" s="937" t="s">
        <v>104</v>
      </c>
      <c r="M13" s="938">
        <f>K13</f>
        <v>1446.2666666666669</v>
      </c>
      <c r="N13" s="937" t="s">
        <v>104</v>
      </c>
      <c r="O13" s="938">
        <f>K13</f>
        <v>1446.2666666666669</v>
      </c>
      <c r="P13" s="937" t="s">
        <v>104</v>
      </c>
      <c r="Q13" s="938">
        <f>K13</f>
        <v>1446.2666666666669</v>
      </c>
      <c r="R13" s="937" t="s">
        <v>104</v>
      </c>
      <c r="S13" s="938">
        <f>K13</f>
        <v>1446.2666666666669</v>
      </c>
      <c r="T13" s="937"/>
      <c r="U13" s="938"/>
      <c r="V13" s="937" t="s">
        <v>104</v>
      </c>
      <c r="W13" s="938">
        <f>K13</f>
        <v>1446.2666666666669</v>
      </c>
      <c r="X13" s="937" t="s">
        <v>104</v>
      </c>
      <c r="Y13" s="938">
        <f>K13</f>
        <v>1446.2666666666669</v>
      </c>
      <c r="Z13" s="937" t="s">
        <v>104</v>
      </c>
      <c r="AA13" s="938">
        <f>K13</f>
        <v>1446.2666666666669</v>
      </c>
      <c r="AB13" s="997" t="s">
        <v>104</v>
      </c>
      <c r="AC13" s="1037">
        <f>K13</f>
        <v>1446.2666666666669</v>
      </c>
      <c r="AD13" s="997" t="s">
        <v>104</v>
      </c>
      <c r="AE13" s="1037">
        <f>AC13</f>
        <v>1446.2666666666669</v>
      </c>
      <c r="AF13" s="997" t="s">
        <v>104</v>
      </c>
      <c r="AG13" s="1037">
        <f>AC13</f>
        <v>1446.2666666666669</v>
      </c>
      <c r="AH13" s="997" t="s">
        <v>104</v>
      </c>
      <c r="AI13" s="1037">
        <f>AC13</f>
        <v>1446.2666666666669</v>
      </c>
    </row>
    <row r="14" spans="1:35" x14ac:dyDescent="0.25">
      <c r="A14" s="933" t="s">
        <v>619</v>
      </c>
      <c r="B14" s="947">
        <f>WEEKLY!E57</f>
        <v>17500</v>
      </c>
      <c r="C14" s="948"/>
      <c r="D14" s="933" t="s">
        <v>620</v>
      </c>
      <c r="E14" s="949">
        <f>(B9*0.7)/80</f>
        <v>2.7631578947368416</v>
      </c>
      <c r="G14" s="989" t="s">
        <v>620</v>
      </c>
      <c r="H14" s="1054">
        <f>E14*5</f>
        <v>13.815789473684209</v>
      </c>
      <c r="I14" s="935"/>
      <c r="J14" s="943" t="s">
        <v>63</v>
      </c>
      <c r="K14" s="944">
        <f>SUM(K10:K13)</f>
        <v>10970.708368288058</v>
      </c>
      <c r="L14" s="943" t="s">
        <v>63</v>
      </c>
      <c r="M14" s="950">
        <f>SUM(M10:M13)</f>
        <v>35994.262683303547</v>
      </c>
      <c r="N14" s="1051" t="s">
        <v>63</v>
      </c>
      <c r="O14" s="1102">
        <f>SUM(O10:O13)</f>
        <v>12979.127485935116</v>
      </c>
      <c r="P14" s="943" t="s">
        <v>63</v>
      </c>
      <c r="Q14" s="944">
        <f>SUM(Q10:Q13)</f>
        <v>13180.689985935116</v>
      </c>
      <c r="R14" s="1051" t="s">
        <v>63</v>
      </c>
      <c r="S14" s="1052">
        <f>SUM(S10:S13)</f>
        <v>11253.817007611649</v>
      </c>
      <c r="T14" s="943" t="s">
        <v>63</v>
      </c>
      <c r="U14" s="944">
        <f>SUM(U10:U13)</f>
        <v>15236.455493848256</v>
      </c>
      <c r="V14" s="943" t="s">
        <v>63</v>
      </c>
      <c r="W14" s="944">
        <f>SUM(W10:W13)</f>
        <v>14183.240451409956</v>
      </c>
      <c r="X14" s="937"/>
      <c r="Y14" s="938"/>
      <c r="Z14" s="937"/>
      <c r="AA14" s="938"/>
      <c r="AB14" s="997"/>
      <c r="AC14" s="1037"/>
      <c r="AD14" s="997"/>
      <c r="AE14" s="1037"/>
      <c r="AF14" s="997"/>
      <c r="AG14" s="1037"/>
      <c r="AH14" s="997"/>
      <c r="AI14" s="1037"/>
    </row>
    <row r="15" spans="1:35" x14ac:dyDescent="0.25">
      <c r="A15" s="933" t="s">
        <v>621</v>
      </c>
      <c r="B15" s="934">
        <f>WEEKLY!E61/19</f>
        <v>315.78947368421052</v>
      </c>
      <c r="D15" s="933" t="s">
        <v>622</v>
      </c>
      <c r="E15" s="518">
        <f>WEEKLY!E313+WEEKLY!E314</f>
        <v>532.9</v>
      </c>
      <c r="G15" s="989" t="s">
        <v>622</v>
      </c>
      <c r="H15" s="936">
        <f t="shared" si="0"/>
        <v>2664.5</v>
      </c>
      <c r="I15" s="935"/>
      <c r="J15" s="937"/>
      <c r="K15" s="941"/>
      <c r="L15" s="937"/>
      <c r="M15" s="941"/>
      <c r="N15" s="937"/>
      <c r="O15" s="951"/>
      <c r="P15" s="937"/>
      <c r="Q15" s="941"/>
      <c r="R15" s="937"/>
      <c r="S15" s="951"/>
      <c r="T15" s="943"/>
      <c r="U15" s="950"/>
      <c r="V15" s="937"/>
      <c r="W15" s="941"/>
      <c r="X15" s="943" t="s">
        <v>63</v>
      </c>
      <c r="Y15" s="944">
        <f>SUM(Y10:Y14)</f>
        <v>36887.730745080327</v>
      </c>
      <c r="Z15" s="943" t="s">
        <v>63</v>
      </c>
      <c r="AA15" s="944">
        <f>SUM(AA10:AA14)</f>
        <v>9459.8567847503382</v>
      </c>
      <c r="AB15" s="998" t="s">
        <v>63</v>
      </c>
      <c r="AC15" s="1039">
        <f>SUM(AC10:AC14)</f>
        <v>18195.61559673151</v>
      </c>
      <c r="AD15" s="998" t="s">
        <v>63</v>
      </c>
      <c r="AE15" s="1039">
        <f>SUM(AE10:AE14)</f>
        <v>18591.534714378566</v>
      </c>
      <c r="AF15" s="998" t="s">
        <v>63</v>
      </c>
      <c r="AG15" s="1039">
        <f>SUM(AG10:AG14)</f>
        <v>20204.034714378566</v>
      </c>
      <c r="AH15" s="998" t="s">
        <v>63</v>
      </c>
      <c r="AI15" s="1039">
        <f>SUM(AI10:AI14)</f>
        <v>20405.597214378566</v>
      </c>
    </row>
    <row r="16" spans="1:35" x14ac:dyDescent="0.25">
      <c r="A16" s="933"/>
      <c r="B16" s="934"/>
      <c r="D16" s="933"/>
      <c r="E16" s="952"/>
      <c r="G16" s="1056" t="s">
        <v>835</v>
      </c>
      <c r="H16" s="1055">
        <f>SUM(H9:H15)</f>
        <v>33519.249339257236</v>
      </c>
      <c r="I16" s="935"/>
      <c r="J16" s="953"/>
      <c r="K16" s="954"/>
      <c r="L16" s="953"/>
      <c r="M16" s="954"/>
      <c r="N16" s="953"/>
      <c r="O16" s="955"/>
      <c r="P16" s="953"/>
      <c r="Q16" s="954"/>
      <c r="R16" s="953"/>
      <c r="S16" s="955"/>
      <c r="T16" s="953"/>
      <c r="U16" s="954"/>
      <c r="V16" s="953"/>
      <c r="W16" s="954"/>
      <c r="X16" s="937"/>
      <c r="Y16" s="941"/>
      <c r="Z16" s="937"/>
      <c r="AA16" s="941"/>
      <c r="AB16" s="997"/>
      <c r="AC16" s="1038"/>
      <c r="AD16" s="997"/>
      <c r="AE16" s="1038"/>
      <c r="AF16" s="997"/>
      <c r="AG16" s="1038"/>
      <c r="AH16" s="997"/>
      <c r="AI16" s="1038"/>
    </row>
    <row r="17" spans="1:41" ht="15.75" thickBot="1" x14ac:dyDescent="0.3">
      <c r="A17" s="933" t="s">
        <v>623</v>
      </c>
      <c r="B17" s="1061">
        <f>SUM(B13:B15)</f>
        <v>17815.78947368421</v>
      </c>
      <c r="D17" s="933" t="s">
        <v>624</v>
      </c>
      <c r="E17" s="956">
        <f>SUM(E9:E16)</f>
        <v>8138.2873678514461</v>
      </c>
      <c r="H17" s="570" t="s">
        <v>775</v>
      </c>
      <c r="I17" s="935"/>
      <c r="J17" s="957"/>
      <c r="K17" s="958">
        <f>K14/8500</f>
        <v>1.2906715727397715</v>
      </c>
      <c r="L17" s="957"/>
      <c r="M17" s="959"/>
      <c r="N17" s="957"/>
      <c r="O17" s="959"/>
      <c r="P17" s="957"/>
      <c r="Q17" s="959"/>
      <c r="R17" s="957"/>
      <c r="S17" s="959"/>
      <c r="T17" s="957"/>
      <c r="U17" s="959"/>
      <c r="V17" s="957"/>
      <c r="W17" s="959"/>
      <c r="X17" s="960"/>
      <c r="Y17" s="961"/>
      <c r="Z17" s="962"/>
      <c r="AA17" s="961"/>
      <c r="AB17" s="960"/>
      <c r="AC17" s="1044"/>
      <c r="AD17" s="960"/>
      <c r="AE17" s="1044"/>
      <c r="AF17" s="960"/>
      <c r="AG17" s="1044"/>
      <c r="AH17" s="960"/>
      <c r="AI17" s="1044"/>
    </row>
    <row r="18" spans="1:41" ht="16.5" thickTop="1" thickBot="1" x14ac:dyDescent="0.3">
      <c r="A18" s="945" t="s">
        <v>625</v>
      </c>
      <c r="B18" s="963">
        <f>(B17/1.5)</f>
        <v>11877.192982456139</v>
      </c>
      <c r="D18" s="933"/>
      <c r="E18" s="956"/>
      <c r="G18" s="1518" t="s">
        <v>751</v>
      </c>
      <c r="H18" s="1519"/>
      <c r="I18" s="935"/>
      <c r="AF18" s="570" t="s">
        <v>112</v>
      </c>
    </row>
    <row r="19" spans="1:41" ht="15.75" thickTop="1" x14ac:dyDescent="0.25">
      <c r="A19" s="404"/>
      <c r="B19" s="964"/>
      <c r="D19" s="945"/>
      <c r="E19" s="965"/>
      <c r="G19" s="933" t="s">
        <v>752</v>
      </c>
      <c r="H19" s="934">
        <f>E9+E22/2</f>
        <v>9473.4375</v>
      </c>
      <c r="I19" s="931"/>
      <c r="J19" s="1534" t="s">
        <v>607</v>
      </c>
      <c r="K19" s="1529"/>
      <c r="L19" s="1528" t="s">
        <v>607</v>
      </c>
      <c r="M19" s="1529"/>
      <c r="N19" s="1528" t="s">
        <v>607</v>
      </c>
      <c r="O19" s="1529"/>
      <c r="P19" s="1514" t="s">
        <v>607</v>
      </c>
      <c r="Q19" s="1515"/>
      <c r="R19" s="570"/>
      <c r="S19" s="570"/>
      <c r="T19" s="1535" t="s">
        <v>607</v>
      </c>
      <c r="U19" s="1529"/>
      <c r="V19" s="1528" t="s">
        <v>607</v>
      </c>
      <c r="W19" s="1529"/>
      <c r="X19" s="1528" t="s">
        <v>607</v>
      </c>
      <c r="Y19" s="1529"/>
      <c r="Z19" s="1528" t="s">
        <v>607</v>
      </c>
      <c r="AA19" s="1529"/>
      <c r="AB19" s="1528" t="s">
        <v>607</v>
      </c>
      <c r="AC19" s="1529"/>
      <c r="AD19" s="1528" t="s">
        <v>607</v>
      </c>
      <c r="AE19" s="1529"/>
      <c r="AF19" s="1514" t="s">
        <v>607</v>
      </c>
      <c r="AG19" s="1515"/>
    </row>
    <row r="20" spans="1:41" ht="15.75" thickBot="1" x14ac:dyDescent="0.3">
      <c r="A20" s="617"/>
      <c r="B20" s="617" t="s">
        <v>775</v>
      </c>
      <c r="D20" s="617"/>
      <c r="E20" s="617" t="s">
        <v>775</v>
      </c>
      <c r="G20" s="933" t="s">
        <v>753</v>
      </c>
      <c r="H20" s="934">
        <f>E35+E48/2</f>
        <v>6755.9466911764703</v>
      </c>
      <c r="I20" s="935"/>
      <c r="J20" s="1532" t="s">
        <v>761</v>
      </c>
      <c r="K20" s="1530"/>
      <c r="L20" s="1516" t="s">
        <v>762</v>
      </c>
      <c r="M20" s="1531"/>
      <c r="N20" s="1516" t="s">
        <v>763</v>
      </c>
      <c r="O20" s="1531"/>
      <c r="P20" s="1516" t="s">
        <v>764</v>
      </c>
      <c r="Q20" s="1517"/>
      <c r="R20" s="570"/>
      <c r="S20" s="570"/>
      <c r="T20" s="1533" t="s">
        <v>765</v>
      </c>
      <c r="U20" s="1531"/>
      <c r="V20" s="1530" t="s">
        <v>766</v>
      </c>
      <c r="W20" s="1531"/>
      <c r="X20" s="1530" t="s">
        <v>767</v>
      </c>
      <c r="Y20" s="1531"/>
      <c r="Z20" s="1530" t="s">
        <v>768</v>
      </c>
      <c r="AA20" s="1531"/>
      <c r="AB20" s="1530" t="s">
        <v>626</v>
      </c>
      <c r="AC20" s="1531"/>
      <c r="AD20" s="1530" t="s">
        <v>627</v>
      </c>
      <c r="AE20" s="1531"/>
      <c r="AF20" s="1516" t="s">
        <v>628</v>
      </c>
      <c r="AG20" s="1517"/>
    </row>
    <row r="21" spans="1:41" ht="15.75" thickTop="1" x14ac:dyDescent="0.25">
      <c r="A21" s="1518" t="s">
        <v>967</v>
      </c>
      <c r="B21" s="1519"/>
      <c r="D21" s="1518" t="s">
        <v>46</v>
      </c>
      <c r="E21" s="1519"/>
      <c r="G21" s="933" t="s">
        <v>329</v>
      </c>
      <c r="H21" s="934">
        <f>E11</f>
        <v>457.14285714285717</v>
      </c>
      <c r="I21" s="935"/>
      <c r="J21" s="937" t="s">
        <v>52</v>
      </c>
      <c r="K21" s="938">
        <f>K10</f>
        <v>1477.7327935222672</v>
      </c>
      <c r="L21" s="937" t="s">
        <v>52</v>
      </c>
      <c r="M21" s="938">
        <f>K21</f>
        <v>1477.7327935222672</v>
      </c>
      <c r="N21" s="937" t="s">
        <v>52</v>
      </c>
      <c r="O21" s="938">
        <f>K21</f>
        <v>1477.7327935222672</v>
      </c>
      <c r="P21" s="997" t="s">
        <v>52</v>
      </c>
      <c r="Q21" s="1037">
        <f>K21</f>
        <v>1477.7327935222672</v>
      </c>
      <c r="R21" s="570"/>
      <c r="S21" s="570"/>
      <c r="T21" s="1033" t="s">
        <v>52</v>
      </c>
      <c r="U21" s="938">
        <f>K10</f>
        <v>1477.7327935222672</v>
      </c>
      <c r="V21" s="937" t="s">
        <v>52</v>
      </c>
      <c r="W21" s="938">
        <f>U21</f>
        <v>1477.7327935222672</v>
      </c>
      <c r="X21" s="937" t="s">
        <v>52</v>
      </c>
      <c r="Y21" s="938">
        <f>U21</f>
        <v>1477.7327935222672</v>
      </c>
      <c r="Z21" s="937"/>
      <c r="AA21" s="938"/>
      <c r="AB21" s="937" t="s">
        <v>52</v>
      </c>
      <c r="AC21" s="938">
        <f>K10</f>
        <v>1477.7327935222672</v>
      </c>
      <c r="AD21" s="937" t="s">
        <v>52</v>
      </c>
      <c r="AE21" s="938">
        <f>AC21</f>
        <v>1477.7327935222672</v>
      </c>
      <c r="AF21" s="997" t="s">
        <v>52</v>
      </c>
      <c r="AG21" s="1037">
        <f>AC21</f>
        <v>1477.7327935222672</v>
      </c>
    </row>
    <row r="22" spans="1:41" x14ac:dyDescent="0.25">
      <c r="A22" s="933" t="s">
        <v>966</v>
      </c>
      <c r="B22" s="956">
        <f>WEEKLY!E86</f>
        <v>3960</v>
      </c>
      <c r="D22" s="933" t="s">
        <v>630</v>
      </c>
      <c r="E22" s="934">
        <f>WEEKLY!E13</f>
        <v>6450</v>
      </c>
      <c r="G22" s="933" t="s">
        <v>616</v>
      </c>
      <c r="H22" s="942">
        <f>E12</f>
        <v>184.17142857142858</v>
      </c>
      <c r="I22" s="935"/>
      <c r="J22" s="937" t="s">
        <v>30</v>
      </c>
      <c r="K22" s="938">
        <f>M11</f>
        <v>31153.422565219869</v>
      </c>
      <c r="L22" s="937" t="s">
        <v>829</v>
      </c>
      <c r="M22" s="938">
        <f>O11</f>
        <v>8138.2873678514461</v>
      </c>
      <c r="N22" s="937" t="s">
        <v>831</v>
      </c>
      <c r="O22" s="938">
        <f>E117</f>
        <v>4471.3838277511959</v>
      </c>
      <c r="P22" s="997" t="s">
        <v>558</v>
      </c>
      <c r="Q22" s="1038">
        <f>W11</f>
        <v>2810.3087196715192</v>
      </c>
      <c r="R22" s="570"/>
      <c r="S22" s="570"/>
      <c r="T22" s="1033" t="s">
        <v>31</v>
      </c>
      <c r="U22" s="938">
        <f>K11</f>
        <v>6129.8682502043876</v>
      </c>
      <c r="V22" s="937" t="s">
        <v>832</v>
      </c>
      <c r="W22" s="938">
        <f>O11</f>
        <v>8138.2873678514461</v>
      </c>
      <c r="X22" s="937" t="s">
        <v>833</v>
      </c>
      <c r="Y22" s="938">
        <f>Q11</f>
        <v>8339.8498678514461</v>
      </c>
      <c r="Z22" s="937" t="s">
        <v>834</v>
      </c>
      <c r="AA22" s="938">
        <f>S11</f>
        <v>5519.5088277511959</v>
      </c>
      <c r="AB22" s="937" t="s">
        <v>31</v>
      </c>
      <c r="AC22" s="938">
        <f>K11</f>
        <v>6129.8682502043876</v>
      </c>
      <c r="AD22" s="937" t="s">
        <v>47</v>
      </c>
      <c r="AE22" s="938">
        <f>M11</f>
        <v>31153.422565219869</v>
      </c>
      <c r="AF22" s="997" t="s">
        <v>615</v>
      </c>
      <c r="AG22" s="1037">
        <f>O11</f>
        <v>8138.2873678514461</v>
      </c>
    </row>
    <row r="23" spans="1:41" x14ac:dyDescent="0.25">
      <c r="A23" s="933" t="s">
        <v>965</v>
      </c>
      <c r="B23" s="934">
        <f>B9*5</f>
        <v>1578.9473684210525</v>
      </c>
      <c r="D23" s="933"/>
      <c r="E23" s="934"/>
      <c r="G23" s="933" t="s">
        <v>92</v>
      </c>
      <c r="H23" s="942">
        <f>E13</f>
        <v>712.87242424242424</v>
      </c>
      <c r="I23" s="935"/>
      <c r="J23" s="937" t="s">
        <v>631</v>
      </c>
      <c r="K23" s="938">
        <f>WEEKLY!E76</f>
        <v>2500</v>
      </c>
      <c r="L23" s="937" t="s">
        <v>830</v>
      </c>
      <c r="M23" s="938">
        <f>M11</f>
        <v>31153.422565219869</v>
      </c>
      <c r="N23" s="937" t="s">
        <v>631</v>
      </c>
      <c r="O23" s="938">
        <f>K23</f>
        <v>2500</v>
      </c>
      <c r="P23" s="997" t="s">
        <v>631</v>
      </c>
      <c r="Q23" s="1037">
        <f>K23</f>
        <v>2500</v>
      </c>
      <c r="R23" s="570"/>
      <c r="S23" s="570"/>
      <c r="T23" s="1033" t="s">
        <v>269</v>
      </c>
      <c r="U23" s="938">
        <f>B79</f>
        <v>3834.683859649123</v>
      </c>
      <c r="V23" s="937" t="s">
        <v>916</v>
      </c>
      <c r="W23" s="938">
        <f>B56</f>
        <v>2810.3087196715192</v>
      </c>
      <c r="X23" s="937" t="s">
        <v>269</v>
      </c>
      <c r="Y23" s="938">
        <f>U23</f>
        <v>3834.683859649123</v>
      </c>
      <c r="Z23" s="937" t="s">
        <v>916</v>
      </c>
      <c r="AA23" s="938">
        <f>W23</f>
        <v>2810.3087196715192</v>
      </c>
      <c r="AB23" s="937"/>
      <c r="AC23" s="938"/>
      <c r="AD23" s="937"/>
      <c r="AE23" s="938"/>
      <c r="AF23" s="997"/>
      <c r="AG23" s="1037"/>
      <c r="AO23" s="570" t="s">
        <v>112</v>
      </c>
    </row>
    <row r="24" spans="1:41" x14ac:dyDescent="0.25">
      <c r="A24" s="933"/>
      <c r="B24" s="518"/>
      <c r="D24" s="933" t="s">
        <v>329</v>
      </c>
      <c r="E24" s="934">
        <f t="shared" ref="E24:E28" si="1">E11</f>
        <v>457.14285714285717</v>
      </c>
      <c r="G24" s="933" t="s">
        <v>620</v>
      </c>
      <c r="H24" s="949">
        <f>E14</f>
        <v>2.7631578947368416</v>
      </c>
      <c r="I24" s="935"/>
      <c r="J24" s="937" t="s">
        <v>104</v>
      </c>
      <c r="K24" s="938">
        <f>K13</f>
        <v>1446.2666666666669</v>
      </c>
      <c r="L24" s="937" t="s">
        <v>631</v>
      </c>
      <c r="M24" s="938">
        <f>K23</f>
        <v>2500</v>
      </c>
      <c r="N24" s="937" t="s">
        <v>104</v>
      </c>
      <c r="O24" s="938">
        <f>K24</f>
        <v>1446.2666666666669</v>
      </c>
      <c r="P24" s="997" t="s">
        <v>104</v>
      </c>
      <c r="Q24" s="1037">
        <f>K24</f>
        <v>1446.2666666666669</v>
      </c>
      <c r="R24" s="570"/>
      <c r="S24" s="570"/>
      <c r="T24" s="1033" t="s">
        <v>104</v>
      </c>
      <c r="U24" s="938">
        <f>Q24</f>
        <v>1446.2666666666669</v>
      </c>
      <c r="V24" s="1033" t="s">
        <v>104</v>
      </c>
      <c r="W24" s="938">
        <f>S24</f>
        <v>0</v>
      </c>
      <c r="X24" s="937" t="s">
        <v>104</v>
      </c>
      <c r="Y24" s="938">
        <f>U24</f>
        <v>1446.2666666666669</v>
      </c>
      <c r="Z24" s="937" t="s">
        <v>104</v>
      </c>
      <c r="AA24" s="938">
        <f>U24</f>
        <v>1446.2666666666669</v>
      </c>
      <c r="AB24" s="937" t="s">
        <v>104</v>
      </c>
      <c r="AC24" s="938">
        <f>AA24</f>
        <v>1446.2666666666669</v>
      </c>
      <c r="AD24" s="937" t="s">
        <v>104</v>
      </c>
      <c r="AE24" s="938">
        <f>AC24</f>
        <v>1446.2666666666669</v>
      </c>
      <c r="AF24" s="997" t="s">
        <v>104</v>
      </c>
      <c r="AG24" s="1037">
        <f>AC24</f>
        <v>1446.2666666666669</v>
      </c>
    </row>
    <row r="25" spans="1:41" x14ac:dyDescent="0.25">
      <c r="A25" s="933" t="s">
        <v>632</v>
      </c>
      <c r="B25" s="934">
        <f>SUM(B22:B24)</f>
        <v>5538.9473684210525</v>
      </c>
      <c r="D25" s="933" t="s">
        <v>616</v>
      </c>
      <c r="E25" s="942">
        <f>E12</f>
        <v>184.17142857142858</v>
      </c>
      <c r="G25" s="933" t="s">
        <v>622</v>
      </c>
      <c r="H25" s="934">
        <f>E15</f>
        <v>532.9</v>
      </c>
      <c r="I25" s="935"/>
      <c r="J25" s="943" t="s">
        <v>63</v>
      </c>
      <c r="K25" s="971">
        <f>SUM(K21:K24)</f>
        <v>36577.422025408807</v>
      </c>
      <c r="L25" s="937" t="s">
        <v>104</v>
      </c>
      <c r="M25" s="938">
        <f>K24</f>
        <v>1446.2666666666669</v>
      </c>
      <c r="N25" s="943" t="s">
        <v>63</v>
      </c>
      <c r="O25" s="944">
        <f>SUM(O21:O24)</f>
        <v>9895.3832879401307</v>
      </c>
      <c r="P25" s="998" t="s">
        <v>63</v>
      </c>
      <c r="Q25" s="1039">
        <f>SUM(Q21:Q24)</f>
        <v>8234.3081798604526</v>
      </c>
      <c r="R25" s="570"/>
      <c r="S25" s="570"/>
      <c r="T25" s="1034" t="s">
        <v>63</v>
      </c>
      <c r="U25" s="944">
        <f>SUM(U21:U24)</f>
        <v>12888.551570042444</v>
      </c>
      <c r="V25" s="1034" t="s">
        <v>63</v>
      </c>
      <c r="W25" s="944">
        <f>SUM(W21:W24)</f>
        <v>12426.328881045232</v>
      </c>
      <c r="X25" s="943" t="s">
        <v>63</v>
      </c>
      <c r="Y25" s="944">
        <f>SUM(Y21:Y24)</f>
        <v>15098.533187689503</v>
      </c>
      <c r="Z25" s="943" t="s">
        <v>63</v>
      </c>
      <c r="AA25" s="944">
        <f>SUM(AA21:AA24)</f>
        <v>9776.0842140893819</v>
      </c>
      <c r="AB25" s="943" t="s">
        <v>63</v>
      </c>
      <c r="AC25" s="944">
        <f>SUM(AC21:AC24)</f>
        <v>9053.8677103933223</v>
      </c>
      <c r="AD25" s="943" t="s">
        <v>63</v>
      </c>
      <c r="AE25" s="944">
        <f>SUM(AE21:AE24)</f>
        <v>34077.422025408807</v>
      </c>
      <c r="AF25" s="998" t="s">
        <v>63</v>
      </c>
      <c r="AG25" s="1039">
        <f>SUM(AG21:AG24)</f>
        <v>11062.28682804038</v>
      </c>
    </row>
    <row r="26" spans="1:41" x14ac:dyDescent="0.25">
      <c r="A26" s="945" t="s">
        <v>625</v>
      </c>
      <c r="B26" s="946">
        <f>B25/3.2</f>
        <v>1730.9210526315787</v>
      </c>
      <c r="D26" s="933" t="s">
        <v>92</v>
      </c>
      <c r="E26" s="942">
        <f t="shared" si="1"/>
        <v>712.87242424242424</v>
      </c>
      <c r="G26" s="933" t="s">
        <v>562</v>
      </c>
      <c r="H26" s="952">
        <f>E10</f>
        <v>0</v>
      </c>
      <c r="I26" s="935"/>
      <c r="J26" s="937"/>
      <c r="K26" s="951"/>
      <c r="L26" s="943" t="s">
        <v>63</v>
      </c>
      <c r="M26" s="971">
        <f>SUM(M21:M25)</f>
        <v>44715.709393260251</v>
      </c>
      <c r="N26" s="937"/>
      <c r="O26" s="941"/>
      <c r="P26" s="997"/>
      <c r="Q26" s="1038"/>
      <c r="R26" s="570"/>
      <c r="S26" s="570"/>
      <c r="T26" s="1033"/>
      <c r="U26" s="941"/>
      <c r="V26" s="937"/>
      <c r="W26" s="951"/>
      <c r="X26" s="937"/>
      <c r="Y26" s="941"/>
      <c r="Z26" s="937"/>
      <c r="AA26" s="941"/>
      <c r="AB26" s="937"/>
      <c r="AC26" s="941"/>
      <c r="AD26" s="937"/>
      <c r="AE26" s="941"/>
      <c r="AF26" s="997"/>
      <c r="AG26" s="1038"/>
    </row>
    <row r="27" spans="1:41" x14ac:dyDescent="0.25">
      <c r="A27" s="617"/>
      <c r="B27" s="617" t="s">
        <v>775</v>
      </c>
      <c r="D27" s="933" t="s">
        <v>620</v>
      </c>
      <c r="E27" s="949">
        <f t="shared" si="1"/>
        <v>2.7631578947368416</v>
      </c>
      <c r="G27" s="933" t="s">
        <v>776</v>
      </c>
      <c r="H27" s="966">
        <f>SUM(H19:H26)</f>
        <v>18119.23405902792</v>
      </c>
      <c r="I27" s="935"/>
      <c r="J27" s="937"/>
      <c r="K27" s="967"/>
      <c r="L27" s="953"/>
      <c r="M27" s="954"/>
      <c r="N27" s="953"/>
      <c r="O27" s="954"/>
      <c r="P27" s="1000"/>
      <c r="Q27" s="1040"/>
      <c r="R27" s="570"/>
      <c r="S27" s="570"/>
      <c r="T27" s="1035"/>
      <c r="U27" s="954"/>
      <c r="V27" s="953"/>
      <c r="W27" s="955"/>
      <c r="X27" s="953"/>
      <c r="Y27" s="954"/>
      <c r="Z27" s="953"/>
      <c r="AA27" s="954"/>
      <c r="AB27" s="953"/>
      <c r="AC27" s="954"/>
      <c r="AD27" s="953"/>
      <c r="AE27" s="954"/>
      <c r="AF27" s="1000"/>
      <c r="AG27" s="1040"/>
    </row>
    <row r="28" spans="1:41" ht="15.75" thickBot="1" x14ac:dyDescent="0.3">
      <c r="A28" s="1518" t="s">
        <v>777</v>
      </c>
      <c r="B28" s="1519"/>
      <c r="D28" s="933" t="s">
        <v>622</v>
      </c>
      <c r="E28" s="518">
        <f t="shared" si="1"/>
        <v>532.9</v>
      </c>
      <c r="G28" s="933"/>
      <c r="H28" s="956"/>
      <c r="I28" s="935"/>
      <c r="J28" s="957"/>
      <c r="K28" s="968"/>
      <c r="L28" s="969"/>
      <c r="M28" s="959"/>
      <c r="N28" s="957"/>
      <c r="O28" s="959"/>
      <c r="P28" s="1041"/>
      <c r="Q28" s="957"/>
      <c r="R28" s="570"/>
      <c r="S28" s="570"/>
      <c r="T28" s="1036"/>
      <c r="U28" s="959"/>
      <c r="V28" s="957"/>
      <c r="W28" s="959"/>
      <c r="X28" s="957"/>
      <c r="Y28" s="959"/>
      <c r="Z28" s="957"/>
      <c r="AA28" s="959"/>
      <c r="AB28" s="957"/>
      <c r="AC28" s="959"/>
      <c r="AD28" s="957"/>
      <c r="AE28" s="959"/>
      <c r="AF28" s="1041"/>
      <c r="AG28" s="957"/>
    </row>
    <row r="29" spans="1:41" ht="16.5" thickTop="1" thickBot="1" x14ac:dyDescent="0.3">
      <c r="A29" s="970"/>
      <c r="B29" s="518"/>
      <c r="D29" s="933"/>
      <c r="E29" s="952"/>
      <c r="G29" s="980"/>
      <c r="H29" s="981"/>
      <c r="I29" s="935"/>
    </row>
    <row r="30" spans="1:41" ht="15.75" thickTop="1" x14ac:dyDescent="0.25">
      <c r="A30" s="933" t="s">
        <v>968</v>
      </c>
      <c r="B30" s="956">
        <f>WEEKLY!E86</f>
        <v>3960</v>
      </c>
      <c r="D30" s="933" t="s">
        <v>633</v>
      </c>
      <c r="E30" s="966">
        <f>SUM(E22:E29)</f>
        <v>8339.8498678514461</v>
      </c>
      <c r="G30" s="617"/>
      <c r="H30" s="617" t="s">
        <v>775</v>
      </c>
      <c r="I30" s="935"/>
      <c r="J30" s="1534" t="s">
        <v>28</v>
      </c>
      <c r="K30" s="1529"/>
      <c r="L30" s="1528" t="s">
        <v>46</v>
      </c>
      <c r="M30" s="1529"/>
      <c r="N30" s="1528" t="s">
        <v>47</v>
      </c>
      <c r="O30" s="1529"/>
      <c r="P30" s="1514" t="s">
        <v>31</v>
      </c>
      <c r="Q30" s="1515"/>
      <c r="R30" s="570"/>
      <c r="S30" s="570"/>
      <c r="T30" s="1535" t="s">
        <v>607</v>
      </c>
      <c r="U30" s="1529"/>
      <c r="V30" s="1528" t="s">
        <v>769</v>
      </c>
      <c r="W30" s="1529"/>
      <c r="X30" s="1528" t="s">
        <v>769</v>
      </c>
      <c r="Y30" s="1529"/>
      <c r="Z30" s="1514" t="s">
        <v>769</v>
      </c>
      <c r="AA30" s="1515"/>
      <c r="AB30" s="1534" t="s">
        <v>770</v>
      </c>
      <c r="AC30" s="1529"/>
      <c r="AD30" s="1528" t="s">
        <v>770</v>
      </c>
      <c r="AE30" s="1529"/>
      <c r="AF30" s="1528" t="s">
        <v>769</v>
      </c>
      <c r="AG30" s="1529"/>
      <c r="AH30" s="1514" t="s">
        <v>769</v>
      </c>
      <c r="AI30" s="1515"/>
    </row>
    <row r="31" spans="1:41" ht="15.75" thickBot="1" x14ac:dyDescent="0.3">
      <c r="A31" s="933" t="s">
        <v>969</v>
      </c>
      <c r="B31" s="934">
        <f>B9*5</f>
        <v>1578.9473684210525</v>
      </c>
      <c r="D31" s="933"/>
      <c r="E31" s="956"/>
      <c r="G31" s="1518" t="s">
        <v>634</v>
      </c>
      <c r="H31" s="1519"/>
      <c r="I31" s="935"/>
      <c r="J31" s="1532" t="s">
        <v>569</v>
      </c>
      <c r="K31" s="1531"/>
      <c r="L31" s="1530" t="s">
        <v>569</v>
      </c>
      <c r="M31" s="1531"/>
      <c r="N31" s="1530" t="s">
        <v>569</v>
      </c>
      <c r="O31" s="1531"/>
      <c r="P31" s="1516" t="s">
        <v>569</v>
      </c>
      <c r="Q31" s="1517"/>
      <c r="R31" s="570"/>
      <c r="S31" s="570"/>
      <c r="T31" s="1533" t="s">
        <v>597</v>
      </c>
      <c r="U31" s="1531"/>
      <c r="V31" s="1530" t="s">
        <v>598</v>
      </c>
      <c r="W31" s="1531"/>
      <c r="X31" s="1530" t="s">
        <v>599</v>
      </c>
      <c r="Y31" s="1531"/>
      <c r="Z31" s="1516" t="s">
        <v>600</v>
      </c>
      <c r="AA31" s="1517"/>
      <c r="AB31" s="1532" t="s">
        <v>771</v>
      </c>
      <c r="AC31" s="1531"/>
      <c r="AD31" s="1530" t="s">
        <v>772</v>
      </c>
      <c r="AE31" s="1531"/>
      <c r="AF31" s="1530" t="s">
        <v>773</v>
      </c>
      <c r="AG31" s="1531"/>
      <c r="AH31" s="1516" t="s">
        <v>774</v>
      </c>
      <c r="AI31" s="1517"/>
    </row>
    <row r="32" spans="1:41" ht="15.75" thickTop="1" x14ac:dyDescent="0.25">
      <c r="A32" s="933"/>
      <c r="B32" s="518"/>
      <c r="D32" s="945"/>
      <c r="E32" s="965"/>
      <c r="G32" s="933" t="s">
        <v>785</v>
      </c>
      <c r="H32" s="934">
        <f>WEEKLY!E307</f>
        <v>12495</v>
      </c>
      <c r="I32" s="931"/>
      <c r="J32" s="937" t="s">
        <v>28</v>
      </c>
      <c r="K32" s="938">
        <f>E17</f>
        <v>8138.2873678514461</v>
      </c>
      <c r="L32" s="937" t="s">
        <v>46</v>
      </c>
      <c r="M32" s="938">
        <f>E30</f>
        <v>8339.8498678514461</v>
      </c>
      <c r="N32" s="937" t="s">
        <v>47</v>
      </c>
      <c r="O32" s="938">
        <f>E43</f>
        <v>6525.7873678514461</v>
      </c>
      <c r="P32" s="997" t="s">
        <v>31</v>
      </c>
      <c r="Q32" s="1037">
        <f>E56</f>
        <v>6129.8682502043876</v>
      </c>
      <c r="R32" s="570"/>
      <c r="S32" s="570"/>
      <c r="T32" s="1033" t="s">
        <v>52</v>
      </c>
      <c r="U32" s="938">
        <f>U21</f>
        <v>1477.7327935222672</v>
      </c>
      <c r="V32" s="937" t="s">
        <v>52</v>
      </c>
      <c r="W32" s="938">
        <f>U32</f>
        <v>1477.7327935222672</v>
      </c>
      <c r="X32" s="937" t="s">
        <v>52</v>
      </c>
      <c r="Y32" s="938">
        <f>U32</f>
        <v>1477.7327935222672</v>
      </c>
      <c r="Z32" s="997" t="s">
        <v>52</v>
      </c>
      <c r="AA32" s="1037">
        <f>U32</f>
        <v>1477.7327935222672</v>
      </c>
      <c r="AB32" s="937" t="s">
        <v>220</v>
      </c>
      <c r="AC32" s="938">
        <f>H16</f>
        <v>33519.249339257236</v>
      </c>
      <c r="AD32" s="937" t="s">
        <v>220</v>
      </c>
      <c r="AE32" s="938">
        <f>AC32</f>
        <v>33519.249339257236</v>
      </c>
      <c r="AF32" s="937" t="s">
        <v>220</v>
      </c>
      <c r="AG32" s="938">
        <f>AC32</f>
        <v>33519.249339257236</v>
      </c>
      <c r="AH32" s="997" t="s">
        <v>220</v>
      </c>
      <c r="AI32" s="1037">
        <f>AC32</f>
        <v>33519.249339257236</v>
      </c>
    </row>
    <row r="33" spans="1:42" x14ac:dyDescent="0.25">
      <c r="A33" s="933" t="s">
        <v>632</v>
      </c>
      <c r="B33" s="934">
        <f>SUM(B30:B32)</f>
        <v>5538.9473684210525</v>
      </c>
      <c r="E33" s="570" t="s">
        <v>775</v>
      </c>
      <c r="G33" s="933" t="s">
        <v>786</v>
      </c>
      <c r="H33" s="934">
        <f>WEEKLY!E310*0.8</f>
        <v>7680</v>
      </c>
      <c r="I33" s="931"/>
      <c r="J33" s="937" t="s">
        <v>635</v>
      </c>
      <c r="K33" s="938">
        <f>H51</f>
        <v>4885.1725000000006</v>
      </c>
      <c r="L33" s="937" t="s">
        <v>635</v>
      </c>
      <c r="M33" s="938">
        <f>K33</f>
        <v>4885.1725000000006</v>
      </c>
      <c r="N33" s="937" t="s">
        <v>635</v>
      </c>
      <c r="O33" s="938">
        <f>M33</f>
        <v>4885.1725000000006</v>
      </c>
      <c r="P33" s="997" t="s">
        <v>635</v>
      </c>
      <c r="Q33" s="1037">
        <f>O33</f>
        <v>4885.1725000000006</v>
      </c>
      <c r="R33" s="570"/>
      <c r="S33" s="570"/>
      <c r="T33" s="1033" t="s">
        <v>840</v>
      </c>
      <c r="U33" s="938">
        <f>WEEKLY!E34*3</f>
        <v>1800</v>
      </c>
      <c r="V33" s="937" t="s">
        <v>228</v>
      </c>
      <c r="W33" s="938">
        <f>WEEKLY!E31*2</f>
        <v>2600</v>
      </c>
      <c r="X33" s="937" t="s">
        <v>595</v>
      </c>
      <c r="Y33" s="938">
        <f>WEEKLY!E35*6</f>
        <v>3840</v>
      </c>
      <c r="Z33" s="997" t="s">
        <v>228</v>
      </c>
      <c r="AA33" s="1037">
        <f>WEEKLY!E31</f>
        <v>1300</v>
      </c>
      <c r="AB33" s="937"/>
      <c r="AC33" s="938"/>
      <c r="AD33" s="937"/>
      <c r="AE33" s="938"/>
      <c r="AF33" s="937" t="s">
        <v>52</v>
      </c>
      <c r="AG33" s="938">
        <f>K10*5</f>
        <v>7388.6639676113364</v>
      </c>
      <c r="AH33" s="997" t="s">
        <v>52</v>
      </c>
      <c r="AI33" s="1037">
        <f>AG33</f>
        <v>7388.6639676113364</v>
      </c>
    </row>
    <row r="34" spans="1:42" x14ac:dyDescent="0.25">
      <c r="A34" s="945"/>
      <c r="B34" s="946"/>
      <c r="D34" s="1518" t="s">
        <v>47</v>
      </c>
      <c r="E34" s="1519"/>
      <c r="G34" s="933" t="s">
        <v>787</v>
      </c>
      <c r="H34" s="934">
        <f>B9*1.6</f>
        <v>505.26315789473688</v>
      </c>
      <c r="I34" s="931"/>
      <c r="J34" s="937" t="s">
        <v>104</v>
      </c>
      <c r="K34" s="938">
        <f>E154</f>
        <v>1446.2666666666669</v>
      </c>
      <c r="L34" s="937" t="s">
        <v>104</v>
      </c>
      <c r="M34" s="938">
        <f>K34</f>
        <v>1446.2666666666669</v>
      </c>
      <c r="N34" s="937" t="s">
        <v>104</v>
      </c>
      <c r="O34" s="938">
        <f>M34</f>
        <v>1446.2666666666669</v>
      </c>
      <c r="P34" s="997" t="s">
        <v>104</v>
      </c>
      <c r="Q34" s="1037">
        <f>O34</f>
        <v>1446.2666666666669</v>
      </c>
      <c r="R34" s="570"/>
      <c r="S34" s="570"/>
      <c r="T34" s="1033" t="s">
        <v>271</v>
      </c>
      <c r="U34" s="938">
        <f>B100</f>
        <v>2967.4633082706764</v>
      </c>
      <c r="V34" s="937" t="s">
        <v>271</v>
      </c>
      <c r="W34" s="938">
        <f>U34</f>
        <v>2967.4633082706764</v>
      </c>
      <c r="X34" s="937" t="s">
        <v>271</v>
      </c>
      <c r="Y34" s="938">
        <f>U34</f>
        <v>2967.4633082706764</v>
      </c>
      <c r="Z34" s="997" t="s">
        <v>840</v>
      </c>
      <c r="AA34" s="1037">
        <f>WEEKLY!E34</f>
        <v>600</v>
      </c>
      <c r="AB34" s="937" t="s">
        <v>104</v>
      </c>
      <c r="AC34" s="938">
        <f>H168</f>
        <v>3573.5</v>
      </c>
      <c r="AD34" s="937" t="s">
        <v>104</v>
      </c>
      <c r="AE34" s="938">
        <f>AC34</f>
        <v>3573.5</v>
      </c>
      <c r="AF34" s="937" t="s">
        <v>104</v>
      </c>
      <c r="AG34" s="938">
        <f>AC34</f>
        <v>3573.5</v>
      </c>
      <c r="AH34" s="997" t="s">
        <v>104</v>
      </c>
      <c r="AI34" s="1037">
        <f>AG34</f>
        <v>3573.5</v>
      </c>
    </row>
    <row r="35" spans="1:42" x14ac:dyDescent="0.25">
      <c r="A35" s="617"/>
      <c r="B35" s="617" t="s">
        <v>775</v>
      </c>
      <c r="D35" s="933" t="s">
        <v>636</v>
      </c>
      <c r="E35" s="934">
        <f>WEEKLY!E14</f>
        <v>4635.9375</v>
      </c>
      <c r="G35" s="933" t="s">
        <v>788</v>
      </c>
      <c r="H35" s="934">
        <f>WEEKLY!E282/16*8</f>
        <v>1161</v>
      </c>
      <c r="I35" s="931"/>
      <c r="J35" s="937" t="s">
        <v>321</v>
      </c>
      <c r="K35" s="938">
        <f>'[1]WEEKLY FC'!E287/1000*30</f>
        <v>0</v>
      </c>
      <c r="L35" s="937" t="s">
        <v>321</v>
      </c>
      <c r="M35" s="938">
        <f>K35</f>
        <v>0</v>
      </c>
      <c r="N35" s="937" t="s">
        <v>321</v>
      </c>
      <c r="O35" s="938">
        <f>K35</f>
        <v>0</v>
      </c>
      <c r="P35" s="997" t="s">
        <v>321</v>
      </c>
      <c r="Q35" s="1037">
        <f>K35</f>
        <v>0</v>
      </c>
      <c r="R35" s="570"/>
      <c r="S35" s="570"/>
      <c r="T35" s="1033" t="s">
        <v>104</v>
      </c>
      <c r="U35" s="938">
        <f>E154</f>
        <v>1446.2666666666669</v>
      </c>
      <c r="V35" s="937" t="s">
        <v>104</v>
      </c>
      <c r="W35" s="938">
        <f>U35</f>
        <v>1446.2666666666669</v>
      </c>
      <c r="X35" s="937" t="s">
        <v>104</v>
      </c>
      <c r="Y35" s="938">
        <f>U35</f>
        <v>1446.2666666666669</v>
      </c>
      <c r="Z35" s="997" t="s">
        <v>595</v>
      </c>
      <c r="AA35" s="1037">
        <f>WEEKLY!E35*3</f>
        <v>1920</v>
      </c>
      <c r="AB35" s="937"/>
      <c r="AC35" s="938"/>
      <c r="AD35" s="937" t="s">
        <v>836</v>
      </c>
      <c r="AE35" s="938">
        <f>K33*5</f>
        <v>24425.862500000003</v>
      </c>
      <c r="AF35" s="937" t="s">
        <v>827</v>
      </c>
      <c r="AG35" s="938">
        <f>K12*5</f>
        <v>9584.203289473684</v>
      </c>
      <c r="AH35" s="997" t="s">
        <v>827</v>
      </c>
      <c r="AI35" s="1037">
        <f>AG35</f>
        <v>9584.203289473684</v>
      </c>
    </row>
    <row r="36" spans="1:42" x14ac:dyDescent="0.25">
      <c r="A36" s="1518" t="s">
        <v>637</v>
      </c>
      <c r="B36" s="1519"/>
      <c r="D36" s="933"/>
      <c r="E36" s="934"/>
      <c r="G36" s="933"/>
      <c r="H36" s="934"/>
      <c r="I36" s="931"/>
      <c r="J36" s="943" t="s">
        <v>63</v>
      </c>
      <c r="K36" s="971">
        <f>SUM(K32:K35)</f>
        <v>14469.726534518113</v>
      </c>
      <c r="L36" s="943" t="s">
        <v>63</v>
      </c>
      <c r="M36" s="971">
        <f>SUM(M32:M35)</f>
        <v>14671.289034518113</v>
      </c>
      <c r="N36" s="943" t="s">
        <v>63</v>
      </c>
      <c r="O36" s="971">
        <f>SUM(O32:O35)</f>
        <v>12857.226534518113</v>
      </c>
      <c r="P36" s="998" t="s">
        <v>63</v>
      </c>
      <c r="Q36" s="1042">
        <f>SUM(Q32:Q35)</f>
        <v>12461.307416871055</v>
      </c>
      <c r="R36" s="570"/>
      <c r="S36" s="570"/>
      <c r="T36" s="1034" t="s">
        <v>63</v>
      </c>
      <c r="U36" s="971">
        <f>SUM(U32:U35)</f>
        <v>7691.4627684596107</v>
      </c>
      <c r="V36" s="943" t="s">
        <v>63</v>
      </c>
      <c r="W36" s="971">
        <f>SUM(W32:W35)</f>
        <v>8491.4627684596107</v>
      </c>
      <c r="X36" s="943" t="s">
        <v>63</v>
      </c>
      <c r="Y36" s="971">
        <f>SUM(Y32:Y35)</f>
        <v>9731.4627684596107</v>
      </c>
      <c r="Z36" s="997" t="s">
        <v>271</v>
      </c>
      <c r="AA36" s="1059">
        <f>U34</f>
        <v>2967.4633082706764</v>
      </c>
      <c r="AB36" s="943" t="s">
        <v>63</v>
      </c>
      <c r="AC36" s="971">
        <f>SUM(AC32:AC35)</f>
        <v>37092.749339257236</v>
      </c>
      <c r="AD36" s="943" t="s">
        <v>63</v>
      </c>
      <c r="AE36" s="971">
        <f>SUM(AE32:AE35)</f>
        <v>61518.611839257239</v>
      </c>
      <c r="AF36" s="943" t="s">
        <v>63</v>
      </c>
      <c r="AG36" s="971">
        <f>SUM(AG32:AG35)</f>
        <v>54065.616596342254</v>
      </c>
      <c r="AH36" s="997" t="s">
        <v>836</v>
      </c>
      <c r="AI36" s="1059">
        <f>AE35</f>
        <v>24425.862500000003</v>
      </c>
    </row>
    <row r="37" spans="1:42" x14ac:dyDescent="0.25">
      <c r="A37" s="933" t="s">
        <v>638</v>
      </c>
      <c r="B37" s="956">
        <f>WEEKLY!E84</f>
        <v>86625</v>
      </c>
      <c r="D37" s="933" t="s">
        <v>329</v>
      </c>
      <c r="E37" s="934">
        <f t="shared" ref="E37:E41" si="2">E24</f>
        <v>457.14285714285717</v>
      </c>
      <c r="G37" s="933"/>
      <c r="H37" s="934"/>
      <c r="I37" s="931"/>
      <c r="J37" s="937"/>
      <c r="K37" s="941"/>
      <c r="L37" s="937"/>
      <c r="M37" s="941"/>
      <c r="N37" s="937"/>
      <c r="O37" s="941"/>
      <c r="P37" s="997"/>
      <c r="Q37" s="1038"/>
      <c r="R37" s="570"/>
      <c r="S37" s="570"/>
      <c r="T37" s="1033"/>
      <c r="U37" s="941"/>
      <c r="V37" s="937"/>
      <c r="W37" s="941"/>
      <c r="X37" s="937"/>
      <c r="Y37" s="941"/>
      <c r="Z37" s="997" t="s">
        <v>104</v>
      </c>
      <c r="AA37" s="1038">
        <f>U35</f>
        <v>1446.2666666666669</v>
      </c>
      <c r="AB37" s="937"/>
      <c r="AC37" s="941"/>
      <c r="AD37" s="937"/>
      <c r="AE37" s="941"/>
      <c r="AF37" s="937"/>
      <c r="AG37" s="941"/>
      <c r="AH37" s="1057" t="s">
        <v>63</v>
      </c>
      <c r="AI37" s="1058">
        <f>SUM(AI32:AI36)</f>
        <v>78491.479096342257</v>
      </c>
    </row>
    <row r="38" spans="1:42" x14ac:dyDescent="0.25">
      <c r="A38" s="933" t="s">
        <v>639</v>
      </c>
      <c r="B38" s="956">
        <f>B9*10</f>
        <v>3157.894736842105</v>
      </c>
      <c r="D38" s="933" t="s">
        <v>616</v>
      </c>
      <c r="E38" s="942">
        <f t="shared" si="2"/>
        <v>184.17142857142858</v>
      </c>
      <c r="G38" s="933" t="s">
        <v>789</v>
      </c>
      <c r="H38" s="934">
        <f>SUM(H32:H35)/45</f>
        <v>485.3614035087719</v>
      </c>
      <c r="I38" s="931"/>
      <c r="J38" s="937"/>
      <c r="K38" s="954"/>
      <c r="L38" s="937"/>
      <c r="M38" s="954"/>
      <c r="N38" s="937"/>
      <c r="O38" s="951"/>
      <c r="P38" s="997"/>
      <c r="Q38" s="1043"/>
      <c r="R38" s="570"/>
      <c r="S38" s="570"/>
      <c r="T38" s="1033"/>
      <c r="U38" s="954"/>
      <c r="V38" s="937"/>
      <c r="W38" s="954"/>
      <c r="X38" s="937"/>
      <c r="Y38" s="951"/>
      <c r="Z38" s="1057" t="s">
        <v>63</v>
      </c>
      <c r="AA38" s="1060">
        <f>SUM(AA32:AA37)</f>
        <v>9711.4627684596107</v>
      </c>
      <c r="AB38" s="937"/>
      <c r="AC38" s="954"/>
      <c r="AD38" s="937"/>
      <c r="AE38" s="954"/>
      <c r="AF38" s="937"/>
      <c r="AG38" s="951"/>
      <c r="AH38" s="997"/>
      <c r="AI38" s="1043"/>
    </row>
    <row r="39" spans="1:42" ht="15.75" thickBot="1" x14ac:dyDescent="0.3">
      <c r="A39" s="933" t="s">
        <v>640</v>
      </c>
      <c r="B39" s="934">
        <f>B18*0.7</f>
        <v>8314.0350877192977</v>
      </c>
      <c r="D39" s="933" t="s">
        <v>92</v>
      </c>
      <c r="E39" s="942">
        <f t="shared" si="2"/>
        <v>712.87242424242424</v>
      </c>
      <c r="G39" s="945" t="s">
        <v>790</v>
      </c>
      <c r="H39" s="946">
        <f>SUM(H32:H35)/66</f>
        <v>330.92822966507174</v>
      </c>
      <c r="I39" s="935"/>
      <c r="J39" s="972"/>
      <c r="K39" s="929"/>
      <c r="L39" s="973"/>
      <c r="M39" s="974"/>
      <c r="N39" s="975"/>
      <c r="O39" s="974"/>
      <c r="P39" s="976"/>
      <c r="Q39" s="975"/>
      <c r="R39" s="570"/>
      <c r="S39" s="570"/>
      <c r="T39" s="1045"/>
      <c r="U39" s="929"/>
      <c r="V39" s="973"/>
      <c r="W39" s="974"/>
      <c r="X39" s="975"/>
      <c r="Y39" s="974"/>
      <c r="Z39" s="976"/>
      <c r="AA39" s="975"/>
      <c r="AB39" s="972"/>
      <c r="AC39" s="929"/>
      <c r="AD39" s="973"/>
      <c r="AE39" s="974"/>
      <c r="AF39" s="975"/>
      <c r="AG39" s="974"/>
      <c r="AH39" s="976"/>
      <c r="AI39" s="975"/>
      <c r="AP39" s="977"/>
    </row>
    <row r="40" spans="1:42" ht="15.75" thickTop="1" x14ac:dyDescent="0.25">
      <c r="A40" s="933"/>
      <c r="B40" s="956"/>
      <c r="D40" s="933" t="s">
        <v>620</v>
      </c>
      <c r="E40" s="949">
        <f t="shared" si="2"/>
        <v>2.7631578947368416</v>
      </c>
    </row>
    <row r="41" spans="1:42" ht="15.75" thickBot="1" x14ac:dyDescent="0.3">
      <c r="A41" s="933"/>
      <c r="B41" s="956"/>
      <c r="D41" s="933" t="s">
        <v>622</v>
      </c>
      <c r="E41" s="934">
        <f t="shared" si="2"/>
        <v>532.9</v>
      </c>
      <c r="H41" s="570" t="s">
        <v>775</v>
      </c>
    </row>
    <row r="42" spans="1:42" ht="15.75" thickTop="1" x14ac:dyDescent="0.25">
      <c r="A42" s="933" t="s">
        <v>641</v>
      </c>
      <c r="B42" s="934">
        <f>SUM(B37:B40)</f>
        <v>98096.929824561405</v>
      </c>
      <c r="D42" s="933"/>
      <c r="E42" s="952"/>
      <c r="G42" s="1518" t="s">
        <v>642</v>
      </c>
      <c r="H42" s="1519"/>
      <c r="J42" s="1536" t="s">
        <v>643</v>
      </c>
      <c r="K42" s="1536"/>
      <c r="L42" s="1536" t="s">
        <v>644</v>
      </c>
      <c r="M42" s="1536"/>
      <c r="N42" s="1536" t="s">
        <v>645</v>
      </c>
      <c r="O42" s="1536"/>
      <c r="P42" s="1536" t="s">
        <v>646</v>
      </c>
      <c r="Q42" s="1536"/>
      <c r="R42" s="1536" t="s">
        <v>647</v>
      </c>
      <c r="S42" s="1536"/>
      <c r="V42" s="1535" t="s">
        <v>845</v>
      </c>
      <c r="W42" s="1529"/>
      <c r="X42" s="1528" t="s">
        <v>845</v>
      </c>
      <c r="Y42" s="1529"/>
      <c r="Z42" s="1528" t="s">
        <v>845</v>
      </c>
      <c r="AA42" s="1529"/>
    </row>
    <row r="43" spans="1:42" ht="15.75" thickBot="1" x14ac:dyDescent="0.3">
      <c r="A43" s="933" t="s">
        <v>629</v>
      </c>
      <c r="B43" s="934">
        <f>B42/47</f>
        <v>2087.1687196715193</v>
      </c>
      <c r="D43" s="933" t="s">
        <v>648</v>
      </c>
      <c r="E43" s="966">
        <f>SUM(E35:E42)</f>
        <v>6525.7873678514461</v>
      </c>
      <c r="G43" s="933" t="s">
        <v>781</v>
      </c>
      <c r="H43" s="518">
        <f>WEEKLY!E284*0.1</f>
        <v>8000</v>
      </c>
      <c r="J43" s="210"/>
      <c r="K43" s="978"/>
      <c r="L43" s="210"/>
      <c r="M43" s="979"/>
      <c r="N43" s="210"/>
      <c r="O43" s="979"/>
      <c r="P43" s="210"/>
      <c r="Q43" s="978"/>
      <c r="R43" s="210"/>
      <c r="S43" s="978"/>
      <c r="V43" s="1533">
        <v>1</v>
      </c>
      <c r="W43" s="1531"/>
      <c r="X43" s="1530">
        <v>2</v>
      </c>
      <c r="Y43" s="1531"/>
      <c r="Z43" s="1530">
        <v>3</v>
      </c>
      <c r="AA43" s="1531"/>
    </row>
    <row r="44" spans="1:42" ht="15.75" thickTop="1" x14ac:dyDescent="0.25">
      <c r="A44" s="933" t="s">
        <v>649</v>
      </c>
      <c r="B44" s="956">
        <f>B10*100</f>
        <v>140</v>
      </c>
      <c r="D44" s="933"/>
      <c r="E44" s="956"/>
      <c r="G44" s="933" t="s">
        <v>782</v>
      </c>
      <c r="H44" s="956">
        <f>WEEKLY!E286*0.1</f>
        <v>4000</v>
      </c>
      <c r="J44" s="210"/>
      <c r="K44" s="978"/>
      <c r="L44" s="210"/>
      <c r="M44" s="979"/>
      <c r="N44" s="210"/>
      <c r="O44" s="979"/>
      <c r="P44" s="210"/>
      <c r="Q44" s="978"/>
      <c r="R44" s="210"/>
      <c r="S44" s="978"/>
      <c r="V44" s="1033" t="s">
        <v>31</v>
      </c>
      <c r="W44" s="938">
        <f>K11</f>
        <v>6129.8682502043876</v>
      </c>
      <c r="X44" s="937" t="s">
        <v>30</v>
      </c>
      <c r="Y44" s="938">
        <f>M11</f>
        <v>31153.422565219869</v>
      </c>
      <c r="Z44" s="937" t="s">
        <v>846</v>
      </c>
      <c r="AA44" s="938">
        <f>O11</f>
        <v>8138.2873678514461</v>
      </c>
    </row>
    <row r="45" spans="1:42" x14ac:dyDescent="0.25">
      <c r="A45" s="933" t="s">
        <v>650</v>
      </c>
      <c r="B45" s="956">
        <f>SUM(B43:B44)</f>
        <v>2227.1687196715193</v>
      </c>
      <c r="D45" s="980"/>
      <c r="E45" s="981"/>
      <c r="G45" s="933" t="s">
        <v>783</v>
      </c>
      <c r="H45" s="956">
        <f>WEEKLY!E285*0.8</f>
        <v>66666.400000000009</v>
      </c>
      <c r="J45" s="210"/>
      <c r="K45" s="210"/>
      <c r="L45" s="210"/>
      <c r="M45" s="979"/>
      <c r="N45" s="210"/>
      <c r="O45" s="210"/>
      <c r="P45" s="210"/>
      <c r="Q45" s="210"/>
      <c r="R45" s="210"/>
      <c r="S45" s="210"/>
      <c r="V45" s="1033" t="s">
        <v>52</v>
      </c>
      <c r="W45" s="938">
        <f>K10</f>
        <v>1477.7327935222672</v>
      </c>
      <c r="X45" s="937" t="s">
        <v>52</v>
      </c>
      <c r="Y45" s="938">
        <f>W45</f>
        <v>1477.7327935222672</v>
      </c>
      <c r="Z45" s="937" t="s">
        <v>52</v>
      </c>
      <c r="AA45" s="938">
        <f>W45</f>
        <v>1477.7327935222672</v>
      </c>
    </row>
    <row r="46" spans="1:42" x14ac:dyDescent="0.25">
      <c r="A46" s="933"/>
      <c r="B46" s="956"/>
      <c r="E46" s="570" t="s">
        <v>775</v>
      </c>
      <c r="G46" s="933" t="s">
        <v>780</v>
      </c>
      <c r="H46" s="956">
        <f>WEEKLY!E279*0.1</f>
        <v>4000</v>
      </c>
      <c r="J46" s="210"/>
      <c r="K46" s="210"/>
      <c r="L46" s="210"/>
      <c r="M46" s="979"/>
      <c r="N46" s="210"/>
      <c r="O46" s="210"/>
      <c r="P46" s="210"/>
      <c r="Q46" s="210"/>
      <c r="R46" s="210"/>
      <c r="S46" s="210"/>
      <c r="V46" s="1033" t="s">
        <v>104</v>
      </c>
      <c r="W46" s="938">
        <f>K13</f>
        <v>1446.2666666666669</v>
      </c>
      <c r="X46" s="937" t="s">
        <v>104</v>
      </c>
      <c r="Y46" s="938">
        <f>W46</f>
        <v>1446.2666666666669</v>
      </c>
      <c r="Z46" s="937" t="s">
        <v>104</v>
      </c>
      <c r="AA46" s="938">
        <f>W46</f>
        <v>1446.2666666666669</v>
      </c>
    </row>
    <row r="47" spans="1:42" x14ac:dyDescent="0.25">
      <c r="A47" s="933"/>
      <c r="B47" s="982"/>
      <c r="D47" s="1518" t="s">
        <v>31</v>
      </c>
      <c r="E47" s="1519"/>
      <c r="G47" s="933" t="s">
        <v>779</v>
      </c>
      <c r="H47" s="956">
        <f>WEEKLY!E316</f>
        <v>6445</v>
      </c>
      <c r="J47" s="210"/>
      <c r="K47" s="978"/>
      <c r="L47" s="210"/>
      <c r="M47" s="979"/>
      <c r="N47" s="210"/>
      <c r="O47" s="978"/>
      <c r="P47" s="210"/>
      <c r="Q47" s="210"/>
      <c r="R47" s="210"/>
      <c r="S47" s="210"/>
      <c r="V47" s="1033" t="s">
        <v>265</v>
      </c>
      <c r="W47" s="938">
        <f>WEEKLY!E79</f>
        <v>0</v>
      </c>
      <c r="X47" s="937" t="s">
        <v>265</v>
      </c>
      <c r="Y47" s="938">
        <f>W47</f>
        <v>0</v>
      </c>
      <c r="Z47" s="937" t="s">
        <v>265</v>
      </c>
      <c r="AA47" s="938">
        <f>W47</f>
        <v>0</v>
      </c>
    </row>
    <row r="48" spans="1:42" x14ac:dyDescent="0.25">
      <c r="A48" s="933"/>
      <c r="B48" s="518"/>
      <c r="D48" s="933" t="s">
        <v>651</v>
      </c>
      <c r="E48" s="934">
        <f>WEEKLY!E15</f>
        <v>4240.0183823529414</v>
      </c>
      <c r="G48" s="933" t="s">
        <v>784</v>
      </c>
      <c r="H48" s="956">
        <f>WEEKLY!E146*0.5</f>
        <v>11762.395</v>
      </c>
      <c r="J48" s="210"/>
      <c r="K48" s="210"/>
      <c r="L48" s="210"/>
      <c r="M48" s="979"/>
      <c r="N48" s="210"/>
      <c r="O48" s="210"/>
      <c r="P48" s="210"/>
      <c r="Q48" s="210"/>
      <c r="R48" s="210"/>
      <c r="S48" s="210"/>
      <c r="V48" s="1034" t="s">
        <v>63</v>
      </c>
      <c r="W48" s="971">
        <f>SUM(W44:W47)</f>
        <v>9053.8677103933223</v>
      </c>
      <c r="X48" s="943" t="s">
        <v>63</v>
      </c>
      <c r="Y48" s="971">
        <f>SUM(Y44:Y47)</f>
        <v>34077.422025408807</v>
      </c>
      <c r="Z48" s="943" t="s">
        <v>63</v>
      </c>
      <c r="AA48" s="971">
        <f>SUM(AA44:AA47)</f>
        <v>11062.28682804038</v>
      </c>
    </row>
    <row r="49" spans="1:27" x14ac:dyDescent="0.25">
      <c r="A49" s="933" t="s">
        <v>652</v>
      </c>
      <c r="B49" s="518"/>
      <c r="D49" s="933"/>
      <c r="E49" s="934"/>
      <c r="G49" s="933"/>
      <c r="H49" s="956"/>
      <c r="J49" s="210"/>
      <c r="K49" s="978"/>
      <c r="L49" s="210"/>
      <c r="M49" s="979"/>
      <c r="N49" s="210"/>
      <c r="O49" s="979"/>
      <c r="P49" s="210"/>
      <c r="Q49" s="210"/>
      <c r="R49" s="210"/>
      <c r="S49" s="210"/>
      <c r="V49" s="1033"/>
      <c r="W49" s="941"/>
      <c r="X49" s="937"/>
      <c r="Y49" s="941"/>
      <c r="Z49" s="937"/>
      <c r="AA49" s="941"/>
    </row>
    <row r="50" spans="1:27" x14ac:dyDescent="0.25">
      <c r="A50" s="933" t="s">
        <v>637</v>
      </c>
      <c r="B50" s="934">
        <f>B45</f>
        <v>2227.1687196715193</v>
      </c>
      <c r="D50" s="933" t="s">
        <v>329</v>
      </c>
      <c r="E50" s="934">
        <f t="shared" ref="E50:E53" si="3">E37</f>
        <v>457.14285714285717</v>
      </c>
      <c r="G50" s="933" t="s">
        <v>641</v>
      </c>
      <c r="H50" s="956">
        <f>SUM(H43:H48)</f>
        <v>100873.79500000001</v>
      </c>
      <c r="J50" s="983" t="s">
        <v>63</v>
      </c>
      <c r="K50" s="984">
        <f>SUM(K43:K49)</f>
        <v>0</v>
      </c>
      <c r="L50" s="983" t="s">
        <v>63</v>
      </c>
      <c r="M50" s="985">
        <f>SUM(M43:M49)</f>
        <v>0</v>
      </c>
      <c r="N50" s="983" t="s">
        <v>63</v>
      </c>
      <c r="O50" s="985">
        <f>SUM(O43:O49)</f>
        <v>0</v>
      </c>
      <c r="P50" s="983" t="s">
        <v>63</v>
      </c>
      <c r="Q50" s="984">
        <f>SUM(Q43:Q49)</f>
        <v>0</v>
      </c>
      <c r="R50" s="983" t="s">
        <v>63</v>
      </c>
      <c r="S50" s="984">
        <f>SUM(S43:S44)</f>
        <v>0</v>
      </c>
      <c r="V50" s="1033"/>
      <c r="W50" s="954"/>
      <c r="X50" s="937"/>
      <c r="Y50" s="954"/>
      <c r="Z50" s="937"/>
      <c r="AA50" s="951"/>
    </row>
    <row r="51" spans="1:27" ht="15.75" thickBot="1" x14ac:dyDescent="0.3">
      <c r="A51" s="933" t="s">
        <v>653</v>
      </c>
      <c r="B51" s="956">
        <f>WEEKLY!E125</f>
        <v>546</v>
      </c>
      <c r="D51" s="933" t="s">
        <v>616</v>
      </c>
      <c r="E51" s="942">
        <f t="shared" si="3"/>
        <v>184.17142857142858</v>
      </c>
      <c r="G51" s="986" t="s">
        <v>654</v>
      </c>
      <c r="H51" s="987">
        <f>H50/22+WEEKLY!E127</f>
        <v>4885.1725000000006</v>
      </c>
      <c r="K51" s="988"/>
      <c r="M51" s="988"/>
      <c r="O51" s="988"/>
      <c r="Q51" s="988"/>
      <c r="S51" s="988"/>
      <c r="V51" s="1045"/>
      <c r="W51" s="929"/>
      <c r="X51" s="973"/>
      <c r="Y51" s="974"/>
      <c r="Z51" s="975"/>
      <c r="AA51" s="974"/>
    </row>
    <row r="52" spans="1:27" ht="15.75" thickTop="1" x14ac:dyDescent="0.25">
      <c r="A52" s="933" t="s">
        <v>655</v>
      </c>
      <c r="B52" s="518">
        <f>WEEKLY!E121/1000</f>
        <v>37</v>
      </c>
      <c r="D52" s="933" t="s">
        <v>92</v>
      </c>
      <c r="E52" s="942">
        <f t="shared" si="3"/>
        <v>712.87242424242424</v>
      </c>
      <c r="G52" s="989"/>
      <c r="H52" s="987"/>
      <c r="I52" s="948"/>
      <c r="J52" s="570"/>
      <c r="L52" s="570"/>
      <c r="N52" s="570"/>
    </row>
    <row r="53" spans="1:27" x14ac:dyDescent="0.25">
      <c r="A53" s="933" t="s">
        <v>656</v>
      </c>
      <c r="B53" s="518">
        <f>WEEKLY!E113/500</f>
        <v>0.14000000000000001</v>
      </c>
      <c r="D53" s="933" t="s">
        <v>620</v>
      </c>
      <c r="E53" s="949">
        <f t="shared" si="3"/>
        <v>2.7631578947368416</v>
      </c>
      <c r="G53" s="990"/>
      <c r="H53" s="991"/>
      <c r="J53" s="570"/>
      <c r="L53" s="570"/>
      <c r="N53" s="570"/>
    </row>
    <row r="54" spans="1:27" x14ac:dyDescent="0.25">
      <c r="A54" s="933"/>
      <c r="B54" s="518"/>
      <c r="D54" s="933" t="s">
        <v>622</v>
      </c>
      <c r="E54" s="934">
        <f>E41</f>
        <v>532.9</v>
      </c>
      <c r="G54" s="609"/>
      <c r="H54" s="992" t="s">
        <v>775</v>
      </c>
      <c r="J54" s="570"/>
      <c r="L54" s="570"/>
      <c r="N54" s="570"/>
    </row>
    <row r="55" spans="1:27" x14ac:dyDescent="0.25">
      <c r="A55" s="933"/>
      <c r="B55" s="518"/>
      <c r="D55" s="933"/>
      <c r="E55" s="952"/>
      <c r="G55" s="1518" t="s">
        <v>657</v>
      </c>
      <c r="H55" s="1519"/>
      <c r="J55" s="570"/>
      <c r="L55" s="570"/>
      <c r="N55" s="570"/>
    </row>
    <row r="56" spans="1:27" x14ac:dyDescent="0.25">
      <c r="A56" s="933" t="s">
        <v>658</v>
      </c>
      <c r="B56" s="956">
        <f>SUM(B50:B55)</f>
        <v>2810.3087196715192</v>
      </c>
      <c r="D56" s="933" t="s">
        <v>659</v>
      </c>
      <c r="E56" s="966">
        <f>SUM(E48:E55)</f>
        <v>6129.8682502043876</v>
      </c>
      <c r="G56" s="933" t="s">
        <v>660</v>
      </c>
      <c r="H56" s="956">
        <f>WEEKLY!E28</f>
        <v>17500</v>
      </c>
      <c r="J56" s="570"/>
      <c r="L56" s="570"/>
      <c r="N56" s="570"/>
    </row>
    <row r="57" spans="1:27" x14ac:dyDescent="0.25">
      <c r="A57" s="945"/>
      <c r="B57" s="965"/>
      <c r="D57" s="933"/>
      <c r="E57" s="956"/>
      <c r="G57" s="933" t="s">
        <v>791</v>
      </c>
      <c r="H57" s="934">
        <f>B9*1.3</f>
        <v>410.5263157894737</v>
      </c>
      <c r="J57" s="570"/>
      <c r="L57" s="570"/>
      <c r="N57" s="570"/>
    </row>
    <row r="58" spans="1:27" x14ac:dyDescent="0.25">
      <c r="A58" s="617"/>
      <c r="B58" s="617" t="s">
        <v>775</v>
      </c>
      <c r="D58" s="980"/>
      <c r="E58" s="981"/>
      <c r="G58" s="933" t="s">
        <v>661</v>
      </c>
      <c r="H58" s="934">
        <f>SUM(H56:H57)</f>
        <v>17910.526315789473</v>
      </c>
      <c r="J58" s="570"/>
      <c r="L58" s="570"/>
      <c r="N58" s="570"/>
    </row>
    <row r="59" spans="1:27" x14ac:dyDescent="0.25">
      <c r="A59" s="1539" t="s">
        <v>604</v>
      </c>
      <c r="B59" s="1540"/>
      <c r="E59" s="570" t="s">
        <v>775</v>
      </c>
      <c r="G59" s="933" t="s">
        <v>629</v>
      </c>
      <c r="H59" s="934">
        <f>H58/13</f>
        <v>1377.7327935222672</v>
      </c>
      <c r="J59" s="570"/>
      <c r="L59" s="570"/>
      <c r="N59" s="570"/>
    </row>
    <row r="60" spans="1:27" x14ac:dyDescent="0.25">
      <c r="A60" s="933" t="s">
        <v>662</v>
      </c>
      <c r="B60" s="956">
        <f>WEEKLY!E83</f>
        <v>133100</v>
      </c>
      <c r="D60" s="1518" t="s">
        <v>663</v>
      </c>
      <c r="E60" s="1519"/>
      <c r="G60" s="933" t="s">
        <v>284</v>
      </c>
      <c r="H60" s="956">
        <f>WEEKLY!E117</f>
        <v>100</v>
      </c>
      <c r="J60" s="570"/>
      <c r="L60" s="570"/>
      <c r="N60" s="570"/>
    </row>
    <row r="61" spans="1:27" x14ac:dyDescent="0.25">
      <c r="A61" s="933" t="s">
        <v>664</v>
      </c>
      <c r="B61" s="934">
        <f>B9</f>
        <v>315.78947368421052</v>
      </c>
      <c r="D61" s="933" t="s">
        <v>665</v>
      </c>
      <c r="E61" s="934">
        <f>WEEKLY!E11/2</f>
        <v>2620.3125</v>
      </c>
      <c r="G61" s="993" t="s">
        <v>63</v>
      </c>
      <c r="H61" s="994">
        <f>H59+H60</f>
        <v>1477.7327935222672</v>
      </c>
      <c r="J61" s="570"/>
      <c r="L61" s="570"/>
      <c r="N61" s="570"/>
    </row>
    <row r="62" spans="1:27" x14ac:dyDescent="0.25">
      <c r="A62" s="933" t="s">
        <v>666</v>
      </c>
      <c r="B62" s="934">
        <f>B9*10</f>
        <v>3157.894736842105</v>
      </c>
      <c r="D62" s="933"/>
      <c r="E62" s="934"/>
      <c r="G62" s="989"/>
      <c r="H62" s="936"/>
      <c r="P62" s="570"/>
      <c r="R62" s="570"/>
    </row>
    <row r="63" spans="1:27" x14ac:dyDescent="0.25">
      <c r="A63" s="933" t="s">
        <v>667</v>
      </c>
      <c r="B63" s="934">
        <f>B18*1.6</f>
        <v>19003.508771929824</v>
      </c>
      <c r="D63" s="933" t="s">
        <v>668</v>
      </c>
      <c r="E63" s="934">
        <f>SUM(WEEKLY!E282/16)/4</f>
        <v>36.28125</v>
      </c>
      <c r="G63" s="995"/>
      <c r="H63" s="996"/>
      <c r="P63" s="570"/>
      <c r="R63" s="570"/>
    </row>
    <row r="64" spans="1:27" x14ac:dyDescent="0.25">
      <c r="A64" s="933"/>
      <c r="B64" s="518"/>
      <c r="D64" s="933" t="s">
        <v>669</v>
      </c>
      <c r="E64" s="934">
        <f>E13</f>
        <v>712.87242424242424</v>
      </c>
      <c r="H64" s="570" t="s">
        <v>775</v>
      </c>
      <c r="P64" s="570"/>
      <c r="R64" s="570"/>
    </row>
    <row r="65" spans="1:18" x14ac:dyDescent="0.25">
      <c r="A65" s="933" t="s">
        <v>670</v>
      </c>
      <c r="B65" s="934">
        <f>SUM(B60:B64)</f>
        <v>155577.19298245615</v>
      </c>
      <c r="D65" s="933" t="s">
        <v>671</v>
      </c>
      <c r="E65" s="934"/>
      <c r="G65" s="1518" t="s">
        <v>672</v>
      </c>
      <c r="H65" s="1519"/>
      <c r="P65" s="570"/>
      <c r="R65" s="570"/>
    </row>
    <row r="66" spans="1:18" x14ac:dyDescent="0.25">
      <c r="A66" s="933" t="s">
        <v>673</v>
      </c>
      <c r="B66" s="934">
        <f>B65/50</f>
        <v>3111.5438596491231</v>
      </c>
      <c r="D66" s="933"/>
      <c r="E66" s="934"/>
      <c r="G66" s="933" t="s">
        <v>674</v>
      </c>
      <c r="H66" s="956">
        <f>WEEKLY!E29*0.1</f>
        <v>3000</v>
      </c>
      <c r="P66" s="570"/>
      <c r="R66" s="570"/>
    </row>
    <row r="67" spans="1:18" x14ac:dyDescent="0.25">
      <c r="A67" s="933" t="s">
        <v>649</v>
      </c>
      <c r="B67" s="966">
        <f>B44</f>
        <v>140</v>
      </c>
      <c r="D67" s="933" t="s">
        <v>675</v>
      </c>
      <c r="E67" s="934">
        <f>SUM(E61:E66)</f>
        <v>3369.4661742424241</v>
      </c>
      <c r="G67" s="933" t="s">
        <v>669</v>
      </c>
      <c r="H67" s="966">
        <f>E64</f>
        <v>712.87242424242424</v>
      </c>
      <c r="P67" s="570"/>
      <c r="R67" s="570"/>
    </row>
    <row r="68" spans="1:18" x14ac:dyDescent="0.25">
      <c r="A68" s="933" t="s">
        <v>676</v>
      </c>
      <c r="B68" s="956">
        <f>SUM(B66:B67)</f>
        <v>3251.5438596491231</v>
      </c>
      <c r="D68" s="933" t="s">
        <v>817</v>
      </c>
      <c r="E68" s="934">
        <f>WEEKLY!E292/1000*250</f>
        <v>7000</v>
      </c>
      <c r="G68" s="933" t="s">
        <v>677</v>
      </c>
      <c r="H68" s="518">
        <f>WEEKLY!E126</f>
        <v>164</v>
      </c>
      <c r="P68" s="570"/>
      <c r="R68" s="570"/>
    </row>
    <row r="69" spans="1:18" x14ac:dyDescent="0.25">
      <c r="A69" s="933"/>
      <c r="B69" s="956"/>
      <c r="D69" s="933" t="s">
        <v>818</v>
      </c>
      <c r="E69" s="934">
        <f>WEEKLY!E275/1000*250</f>
        <v>6250</v>
      </c>
      <c r="G69" s="933" t="s">
        <v>622</v>
      </c>
      <c r="H69" s="966">
        <f>E54</f>
        <v>532.9</v>
      </c>
      <c r="P69" s="570"/>
      <c r="R69" s="570"/>
    </row>
    <row r="70" spans="1:18" x14ac:dyDescent="0.25">
      <c r="A70" s="933"/>
      <c r="B70" s="999"/>
      <c r="D70" s="933" t="s">
        <v>678</v>
      </c>
      <c r="E70" s="934">
        <f>E144</f>
        <v>579.45639097744368</v>
      </c>
      <c r="G70" s="933" t="s">
        <v>618</v>
      </c>
      <c r="H70" s="956">
        <f>SUM(H66:H69)</f>
        <v>4409.7724242424238</v>
      </c>
      <c r="P70" s="570"/>
      <c r="R70" s="570"/>
    </row>
    <row r="71" spans="1:18" x14ac:dyDescent="0.25">
      <c r="A71" s="933"/>
      <c r="B71" s="518"/>
      <c r="D71" s="933" t="s">
        <v>679</v>
      </c>
      <c r="E71" s="934">
        <f>WEEKLY!E46/200*5</f>
        <v>175</v>
      </c>
      <c r="G71" s="933" t="s">
        <v>841</v>
      </c>
      <c r="H71" s="956">
        <f>SUM(H67:H69)+'TO-TI'!D18/45</f>
        <v>4508.0057575757573</v>
      </c>
      <c r="P71" s="570"/>
      <c r="R71" s="570"/>
    </row>
    <row r="72" spans="1:18" x14ac:dyDescent="0.25">
      <c r="A72" s="933"/>
      <c r="B72" s="518"/>
      <c r="D72" s="933" t="s">
        <v>819</v>
      </c>
      <c r="E72" s="934">
        <f>WEEKLY!E291/1000*250</f>
        <v>8000</v>
      </c>
      <c r="G72" s="945"/>
      <c r="H72" s="965"/>
    </row>
    <row r="73" spans="1:18" x14ac:dyDescent="0.25">
      <c r="A73" s="1001" t="s">
        <v>652</v>
      </c>
      <c r="B73" s="518"/>
      <c r="D73" s="933" t="s">
        <v>680</v>
      </c>
      <c r="E73" s="934">
        <f>SUM(E66:E70)</f>
        <v>17198.922565219869</v>
      </c>
      <c r="F73" s="609"/>
      <c r="H73" s="570" t="s">
        <v>775</v>
      </c>
    </row>
    <row r="74" spans="1:18" x14ac:dyDescent="0.25">
      <c r="A74" s="933" t="s">
        <v>604</v>
      </c>
      <c r="B74" s="934">
        <f>B68</f>
        <v>3251.5438596491231</v>
      </c>
      <c r="D74" s="933"/>
      <c r="E74" s="956"/>
      <c r="G74" s="1518" t="s">
        <v>681</v>
      </c>
      <c r="H74" s="1519"/>
    </row>
    <row r="75" spans="1:18" x14ac:dyDescent="0.25">
      <c r="A75" s="933" t="s">
        <v>653</v>
      </c>
      <c r="B75" s="966">
        <f>B51</f>
        <v>546</v>
      </c>
      <c r="D75" s="1001"/>
      <c r="E75" s="982"/>
      <c r="G75" s="933" t="s">
        <v>682</v>
      </c>
      <c r="H75" s="934">
        <f>H58/11</f>
        <v>1628.2296650717703</v>
      </c>
    </row>
    <row r="76" spans="1:18" x14ac:dyDescent="0.25">
      <c r="A76" s="933" t="s">
        <v>655</v>
      </c>
      <c r="B76" s="518">
        <f>B52</f>
        <v>37</v>
      </c>
      <c r="D76" s="1001"/>
      <c r="E76" s="518"/>
      <c r="G76" s="933" t="s">
        <v>683</v>
      </c>
      <c r="H76" s="934">
        <f>WEEKLY!E11/5</f>
        <v>1048.125</v>
      </c>
    </row>
    <row r="77" spans="1:18" x14ac:dyDescent="0.25">
      <c r="A77" s="933" t="s">
        <v>656</v>
      </c>
      <c r="B77" s="518">
        <f>B53</f>
        <v>0.14000000000000001</v>
      </c>
      <c r="D77" s="1001" t="s">
        <v>652</v>
      </c>
      <c r="E77" s="518"/>
      <c r="G77" s="933" t="s">
        <v>684</v>
      </c>
      <c r="H77" s="934">
        <f>WEEKLY!E282/16*0.5</f>
        <v>72.5625</v>
      </c>
    </row>
    <row r="78" spans="1:18" x14ac:dyDescent="0.25">
      <c r="A78" s="933"/>
      <c r="B78" s="518"/>
      <c r="D78" s="933" t="s">
        <v>685</v>
      </c>
      <c r="E78" s="934">
        <f>WEEKLY!E115</f>
        <v>1058</v>
      </c>
      <c r="G78" s="933" t="s">
        <v>686</v>
      </c>
      <c r="H78" s="934">
        <v>500</v>
      </c>
    </row>
    <row r="79" spans="1:18" x14ac:dyDescent="0.25">
      <c r="A79" s="933" t="s">
        <v>687</v>
      </c>
      <c r="B79" s="1002">
        <f>SUM(B73:B77)</f>
        <v>3834.683859649123</v>
      </c>
      <c r="D79" s="933" t="s">
        <v>688</v>
      </c>
      <c r="E79" s="934">
        <f>E54</f>
        <v>532.9</v>
      </c>
      <c r="G79" s="933" t="s">
        <v>689</v>
      </c>
      <c r="H79" s="934">
        <f>WEEKLY!E283/1000*10</f>
        <v>500</v>
      </c>
    </row>
    <row r="80" spans="1:18" x14ac:dyDescent="0.25">
      <c r="A80" s="945"/>
      <c r="B80" s="946"/>
      <c r="D80" s="933" t="s">
        <v>690</v>
      </c>
      <c r="E80" s="934">
        <f>WEEKLY!E110</f>
        <v>363.6</v>
      </c>
      <c r="G80" s="933" t="s">
        <v>691</v>
      </c>
      <c r="H80" s="934">
        <f>WEEKLY!E279/1000*2.5</f>
        <v>100</v>
      </c>
    </row>
    <row r="81" spans="1:19" x14ac:dyDescent="0.25">
      <c r="A81" s="617"/>
      <c r="B81" s="617" t="s">
        <v>775</v>
      </c>
      <c r="D81" s="933" t="s">
        <v>692</v>
      </c>
      <c r="E81" s="934">
        <f>E73</f>
        <v>17198.922565219869</v>
      </c>
      <c r="G81" s="933" t="s">
        <v>693</v>
      </c>
      <c r="H81" s="934">
        <f>WEEKLY!E318/25</f>
        <v>888</v>
      </c>
    </row>
    <row r="82" spans="1:19" x14ac:dyDescent="0.25">
      <c r="A82" s="1518" t="s">
        <v>586</v>
      </c>
      <c r="B82" s="1519"/>
      <c r="D82" s="933" t="s">
        <v>820</v>
      </c>
      <c r="E82" s="934">
        <f>WEEKLY!E128*2</f>
        <v>12000</v>
      </c>
      <c r="G82" s="933" t="s">
        <v>694</v>
      </c>
      <c r="H82" s="934">
        <f>WEEKLY!E146/1000*10</f>
        <v>235.24789999999999</v>
      </c>
    </row>
    <row r="83" spans="1:19" x14ac:dyDescent="0.25">
      <c r="A83" s="933" t="s">
        <v>695</v>
      </c>
      <c r="B83" s="956">
        <f>WEEKLY!E85</f>
        <v>76025</v>
      </c>
      <c r="D83" s="933" t="s">
        <v>696</v>
      </c>
      <c r="E83" s="956">
        <f>SUM(E77:E82)</f>
        <v>31153.422565219869</v>
      </c>
      <c r="G83" s="933" t="s">
        <v>228</v>
      </c>
      <c r="H83" s="1003">
        <f>WEEKLY!E31</f>
        <v>1300</v>
      </c>
    </row>
    <row r="84" spans="1:19" x14ac:dyDescent="0.25">
      <c r="A84" s="933" t="s">
        <v>697</v>
      </c>
      <c r="B84" s="934">
        <f>B9*8</f>
        <v>2526.3157894736842</v>
      </c>
      <c r="D84" s="989"/>
      <c r="E84" s="936"/>
      <c r="G84" s="933" t="s">
        <v>698</v>
      </c>
      <c r="H84" s="934">
        <f>WEEKLY!E289/250*10</f>
        <v>880</v>
      </c>
    </row>
    <row r="85" spans="1:19" x14ac:dyDescent="0.25">
      <c r="A85" s="933" t="s">
        <v>699</v>
      </c>
      <c r="B85" s="1004"/>
      <c r="C85" s="989"/>
      <c r="D85" s="1005"/>
      <c r="E85" s="1005" t="s">
        <v>775</v>
      </c>
      <c r="G85" s="933" t="s">
        <v>575</v>
      </c>
      <c r="H85" s="1006">
        <f>H160</f>
        <v>380.37289999999996</v>
      </c>
    </row>
    <row r="86" spans="1:19" x14ac:dyDescent="0.25">
      <c r="A86" s="933"/>
      <c r="B86" s="518"/>
      <c r="C86" s="989"/>
      <c r="D86" s="1518" t="s">
        <v>700</v>
      </c>
      <c r="E86" s="1519"/>
      <c r="G86" s="933" t="s">
        <v>701</v>
      </c>
      <c r="H86" s="956">
        <f>WEEKLY!E287/1000*30</f>
        <v>420</v>
      </c>
      <c r="J86" s="570"/>
      <c r="L86" s="570"/>
      <c r="N86" s="570"/>
      <c r="P86" s="570"/>
      <c r="R86" s="570"/>
      <c r="S86" s="570"/>
    </row>
    <row r="87" spans="1:19" x14ac:dyDescent="0.25">
      <c r="A87" s="933" t="s">
        <v>641</v>
      </c>
      <c r="B87" s="934">
        <f>SUM(B83:B84)</f>
        <v>78551.31578947368</v>
      </c>
      <c r="C87" s="989"/>
      <c r="D87" s="933" t="s">
        <v>717</v>
      </c>
      <c r="E87" s="934">
        <f>WEEKLY!E11*3/5</f>
        <v>3144.375</v>
      </c>
      <c r="G87" s="933" t="s">
        <v>244</v>
      </c>
      <c r="H87" s="1007">
        <f>WEEKLY!E47/1000*15</f>
        <v>300</v>
      </c>
      <c r="J87" s="570"/>
      <c r="L87" s="570"/>
      <c r="N87" s="570"/>
      <c r="P87" s="570"/>
      <c r="R87" s="570"/>
      <c r="S87" s="570"/>
    </row>
    <row r="88" spans="1:19" x14ac:dyDescent="0.25">
      <c r="A88" s="933" t="s">
        <v>629</v>
      </c>
      <c r="B88" s="934">
        <f>B87/35</f>
        <v>2244.3233082706765</v>
      </c>
      <c r="D88" s="933" t="s">
        <v>634</v>
      </c>
      <c r="E88" s="934">
        <f>H38</f>
        <v>485.3614035087719</v>
      </c>
      <c r="G88" s="1008" t="s">
        <v>795</v>
      </c>
      <c r="H88" s="1009">
        <f>SUM(H75:H87)</f>
        <v>8252.5379650717714</v>
      </c>
      <c r="J88" s="570"/>
      <c r="L88" s="570"/>
      <c r="N88" s="570"/>
      <c r="P88" s="570"/>
      <c r="R88" s="570"/>
      <c r="S88" s="570"/>
    </row>
    <row r="89" spans="1:19" x14ac:dyDescent="0.25">
      <c r="A89" s="933" t="s">
        <v>649</v>
      </c>
      <c r="B89" s="518">
        <f>B67</f>
        <v>140</v>
      </c>
      <c r="D89" s="933" t="s">
        <v>669</v>
      </c>
      <c r="E89" s="934">
        <f>E64</f>
        <v>712.87242424242424</v>
      </c>
      <c r="G89" s="1001" t="s">
        <v>796</v>
      </c>
      <c r="H89" s="966">
        <f>SUM(H75:H84,H86:H87)</f>
        <v>7872.1650650717711</v>
      </c>
      <c r="J89" s="570"/>
      <c r="L89" s="570"/>
      <c r="N89" s="570"/>
      <c r="P89" s="570"/>
      <c r="R89" s="570"/>
      <c r="S89" s="570"/>
    </row>
    <row r="90" spans="1:19" x14ac:dyDescent="0.25">
      <c r="A90" s="933" t="s">
        <v>703</v>
      </c>
      <c r="B90" s="956">
        <f>SUM(B88:B89)</f>
        <v>2384.3233082706765</v>
      </c>
      <c r="D90" s="933" t="s">
        <v>671</v>
      </c>
      <c r="E90" s="934"/>
      <c r="G90" s="1001" t="s">
        <v>652</v>
      </c>
      <c r="H90" s="518"/>
      <c r="J90" s="570"/>
      <c r="L90" s="570"/>
      <c r="N90" s="570"/>
      <c r="P90" s="570"/>
      <c r="R90" s="570"/>
      <c r="S90" s="570"/>
    </row>
    <row r="91" spans="1:19" x14ac:dyDescent="0.25">
      <c r="A91" s="933"/>
      <c r="B91" s="956"/>
      <c r="D91" s="933"/>
      <c r="E91" s="934"/>
      <c r="G91" s="933" t="s">
        <v>681</v>
      </c>
      <c r="H91" s="934">
        <f>H89</f>
        <v>7872.1650650717711</v>
      </c>
      <c r="J91" s="570"/>
      <c r="L91" s="570"/>
      <c r="N91" s="570"/>
      <c r="P91" s="570"/>
      <c r="R91" s="570"/>
      <c r="S91" s="570"/>
    </row>
    <row r="92" spans="1:19" x14ac:dyDescent="0.25">
      <c r="A92" s="933"/>
      <c r="B92" s="999"/>
      <c r="D92" s="933" t="s">
        <v>792</v>
      </c>
      <c r="E92" s="956">
        <f>SUM(E87:E91)</f>
        <v>4342.6088277511963</v>
      </c>
      <c r="G92" s="933" t="s">
        <v>705</v>
      </c>
      <c r="H92" s="934">
        <f>WEEKLY!E115</f>
        <v>1058</v>
      </c>
      <c r="J92" s="570"/>
      <c r="L92" s="570"/>
      <c r="N92" s="570"/>
      <c r="P92" s="570"/>
      <c r="R92" s="570"/>
      <c r="S92" s="570"/>
    </row>
    <row r="93" spans="1:19" x14ac:dyDescent="0.25">
      <c r="A93" s="933"/>
      <c r="B93" s="956"/>
      <c r="D93" s="933"/>
      <c r="E93" s="956"/>
      <c r="G93" s="933" t="s">
        <v>622</v>
      </c>
      <c r="H93" s="934">
        <f>E79</f>
        <v>532.9</v>
      </c>
      <c r="J93" s="570"/>
      <c r="L93" s="570"/>
      <c r="N93" s="570"/>
      <c r="P93" s="570"/>
      <c r="R93" s="570"/>
      <c r="S93" s="570"/>
    </row>
    <row r="94" spans="1:19" x14ac:dyDescent="0.25">
      <c r="A94" s="933" t="s">
        <v>652</v>
      </c>
      <c r="B94" s="518"/>
      <c r="D94" s="933"/>
      <c r="E94" s="999"/>
      <c r="G94" s="933" t="s">
        <v>690</v>
      </c>
      <c r="H94" s="934">
        <f>WEEKLY!E110</f>
        <v>363.6</v>
      </c>
      <c r="J94" s="570"/>
      <c r="L94" s="570"/>
      <c r="N94" s="570"/>
      <c r="P94" s="570"/>
      <c r="R94" s="570"/>
      <c r="S94" s="570"/>
    </row>
    <row r="95" spans="1:19" x14ac:dyDescent="0.25">
      <c r="A95" s="933" t="s">
        <v>706</v>
      </c>
      <c r="B95" s="934">
        <f>B90</f>
        <v>2384.3233082706765</v>
      </c>
      <c r="D95" s="933" t="s">
        <v>652</v>
      </c>
      <c r="E95" s="518"/>
      <c r="G95" s="933" t="s">
        <v>284</v>
      </c>
      <c r="H95" s="934">
        <f>WEEKLY!E117</f>
        <v>100</v>
      </c>
    </row>
    <row r="96" spans="1:19" x14ac:dyDescent="0.25">
      <c r="A96" s="933" t="s">
        <v>653</v>
      </c>
      <c r="B96" s="966">
        <f>B75</f>
        <v>546</v>
      </c>
      <c r="D96" s="933" t="s">
        <v>700</v>
      </c>
      <c r="E96" s="934">
        <f>E92</f>
        <v>4342.6088277511963</v>
      </c>
      <c r="G96" s="933"/>
      <c r="H96" s="934"/>
    </row>
    <row r="97" spans="1:9" x14ac:dyDescent="0.25">
      <c r="A97" s="933" t="s">
        <v>655</v>
      </c>
      <c r="B97" s="518">
        <f>B76</f>
        <v>37</v>
      </c>
      <c r="D97" s="933" t="s">
        <v>707</v>
      </c>
      <c r="E97" s="934">
        <f>WEEKLY!E124</f>
        <v>404</v>
      </c>
      <c r="G97" s="1008" t="s">
        <v>702</v>
      </c>
      <c r="H97" s="1009">
        <f>SUM(H91:H95)</f>
        <v>9926.6650650717711</v>
      </c>
    </row>
    <row r="98" spans="1:9" x14ac:dyDescent="0.25">
      <c r="A98" s="933" t="s">
        <v>656</v>
      </c>
      <c r="B98" s="518">
        <f>B77</f>
        <v>0.14000000000000001</v>
      </c>
      <c r="D98" s="933" t="s">
        <v>688</v>
      </c>
      <c r="E98" s="934">
        <f>E79</f>
        <v>532.9</v>
      </c>
      <c r="G98" s="945" t="s">
        <v>795</v>
      </c>
      <c r="H98" s="1047">
        <f>SUM(H88,H92:H95)</f>
        <v>10307.037965071771</v>
      </c>
      <c r="I98" s="989"/>
    </row>
    <row r="99" spans="1:9" x14ac:dyDescent="0.25">
      <c r="A99" s="933"/>
      <c r="B99" s="518"/>
      <c r="D99" s="933" t="s">
        <v>708</v>
      </c>
      <c r="E99" s="934">
        <f>WEEKLY!E111</f>
        <v>240</v>
      </c>
      <c r="H99" s="570" t="s">
        <v>775</v>
      </c>
    </row>
    <row r="100" spans="1:9" x14ac:dyDescent="0.25">
      <c r="A100" s="933" t="s">
        <v>709</v>
      </c>
      <c r="B100" s="956">
        <f>SUM(B94:B98)</f>
        <v>2967.4633082706764</v>
      </c>
      <c r="D100" s="933" t="s">
        <v>710</v>
      </c>
      <c r="E100" s="934">
        <f>SUM(E96:E99)</f>
        <v>5519.5088277511959</v>
      </c>
      <c r="G100" s="1518" t="s">
        <v>711</v>
      </c>
      <c r="H100" s="1519"/>
    </row>
    <row r="101" spans="1:9" x14ac:dyDescent="0.25">
      <c r="A101" s="945"/>
      <c r="B101" s="965"/>
      <c r="D101" s="945"/>
      <c r="E101" s="965"/>
      <c r="G101" s="933" t="s">
        <v>712</v>
      </c>
      <c r="H101" s="934">
        <f>WEEKLY!E308</f>
        <v>33000</v>
      </c>
    </row>
    <row r="102" spans="1:9" x14ac:dyDescent="0.25">
      <c r="A102" s="617"/>
      <c r="B102" s="617"/>
      <c r="E102" s="570" t="s">
        <v>775</v>
      </c>
      <c r="G102" s="933" t="s">
        <v>713</v>
      </c>
      <c r="H102" s="934">
        <f>WEEKLY!E312/3000*300</f>
        <v>0</v>
      </c>
    </row>
    <row r="103" spans="1:9" x14ac:dyDescent="0.25">
      <c r="A103" s="1518" t="s">
        <v>714</v>
      </c>
      <c r="B103" s="1519"/>
      <c r="D103" s="1518" t="s">
        <v>700</v>
      </c>
      <c r="E103" s="1519"/>
      <c r="G103" s="933" t="s">
        <v>715</v>
      </c>
      <c r="H103" s="934">
        <f>'[1]WEEKLY FC'!E41/180*100</f>
        <v>0</v>
      </c>
    </row>
    <row r="104" spans="1:9" x14ac:dyDescent="0.25">
      <c r="A104" s="933" t="s">
        <v>716</v>
      </c>
      <c r="B104" s="518"/>
      <c r="D104" s="933" t="s">
        <v>793</v>
      </c>
      <c r="E104" s="934">
        <f>WEEKLY!E11*2/5</f>
        <v>2096.25</v>
      </c>
      <c r="G104" s="933" t="s">
        <v>718</v>
      </c>
      <c r="H104" s="934">
        <f>WEEKLY!E43/150*17</f>
        <v>566.66666666666674</v>
      </c>
    </row>
    <row r="105" spans="1:9" x14ac:dyDescent="0.25">
      <c r="A105" s="933" t="s">
        <v>639</v>
      </c>
      <c r="B105" s="934"/>
      <c r="D105" s="933" t="s">
        <v>634</v>
      </c>
      <c r="E105" s="934">
        <f>H38</f>
        <v>485.3614035087719</v>
      </c>
      <c r="G105" s="933" t="s">
        <v>719</v>
      </c>
      <c r="H105" s="934">
        <f>WEEKLY!E50/250*17</f>
        <v>1156</v>
      </c>
    </row>
    <row r="106" spans="1:9" x14ac:dyDescent="0.25">
      <c r="A106" s="933" t="s">
        <v>720</v>
      </c>
      <c r="B106" s="934"/>
      <c r="D106" s="933" t="s">
        <v>669</v>
      </c>
      <c r="E106" s="934">
        <f>E89</f>
        <v>712.87242424242424</v>
      </c>
      <c r="G106" s="933" t="s">
        <v>721</v>
      </c>
      <c r="H106" s="934">
        <f>WEEKLY!E277*2</f>
        <v>3000</v>
      </c>
    </row>
    <row r="107" spans="1:9" x14ac:dyDescent="0.25">
      <c r="A107" s="933"/>
      <c r="B107" s="934"/>
      <c r="D107" s="933" t="s">
        <v>671</v>
      </c>
      <c r="E107" s="934"/>
      <c r="G107" s="933" t="s">
        <v>722</v>
      </c>
      <c r="H107" s="934">
        <f>WEEKLY!E276/250*5</f>
        <v>160</v>
      </c>
    </row>
    <row r="108" spans="1:9" x14ac:dyDescent="0.25">
      <c r="A108" s="933" t="s">
        <v>723</v>
      </c>
      <c r="B108" s="934"/>
      <c r="D108" s="933"/>
      <c r="E108" s="934"/>
      <c r="G108" s="933"/>
      <c r="H108" s="934"/>
    </row>
    <row r="109" spans="1:9" x14ac:dyDescent="0.25">
      <c r="A109" s="933" t="s">
        <v>724</v>
      </c>
      <c r="B109" s="934"/>
      <c r="D109" s="933" t="s">
        <v>794</v>
      </c>
      <c r="E109" s="956">
        <f>SUM(E104:E108)</f>
        <v>3294.4838277511963</v>
      </c>
      <c r="G109" s="1001" t="s">
        <v>725</v>
      </c>
      <c r="H109" s="1010">
        <f>SUM(H101:H108)</f>
        <v>37882.666666666664</v>
      </c>
    </row>
    <row r="110" spans="1:9" x14ac:dyDescent="0.25">
      <c r="A110" s="933" t="s">
        <v>649</v>
      </c>
      <c r="B110" s="518"/>
      <c r="D110" s="933"/>
      <c r="E110" s="956"/>
      <c r="G110" s="980" t="s">
        <v>618</v>
      </c>
      <c r="H110" s="1011">
        <f>H109/70</f>
        <v>541.18095238095236</v>
      </c>
    </row>
    <row r="111" spans="1:9" x14ac:dyDescent="0.25">
      <c r="A111" s="933" t="s">
        <v>726</v>
      </c>
      <c r="B111" s="956"/>
      <c r="D111" s="933"/>
      <c r="E111" s="999"/>
      <c r="H111" s="570" t="s">
        <v>775</v>
      </c>
    </row>
    <row r="112" spans="1:9" x14ac:dyDescent="0.25">
      <c r="A112" s="933"/>
      <c r="B112" s="518"/>
      <c r="D112" s="933" t="s">
        <v>652</v>
      </c>
      <c r="E112" s="518"/>
      <c r="G112" s="1518" t="s">
        <v>727</v>
      </c>
      <c r="H112" s="1519"/>
    </row>
    <row r="113" spans="1:8" x14ac:dyDescent="0.25">
      <c r="A113" s="933" t="s">
        <v>652</v>
      </c>
      <c r="B113" s="518"/>
      <c r="D113" s="933" t="s">
        <v>700</v>
      </c>
      <c r="E113" s="934">
        <f>E109</f>
        <v>3294.4838277511963</v>
      </c>
      <c r="G113" s="933" t="s">
        <v>821</v>
      </c>
      <c r="H113" s="934">
        <f>'TO-TI'!S19</f>
        <v>85485.875</v>
      </c>
    </row>
    <row r="114" spans="1:8" x14ac:dyDescent="0.25">
      <c r="A114" s="933" t="s">
        <v>714</v>
      </c>
      <c r="B114" s="934"/>
      <c r="D114" s="933" t="s">
        <v>707</v>
      </c>
      <c r="E114" s="934">
        <f>E97</f>
        <v>404</v>
      </c>
      <c r="G114" s="933" t="s">
        <v>822</v>
      </c>
      <c r="H114" s="934">
        <f>H113/60</f>
        <v>1424.7645833333333</v>
      </c>
    </row>
    <row r="115" spans="1:8" x14ac:dyDescent="0.25">
      <c r="A115" s="933" t="s">
        <v>653</v>
      </c>
      <c r="B115" s="518"/>
      <c r="D115" s="933" t="s">
        <v>688</v>
      </c>
      <c r="E115" s="934">
        <f>E98</f>
        <v>532.9</v>
      </c>
      <c r="G115" s="933"/>
      <c r="H115" s="934"/>
    </row>
    <row r="116" spans="1:8" x14ac:dyDescent="0.25">
      <c r="A116" s="933" t="s">
        <v>655</v>
      </c>
      <c r="B116" s="518"/>
      <c r="D116" s="933" t="s">
        <v>708</v>
      </c>
      <c r="E116" s="934">
        <f>WEEKLY!E111</f>
        <v>240</v>
      </c>
      <c r="G116" s="933" t="s">
        <v>823</v>
      </c>
      <c r="H116" s="934">
        <f>WEEKLY!E42/1000*5</f>
        <v>155</v>
      </c>
    </row>
    <row r="117" spans="1:8" x14ac:dyDescent="0.25">
      <c r="A117" s="933" t="s">
        <v>656</v>
      </c>
      <c r="B117" s="518"/>
      <c r="D117" s="933" t="s">
        <v>710</v>
      </c>
      <c r="E117" s="934">
        <f>SUM(E113:E116)</f>
        <v>4471.3838277511959</v>
      </c>
      <c r="G117" s="933" t="s">
        <v>668</v>
      </c>
      <c r="H117" s="934">
        <f>SUM(WEEKLY!E282/16)/4</f>
        <v>36.28125</v>
      </c>
    </row>
    <row r="118" spans="1:8" x14ac:dyDescent="0.25">
      <c r="A118" s="933"/>
      <c r="B118" s="518"/>
      <c r="D118" s="945"/>
      <c r="E118" s="965"/>
      <c r="G118" s="933" t="s">
        <v>92</v>
      </c>
      <c r="H118" s="934">
        <f>E13</f>
        <v>712.87242424242424</v>
      </c>
    </row>
    <row r="119" spans="1:8" x14ac:dyDescent="0.25">
      <c r="A119" s="945" t="s">
        <v>728</v>
      </c>
      <c r="B119" s="946"/>
      <c r="G119" s="933"/>
      <c r="H119" s="934"/>
    </row>
    <row r="120" spans="1:8" x14ac:dyDescent="0.25">
      <c r="A120" s="617"/>
      <c r="B120" s="617" t="s">
        <v>775</v>
      </c>
      <c r="E120" s="570" t="s">
        <v>775</v>
      </c>
      <c r="G120" s="1048" t="s">
        <v>824</v>
      </c>
      <c r="H120" s="1049">
        <f>SUM(H114:H118)</f>
        <v>2328.9182575757577</v>
      </c>
    </row>
    <row r="121" spans="1:8" x14ac:dyDescent="0.25">
      <c r="A121" s="1541" t="s">
        <v>778</v>
      </c>
      <c r="B121" s="1542"/>
      <c r="D121" s="1518" t="s">
        <v>797</v>
      </c>
      <c r="E121" s="1519"/>
      <c r="G121" s="1001"/>
      <c r="H121" s="1010"/>
    </row>
    <row r="122" spans="1:8" x14ac:dyDescent="0.25">
      <c r="A122" s="1012" t="s">
        <v>729</v>
      </c>
      <c r="B122" s="934">
        <f>B26*0.175</f>
        <v>302.91118421052624</v>
      </c>
      <c r="D122" s="1001" t="s">
        <v>798</v>
      </c>
      <c r="E122" s="934"/>
      <c r="G122" s="980"/>
      <c r="H122" s="1011"/>
    </row>
    <row r="123" spans="1:8" x14ac:dyDescent="0.25">
      <c r="A123" s="1012" t="s">
        <v>730</v>
      </c>
      <c r="B123" s="934">
        <f>B18*0.075</f>
        <v>890.78947368421041</v>
      </c>
      <c r="D123" s="933" t="s">
        <v>799</v>
      </c>
      <c r="E123" s="934"/>
      <c r="H123" s="570" t="s">
        <v>775</v>
      </c>
    </row>
    <row r="124" spans="1:8" x14ac:dyDescent="0.25">
      <c r="A124" s="1012" t="s">
        <v>731</v>
      </c>
      <c r="B124" s="934">
        <f>B89</f>
        <v>140</v>
      </c>
      <c r="D124" s="933" t="s">
        <v>800</v>
      </c>
      <c r="E124" s="934">
        <f>WEEKLY!E319*3</f>
        <v>0</v>
      </c>
      <c r="G124" s="1512" t="s">
        <v>732</v>
      </c>
      <c r="H124" s="1513"/>
    </row>
    <row r="125" spans="1:8" x14ac:dyDescent="0.25">
      <c r="A125" s="1012"/>
      <c r="B125" s="934"/>
      <c r="D125" s="933" t="s">
        <v>801</v>
      </c>
      <c r="E125" s="934">
        <f>WEEKLY!E292/1000*20</f>
        <v>560</v>
      </c>
      <c r="G125" s="1013" t="s">
        <v>733</v>
      </c>
      <c r="H125" s="934">
        <f>WEEKLY!E30</f>
        <v>2833</v>
      </c>
    </row>
    <row r="126" spans="1:8" x14ac:dyDescent="0.25">
      <c r="A126" s="1012" t="s">
        <v>629</v>
      </c>
      <c r="B126" s="934">
        <f>SUM(B122:B125)</f>
        <v>1333.7006578947367</v>
      </c>
      <c r="D126" s="933" t="s">
        <v>802</v>
      </c>
      <c r="E126" s="934">
        <f>WEEKLY!E278/1000*2</f>
        <v>20</v>
      </c>
      <c r="G126" s="1013" t="s">
        <v>734</v>
      </c>
      <c r="H126" s="934">
        <f>WEEKLY!E46/200*5</f>
        <v>175</v>
      </c>
    </row>
    <row r="127" spans="1:8" x14ac:dyDescent="0.25">
      <c r="A127" s="1012" t="s">
        <v>735</v>
      </c>
      <c r="B127" s="934">
        <f>'LAP. PENJUALAN REGULER'!S99</f>
        <v>5000</v>
      </c>
      <c r="D127" s="933" t="s">
        <v>803</v>
      </c>
      <c r="E127" s="934">
        <f>WEEKLY!E283/1000*20</f>
        <v>1000</v>
      </c>
      <c r="G127" s="1013" t="s">
        <v>736</v>
      </c>
      <c r="H127" s="934">
        <v>100</v>
      </c>
    </row>
    <row r="128" spans="1:8" x14ac:dyDescent="0.25">
      <c r="A128" s="1012" t="s">
        <v>737</v>
      </c>
      <c r="B128" s="1014">
        <f>B126/B127</f>
        <v>0.26674013157894733</v>
      </c>
      <c r="D128" s="933" t="s">
        <v>804</v>
      </c>
      <c r="E128" s="934">
        <f>WEEKLY!E44/1000*25</f>
        <v>1000</v>
      </c>
      <c r="G128" s="1013" t="s">
        <v>738</v>
      </c>
      <c r="H128" s="934">
        <v>50</v>
      </c>
    </row>
    <row r="129" spans="1:21" x14ac:dyDescent="0.25">
      <c r="A129" s="1012"/>
      <c r="B129" s="1014"/>
      <c r="D129" s="933" t="s">
        <v>805</v>
      </c>
      <c r="E129" s="934">
        <f>B9*4.75</f>
        <v>1500</v>
      </c>
      <c r="G129" s="1013" t="s">
        <v>739</v>
      </c>
      <c r="H129" s="934">
        <f>H110</f>
        <v>541.18095238095236</v>
      </c>
    </row>
    <row r="130" spans="1:21" x14ac:dyDescent="0.25">
      <c r="A130" s="1015" t="s">
        <v>652</v>
      </c>
      <c r="B130" s="934"/>
      <c r="D130" s="933"/>
      <c r="E130" s="1003"/>
      <c r="G130" s="1013" t="s">
        <v>740</v>
      </c>
      <c r="H130" s="934">
        <f>H120</f>
        <v>2328.9182575757577</v>
      </c>
    </row>
    <row r="131" spans="1:21" x14ac:dyDescent="0.25">
      <c r="A131" s="1012" t="s">
        <v>741</v>
      </c>
      <c r="B131" s="934">
        <f>B126</f>
        <v>1333.7006578947367</v>
      </c>
      <c r="D131" s="1048" t="s">
        <v>806</v>
      </c>
      <c r="E131" s="1049">
        <f>SUM(E123:E129)</f>
        <v>4080</v>
      </c>
      <c r="G131" s="1013" t="s">
        <v>742</v>
      </c>
      <c r="H131" s="934">
        <f>WEEKLY!E44/1000*5</f>
        <v>200</v>
      </c>
    </row>
    <row r="132" spans="1:21" x14ac:dyDescent="0.25">
      <c r="A132" s="1012" t="s">
        <v>653</v>
      </c>
      <c r="B132" s="934">
        <f>B96</f>
        <v>546</v>
      </c>
      <c r="D132" s="933"/>
      <c r="E132" s="1006"/>
      <c r="G132" s="1013"/>
      <c r="H132" s="934"/>
    </row>
    <row r="133" spans="1:21" x14ac:dyDescent="0.25">
      <c r="A133" s="1012" t="s">
        <v>655</v>
      </c>
      <c r="B133" s="934">
        <f>B97</f>
        <v>37</v>
      </c>
      <c r="D133" s="1001" t="s">
        <v>814</v>
      </c>
      <c r="E133" s="956"/>
      <c r="G133" s="1013" t="s">
        <v>743</v>
      </c>
      <c r="H133" s="956">
        <f>SUM(H125:H132)</f>
        <v>6228.0992099567102</v>
      </c>
    </row>
    <row r="134" spans="1:21" x14ac:dyDescent="0.25">
      <c r="A134" s="1012" t="s">
        <v>656</v>
      </c>
      <c r="B134" s="934">
        <f>B98</f>
        <v>0.14000000000000001</v>
      </c>
      <c r="D134" s="933" t="s">
        <v>807</v>
      </c>
      <c r="E134" s="1007">
        <f>E128*2</f>
        <v>2000</v>
      </c>
      <c r="G134" s="1013" t="s">
        <v>744</v>
      </c>
      <c r="H134" s="934">
        <f>WEEKLY!E118</f>
        <v>231</v>
      </c>
      <c r="K134" s="63" t="s">
        <v>112</v>
      </c>
    </row>
    <row r="135" spans="1:21" x14ac:dyDescent="0.25">
      <c r="A135" s="1012"/>
      <c r="B135" s="934"/>
      <c r="D135" s="933" t="s">
        <v>808</v>
      </c>
      <c r="E135" s="956">
        <f>B9*0.25</f>
        <v>78.94736842105263</v>
      </c>
      <c r="G135" s="1013" t="s">
        <v>622</v>
      </c>
      <c r="H135" s="934">
        <f>E15</f>
        <v>532.9</v>
      </c>
    </row>
    <row r="136" spans="1:21" x14ac:dyDescent="0.25">
      <c r="A136" s="1016" t="s">
        <v>652</v>
      </c>
      <c r="B136" s="956">
        <f>SUM(B131:B134)</f>
        <v>1916.8406578947368</v>
      </c>
      <c r="D136" s="933" t="s">
        <v>809</v>
      </c>
      <c r="E136" s="966">
        <f>WEEKLY!E289/250*100</f>
        <v>8800</v>
      </c>
      <c r="G136" s="1008" t="s">
        <v>603</v>
      </c>
      <c r="H136" s="1017">
        <f>SUM(H133:H135)</f>
        <v>6991.9992099567098</v>
      </c>
    </row>
    <row r="137" spans="1:21" x14ac:dyDescent="0.25">
      <c r="A137" s="537"/>
      <c r="B137" s="965"/>
      <c r="D137" s="933" t="s">
        <v>810</v>
      </c>
      <c r="E137" s="518">
        <f>WEEKLY!E312/3000*200</f>
        <v>0</v>
      </c>
      <c r="G137" s="1013"/>
      <c r="H137" s="934"/>
    </row>
    <row r="138" spans="1:21" x14ac:dyDescent="0.25">
      <c r="A138" s="537"/>
      <c r="B138" s="946"/>
      <c r="D138" s="933" t="s">
        <v>811</v>
      </c>
      <c r="E138" s="934">
        <f>WEEKLY!E317</f>
        <v>24378</v>
      </c>
      <c r="G138" s="1018"/>
      <c r="H138" s="1019"/>
    </row>
    <row r="139" spans="1:21" x14ac:dyDescent="0.25">
      <c r="A139" s="617"/>
      <c r="B139" s="617"/>
      <c r="D139" s="933" t="s">
        <v>812</v>
      </c>
      <c r="E139" s="934">
        <f>WEEKLY!E46/200*35</f>
        <v>1225</v>
      </c>
      <c r="H139" s="63" t="s">
        <v>775</v>
      </c>
      <c r="I139" s="63"/>
      <c r="T139" s="570"/>
      <c r="U139" s="570"/>
    </row>
    <row r="140" spans="1:21" x14ac:dyDescent="0.25">
      <c r="A140" s="1541" t="s">
        <v>826</v>
      </c>
      <c r="B140" s="1542"/>
      <c r="D140" s="933"/>
      <c r="E140" s="934"/>
      <c r="G140" s="1512" t="s">
        <v>745</v>
      </c>
      <c r="H140" s="1513"/>
      <c r="I140" s="63"/>
      <c r="T140" s="570"/>
      <c r="U140" s="570"/>
    </row>
    <row r="141" spans="1:21" x14ac:dyDescent="0.25">
      <c r="A141" s="1012" t="s">
        <v>729</v>
      </c>
      <c r="B141" s="934"/>
      <c r="D141" s="1048" t="s">
        <v>813</v>
      </c>
      <c r="E141" s="1049">
        <f>SUM(E134:E139)</f>
        <v>36481.947368421053</v>
      </c>
      <c r="G141" s="1013" t="s">
        <v>733</v>
      </c>
      <c r="H141" s="934">
        <f>H125</f>
        <v>2833</v>
      </c>
      <c r="I141" s="63"/>
      <c r="T141" s="570"/>
      <c r="U141" s="570"/>
    </row>
    <row r="142" spans="1:21" x14ac:dyDescent="0.25">
      <c r="A142" s="1012" t="s">
        <v>730</v>
      </c>
      <c r="B142" s="934"/>
      <c r="D142" s="933"/>
      <c r="E142" s="934"/>
      <c r="G142" s="1013" t="s">
        <v>734</v>
      </c>
      <c r="H142" s="934">
        <f>H126</f>
        <v>175</v>
      </c>
      <c r="I142" s="63"/>
      <c r="T142" s="570"/>
      <c r="U142" s="570"/>
    </row>
    <row r="143" spans="1:21" x14ac:dyDescent="0.25">
      <c r="A143" s="1012" t="s">
        <v>731</v>
      </c>
      <c r="B143" s="934"/>
      <c r="D143" s="1048" t="s">
        <v>815</v>
      </c>
      <c r="E143" s="1049">
        <f>E131+E141</f>
        <v>40561.947368421053</v>
      </c>
      <c r="G143" s="1013" t="s">
        <v>736</v>
      </c>
      <c r="H143" s="934">
        <v>100</v>
      </c>
      <c r="I143" s="63"/>
      <c r="T143" s="570"/>
      <c r="U143" s="570"/>
    </row>
    <row r="144" spans="1:21" x14ac:dyDescent="0.25">
      <c r="A144" s="1012"/>
      <c r="B144" s="934"/>
      <c r="D144" s="1008" t="s">
        <v>816</v>
      </c>
      <c r="E144" s="1009">
        <f>E143/70</f>
        <v>579.45639097744368</v>
      </c>
      <c r="G144" s="1013" t="s">
        <v>738</v>
      </c>
      <c r="H144" s="934">
        <v>50</v>
      </c>
      <c r="I144" s="63"/>
      <c r="T144" s="570"/>
      <c r="U144" s="570"/>
    </row>
    <row r="145" spans="1:21" x14ac:dyDescent="0.25">
      <c r="A145" s="1012" t="s">
        <v>629</v>
      </c>
      <c r="B145" s="934"/>
      <c r="D145" s="945"/>
      <c r="E145" s="1050"/>
      <c r="G145" s="1013" t="s">
        <v>739</v>
      </c>
      <c r="H145" s="934">
        <f>H129</f>
        <v>541.18095238095236</v>
      </c>
      <c r="I145" s="63"/>
      <c r="T145" s="570"/>
      <c r="U145" s="570"/>
    </row>
    <row r="146" spans="1:21" x14ac:dyDescent="0.25">
      <c r="A146" s="1012"/>
      <c r="B146" s="934"/>
      <c r="G146" s="1013" t="s">
        <v>740</v>
      </c>
      <c r="H146" s="934">
        <f>H130</f>
        <v>2328.9182575757577</v>
      </c>
      <c r="I146" s="63"/>
      <c r="T146" s="570"/>
      <c r="U146" s="570"/>
    </row>
    <row r="147" spans="1:21" x14ac:dyDescent="0.25">
      <c r="A147" s="1012"/>
      <c r="B147" s="1014"/>
      <c r="G147" s="1013" t="s">
        <v>742</v>
      </c>
      <c r="H147" s="934">
        <f>H131</f>
        <v>200</v>
      </c>
      <c r="I147" s="63"/>
      <c r="T147" s="570"/>
      <c r="U147" s="570"/>
    </row>
    <row r="148" spans="1:21" x14ac:dyDescent="0.25">
      <c r="A148" s="1012"/>
      <c r="B148" s="1014"/>
      <c r="G148" s="1013" t="s">
        <v>746</v>
      </c>
      <c r="H148" s="934">
        <f>WEEKLY!E40</f>
        <v>1166</v>
      </c>
      <c r="I148" s="63"/>
      <c r="T148" s="570"/>
      <c r="U148" s="570"/>
    </row>
    <row r="149" spans="1:21" x14ac:dyDescent="0.25">
      <c r="A149" s="1015" t="s">
        <v>652</v>
      </c>
      <c r="B149" s="934"/>
      <c r="E149" s="570" t="s">
        <v>775</v>
      </c>
      <c r="G149" s="1008" t="s">
        <v>743</v>
      </c>
      <c r="H149" s="1009">
        <f>SUM(H141:H148)</f>
        <v>7394.0992099567102</v>
      </c>
      <c r="I149" s="63"/>
      <c r="T149" s="570"/>
      <c r="U149" s="570"/>
    </row>
    <row r="150" spans="1:21" x14ac:dyDescent="0.25">
      <c r="A150" s="1012" t="s">
        <v>741</v>
      </c>
      <c r="B150" s="934"/>
      <c r="D150" s="1537" t="s">
        <v>747</v>
      </c>
      <c r="E150" s="1538"/>
      <c r="G150" s="1013" t="s">
        <v>744</v>
      </c>
      <c r="H150" s="934">
        <f>H134</f>
        <v>231</v>
      </c>
      <c r="I150" s="63"/>
      <c r="T150" s="570"/>
      <c r="U150" s="570"/>
    </row>
    <row r="151" spans="1:21" x14ac:dyDescent="0.25">
      <c r="A151" s="1012" t="s">
        <v>653</v>
      </c>
      <c r="B151" s="934"/>
      <c r="D151" s="1013" t="s">
        <v>748</v>
      </c>
      <c r="E151" s="1046">
        <f>WEEKLY!E115</f>
        <v>1058</v>
      </c>
      <c r="G151" s="1013" t="s">
        <v>622</v>
      </c>
      <c r="H151" s="934">
        <f>H135</f>
        <v>532.9</v>
      </c>
      <c r="I151" s="63"/>
      <c r="T151" s="570"/>
      <c r="U151" s="570"/>
    </row>
    <row r="152" spans="1:21" x14ac:dyDescent="0.25">
      <c r="A152" s="1012" t="s">
        <v>655</v>
      </c>
      <c r="B152" s="934"/>
      <c r="D152" s="1013" t="s">
        <v>749</v>
      </c>
      <c r="E152" s="1046">
        <f>WEEKLY!E114/6</f>
        <v>24.666666666666668</v>
      </c>
      <c r="G152" s="1008" t="s">
        <v>603</v>
      </c>
      <c r="H152" s="1017">
        <f>SUM(H149:H151)</f>
        <v>8157.9992099567098</v>
      </c>
      <c r="I152" s="63"/>
      <c r="T152" s="570"/>
      <c r="U152" s="570"/>
    </row>
    <row r="153" spans="1:21" x14ac:dyDescent="0.25">
      <c r="A153" s="1012" t="s">
        <v>656</v>
      </c>
      <c r="B153" s="934"/>
      <c r="D153" s="1013" t="s">
        <v>690</v>
      </c>
      <c r="E153" s="1046">
        <f>WEEKLY!E110</f>
        <v>363.6</v>
      </c>
      <c r="G153" s="1013"/>
      <c r="H153" s="934"/>
      <c r="I153" s="63"/>
      <c r="T153" s="570"/>
      <c r="U153" s="570"/>
    </row>
    <row r="154" spans="1:21" x14ac:dyDescent="0.25">
      <c r="A154" s="1012"/>
      <c r="B154" s="934"/>
      <c r="D154" s="1022"/>
      <c r="E154" s="1023">
        <f>SUM(E151:E153)</f>
        <v>1446.2666666666669</v>
      </c>
      <c r="G154" s="1018"/>
      <c r="H154" s="1019"/>
      <c r="I154" s="63"/>
      <c r="T154" s="570"/>
      <c r="U154" s="570"/>
    </row>
    <row r="155" spans="1:21" x14ac:dyDescent="0.25">
      <c r="A155" s="1016" t="s">
        <v>652</v>
      </c>
      <c r="B155" s="956">
        <f>SUM(B150:B153)</f>
        <v>0</v>
      </c>
      <c r="H155" s="570" t="s">
        <v>775</v>
      </c>
    </row>
    <row r="156" spans="1:21" x14ac:dyDescent="0.25">
      <c r="A156" s="537"/>
      <c r="B156" s="965"/>
      <c r="D156" s="63"/>
      <c r="E156" s="63"/>
      <c r="G156" s="1518" t="s">
        <v>575</v>
      </c>
      <c r="H156" s="1519"/>
    </row>
    <row r="157" spans="1:21" x14ac:dyDescent="0.25">
      <c r="D157" s="63"/>
      <c r="E157" s="63"/>
      <c r="G157" s="933" t="s">
        <v>704</v>
      </c>
      <c r="H157" s="956">
        <f>WEEKLY!E282/16</f>
        <v>145.125</v>
      </c>
    </row>
    <row r="158" spans="1:21" x14ac:dyDescent="0.25">
      <c r="A158" s="1512" t="s">
        <v>825</v>
      </c>
      <c r="B158" s="1513"/>
      <c r="D158" s="1512" t="s">
        <v>266</v>
      </c>
      <c r="E158" s="1513"/>
      <c r="G158" s="933" t="s">
        <v>750</v>
      </c>
      <c r="H158" s="956">
        <f>H82</f>
        <v>235.24789999999999</v>
      </c>
    </row>
    <row r="159" spans="1:21" x14ac:dyDescent="0.25">
      <c r="A159" s="1013"/>
      <c r="B159" s="934"/>
      <c r="D159" s="1013"/>
      <c r="E159" s="934"/>
      <c r="G159" s="933"/>
      <c r="H159" s="518"/>
    </row>
    <row r="160" spans="1:21" x14ac:dyDescent="0.25">
      <c r="A160" s="1013"/>
      <c r="B160" s="934"/>
      <c r="D160" s="1013"/>
      <c r="E160" s="934"/>
      <c r="G160" s="933" t="s">
        <v>629</v>
      </c>
      <c r="H160" s="966">
        <f>SUM(H157:H159)</f>
        <v>380.37289999999996</v>
      </c>
    </row>
    <row r="161" spans="1:8" x14ac:dyDescent="0.25">
      <c r="A161" s="1013"/>
      <c r="B161" s="934"/>
      <c r="D161" s="1013"/>
      <c r="E161" s="934"/>
      <c r="G161" s="933"/>
      <c r="H161" s="966"/>
    </row>
    <row r="162" spans="1:8" x14ac:dyDescent="0.25">
      <c r="A162" s="1013"/>
      <c r="B162" s="934"/>
      <c r="D162" s="1013"/>
      <c r="E162" s="934"/>
      <c r="G162" s="1024"/>
      <c r="H162" s="1025"/>
    </row>
    <row r="163" spans="1:8" x14ac:dyDescent="0.25">
      <c r="A163" s="1013"/>
      <c r="B163" s="934"/>
      <c r="D163" s="1013"/>
      <c r="E163" s="934"/>
    </row>
    <row r="164" spans="1:8" x14ac:dyDescent="0.25">
      <c r="A164" s="1026"/>
      <c r="B164" s="1021"/>
      <c r="D164" s="1026"/>
      <c r="E164" s="1021"/>
      <c r="G164" s="1537" t="s">
        <v>837</v>
      </c>
      <c r="H164" s="1538"/>
    </row>
    <row r="165" spans="1:8" x14ac:dyDescent="0.25">
      <c r="A165" s="1012"/>
      <c r="B165" s="934"/>
      <c r="D165" s="1012"/>
      <c r="E165" s="934"/>
      <c r="G165" s="1013" t="s">
        <v>838</v>
      </c>
      <c r="H165" s="1046">
        <f>WEEKLY!E116</f>
        <v>2970</v>
      </c>
    </row>
    <row r="166" spans="1:8" x14ac:dyDescent="0.25">
      <c r="A166" s="1012"/>
      <c r="B166" s="934"/>
      <c r="D166" s="1012"/>
      <c r="E166" s="934"/>
      <c r="G166" s="1013" t="s">
        <v>749</v>
      </c>
      <c r="H166" s="1046">
        <f>WEEKLY!E114</f>
        <v>148</v>
      </c>
    </row>
    <row r="167" spans="1:8" x14ac:dyDescent="0.25">
      <c r="A167" s="1012"/>
      <c r="B167" s="934"/>
      <c r="D167" s="1012"/>
      <c r="E167" s="934"/>
      <c r="G167" s="1013" t="s">
        <v>839</v>
      </c>
      <c r="H167" s="1046">
        <f>WEEKLY!E112</f>
        <v>455.5</v>
      </c>
    </row>
    <row r="168" spans="1:8" x14ac:dyDescent="0.25">
      <c r="A168" s="1013"/>
      <c r="B168" s="934"/>
      <c r="D168" s="1013"/>
      <c r="E168" s="934"/>
      <c r="G168" s="1022"/>
      <c r="H168" s="1023">
        <f>SUM(H165:H167)</f>
        <v>3573.5</v>
      </c>
    </row>
    <row r="169" spans="1:8" x14ac:dyDescent="0.25">
      <c r="A169" s="1013"/>
      <c r="B169" s="934"/>
      <c r="D169" s="1013"/>
      <c r="E169" s="934"/>
      <c r="G169" s="63"/>
      <c r="H169" s="63"/>
    </row>
    <row r="170" spans="1:8" x14ac:dyDescent="0.25">
      <c r="A170" s="1027"/>
      <c r="B170" s="1028"/>
      <c r="D170" s="1027"/>
      <c r="E170" s="1028"/>
      <c r="G170" s="1518" t="s">
        <v>593</v>
      </c>
      <c r="H170" s="1519"/>
    </row>
    <row r="171" spans="1:8" x14ac:dyDescent="0.25">
      <c r="A171" s="1029"/>
      <c r="B171" s="1020"/>
      <c r="D171" s="1029"/>
      <c r="E171" s="1020"/>
      <c r="G171" s="933" t="s">
        <v>842</v>
      </c>
      <c r="H171" s="934">
        <f>WEEKLY!E320/2</f>
        <v>3250</v>
      </c>
    </row>
    <row r="172" spans="1:8" x14ac:dyDescent="0.25">
      <c r="A172" s="1031"/>
      <c r="B172" s="1030"/>
      <c r="D172" s="1031"/>
      <c r="E172" s="1030"/>
      <c r="G172" s="933" t="s">
        <v>683</v>
      </c>
      <c r="H172" s="934">
        <f>H76</f>
        <v>1048.125</v>
      </c>
    </row>
    <row r="173" spans="1:8" x14ac:dyDescent="0.25">
      <c r="D173" s="63"/>
      <c r="E173" s="63"/>
      <c r="G173" s="933" t="s">
        <v>684</v>
      </c>
      <c r="H173" s="934">
        <f>H77</f>
        <v>72.5625</v>
      </c>
    </row>
    <row r="174" spans="1:8" x14ac:dyDescent="0.25">
      <c r="A174" s="1512" t="s">
        <v>872</v>
      </c>
      <c r="B174" s="1513"/>
      <c r="D174" s="1518" t="s">
        <v>850</v>
      </c>
      <c r="E174" s="1519"/>
      <c r="G174" s="933" t="s">
        <v>851</v>
      </c>
      <c r="H174" s="934">
        <f>WEEKLY!E290/1000*20</f>
        <v>100</v>
      </c>
    </row>
    <row r="175" spans="1:8" x14ac:dyDescent="0.25">
      <c r="A175" s="1013"/>
      <c r="B175" s="934"/>
      <c r="D175" s="933" t="s">
        <v>850</v>
      </c>
      <c r="E175" s="934">
        <f>WEEKLY!E18</f>
        <v>3172.75</v>
      </c>
      <c r="G175" s="933" t="s">
        <v>852</v>
      </c>
      <c r="H175" s="934">
        <f>WEEKLY!E288/1000*20</f>
        <v>640</v>
      </c>
    </row>
    <row r="176" spans="1:8" x14ac:dyDescent="0.25">
      <c r="A176" s="1013"/>
      <c r="B176" s="934"/>
      <c r="D176" s="933"/>
      <c r="E176" s="934"/>
      <c r="G176" s="933" t="s">
        <v>691</v>
      </c>
      <c r="H176" s="934">
        <f>H80</f>
        <v>100</v>
      </c>
    </row>
    <row r="177" spans="1:8" x14ac:dyDescent="0.25">
      <c r="A177" s="1013"/>
      <c r="B177" s="934"/>
      <c r="D177" s="933"/>
      <c r="E177" s="934"/>
      <c r="G177" s="933" t="s">
        <v>853</v>
      </c>
      <c r="H177" s="934">
        <f>WEEKLY!E315/28</f>
        <v>618.75</v>
      </c>
    </row>
    <row r="178" spans="1:8" x14ac:dyDescent="0.25">
      <c r="A178" s="1013"/>
      <c r="B178" s="934"/>
      <c r="D178" s="933"/>
      <c r="E178" s="942"/>
      <c r="G178" s="933" t="s">
        <v>694</v>
      </c>
      <c r="H178" s="934">
        <f>H82</f>
        <v>235.24789999999999</v>
      </c>
    </row>
    <row r="179" spans="1:8" x14ac:dyDescent="0.25">
      <c r="A179" s="1013"/>
      <c r="B179" s="934"/>
      <c r="D179" s="933" t="s">
        <v>92</v>
      </c>
      <c r="E179" s="942">
        <f>WEEKLY!E312/33</f>
        <v>0</v>
      </c>
      <c r="G179" s="933" t="s">
        <v>854</v>
      </c>
      <c r="H179" s="1003">
        <f>WEEKLY!E35</f>
        <v>640</v>
      </c>
    </row>
    <row r="180" spans="1:8" x14ac:dyDescent="0.25">
      <c r="A180" s="1026"/>
      <c r="B180" s="1021"/>
      <c r="D180" s="933" t="s">
        <v>104</v>
      </c>
      <c r="E180" s="949">
        <f>E154</f>
        <v>1446.2666666666669</v>
      </c>
      <c r="G180" s="933"/>
      <c r="H180" s="934"/>
    </row>
    <row r="181" spans="1:8" x14ac:dyDescent="0.25">
      <c r="A181" s="1012"/>
      <c r="B181" s="934"/>
      <c r="D181" s="933" t="s">
        <v>622</v>
      </c>
      <c r="E181" s="518">
        <f>WEEKLY!E479+WEEKLY!E480</f>
        <v>0</v>
      </c>
      <c r="G181" s="933"/>
      <c r="H181" s="1006"/>
    </row>
    <row r="182" spans="1:8" x14ac:dyDescent="0.25">
      <c r="A182" s="1012"/>
      <c r="B182" s="934"/>
      <c r="D182" s="933"/>
      <c r="E182" s="952"/>
      <c r="G182" s="933" t="s">
        <v>701</v>
      </c>
      <c r="H182" s="956">
        <f>H86</f>
        <v>420</v>
      </c>
    </row>
    <row r="183" spans="1:8" x14ac:dyDescent="0.25">
      <c r="A183" s="1012"/>
      <c r="B183" s="934"/>
      <c r="D183" s="933" t="s">
        <v>923</v>
      </c>
      <c r="E183" s="956">
        <f>SUM(E175:E182)</f>
        <v>4619.0166666666664</v>
      </c>
      <c r="G183" s="933" t="s">
        <v>244</v>
      </c>
      <c r="H183" s="1007">
        <f>H87</f>
        <v>300</v>
      </c>
    </row>
    <row r="184" spans="1:8" x14ac:dyDescent="0.25">
      <c r="A184" s="1013"/>
      <c r="B184" s="934"/>
      <c r="D184" s="933"/>
      <c r="E184" s="956"/>
      <c r="G184" s="1008" t="s">
        <v>843</v>
      </c>
      <c r="H184" s="1009">
        <f>SUM(H171:H183)</f>
        <v>7424.6854000000003</v>
      </c>
    </row>
    <row r="185" spans="1:8" x14ac:dyDescent="0.25">
      <c r="A185" s="1013"/>
      <c r="B185" s="934"/>
      <c r="D185" s="945"/>
      <c r="E185" s="965"/>
      <c r="G185" s="1001"/>
      <c r="H185" s="966"/>
    </row>
    <row r="186" spans="1:8" x14ac:dyDescent="0.25">
      <c r="A186" s="1027"/>
      <c r="B186" s="1028"/>
      <c r="D186" s="63"/>
      <c r="E186" s="63"/>
      <c r="G186" s="1001" t="s">
        <v>652</v>
      </c>
      <c r="H186" s="518"/>
    </row>
    <row r="187" spans="1:8" x14ac:dyDescent="0.25">
      <c r="A187" s="1029"/>
      <c r="B187" s="1020"/>
      <c r="D187" s="63"/>
      <c r="E187" s="63"/>
      <c r="G187" s="933" t="s">
        <v>593</v>
      </c>
      <c r="H187" s="934">
        <f>H184</f>
        <v>7424.6854000000003</v>
      </c>
    </row>
    <row r="188" spans="1:8" x14ac:dyDescent="0.25">
      <c r="A188" s="1031"/>
      <c r="B188" s="1030"/>
      <c r="D188" s="63"/>
      <c r="E188" s="63"/>
      <c r="G188" s="933" t="s">
        <v>844</v>
      </c>
      <c r="H188" s="934">
        <f>H92</f>
        <v>1058</v>
      </c>
    </row>
    <row r="189" spans="1:8" x14ac:dyDescent="0.25">
      <c r="A189" s="63"/>
      <c r="B189" s="63"/>
      <c r="D189" s="63"/>
      <c r="E189" s="63"/>
      <c r="G189" s="933" t="s">
        <v>622</v>
      </c>
      <c r="H189" s="934">
        <f t="shared" ref="H189:H190" si="4">H93</f>
        <v>532.9</v>
      </c>
    </row>
    <row r="190" spans="1:8" x14ac:dyDescent="0.25">
      <c r="D190" s="63"/>
      <c r="E190" s="63"/>
      <c r="G190" s="933" t="s">
        <v>690</v>
      </c>
      <c r="H190" s="934">
        <f t="shared" si="4"/>
        <v>363.6</v>
      </c>
    </row>
    <row r="191" spans="1:8" x14ac:dyDescent="0.25">
      <c r="A191" s="63"/>
      <c r="B191" s="63"/>
      <c r="D191" s="63"/>
      <c r="E191" s="63"/>
      <c r="G191" s="933"/>
      <c r="H191" s="934"/>
    </row>
    <row r="192" spans="1:8" x14ac:dyDescent="0.25">
      <c r="A192" s="63"/>
      <c r="B192" s="63"/>
      <c r="D192" s="63"/>
      <c r="E192" s="63"/>
      <c r="G192" s="933"/>
      <c r="H192" s="934"/>
    </row>
    <row r="193" spans="1:12" x14ac:dyDescent="0.25">
      <c r="A193" s="63"/>
      <c r="B193" s="63"/>
      <c r="D193" s="63"/>
      <c r="E193" s="63"/>
      <c r="G193" s="1008" t="s">
        <v>843</v>
      </c>
      <c r="H193" s="1009">
        <f>SUM(H187:H191)</f>
        <v>9379.1854000000003</v>
      </c>
    </row>
    <row r="194" spans="1:12" x14ac:dyDescent="0.25">
      <c r="A194" s="63"/>
      <c r="B194" s="63"/>
      <c r="D194" s="63"/>
      <c r="E194" s="63"/>
      <c r="G194" s="945"/>
      <c r="H194" s="1050"/>
    </row>
    <row r="195" spans="1:12" x14ac:dyDescent="0.25">
      <c r="A195" s="63"/>
      <c r="B195" s="63"/>
      <c r="D195" s="63"/>
      <c r="E195" s="63"/>
      <c r="G195" s="63"/>
      <c r="H195" s="63"/>
    </row>
    <row r="196" spans="1:12" x14ac:dyDescent="0.25">
      <c r="A196" s="63"/>
      <c r="B196" s="63"/>
    </row>
    <row r="197" spans="1:12" x14ac:dyDescent="0.25">
      <c r="A197" s="63"/>
      <c r="B197" s="63"/>
      <c r="D197" s="63"/>
      <c r="E197" s="63"/>
      <c r="G197" s="63"/>
      <c r="H197" s="63"/>
    </row>
    <row r="198" spans="1:12" x14ac:dyDescent="0.25">
      <c r="A198" s="63"/>
      <c r="B198" s="63"/>
      <c r="D198" s="63"/>
      <c r="E198" s="63"/>
      <c r="G198" s="63"/>
      <c r="H198" s="63"/>
    </row>
    <row r="199" spans="1:12" x14ac:dyDescent="0.25">
      <c r="A199" s="63"/>
      <c r="B199" s="63"/>
      <c r="D199" s="63"/>
      <c r="E199" s="63"/>
      <c r="G199" s="63"/>
      <c r="H199" s="63"/>
    </row>
    <row r="200" spans="1:12" x14ac:dyDescent="0.25">
      <c r="A200" s="63"/>
      <c r="B200" s="63"/>
      <c r="D200" s="63"/>
      <c r="E200" s="63"/>
      <c r="G200" s="63"/>
      <c r="H200" s="63"/>
    </row>
    <row r="201" spans="1:12" x14ac:dyDescent="0.25">
      <c r="A201" s="63"/>
      <c r="B201" s="63"/>
      <c r="D201" s="63"/>
      <c r="E201" s="63"/>
      <c r="G201" s="63"/>
      <c r="H201" s="63"/>
    </row>
    <row r="202" spans="1:12" x14ac:dyDescent="0.25">
      <c r="A202" s="63"/>
      <c r="B202" s="63"/>
      <c r="D202" s="63"/>
      <c r="E202" s="63"/>
      <c r="G202" s="63"/>
      <c r="H202" s="63"/>
    </row>
    <row r="203" spans="1:12" x14ac:dyDescent="0.25">
      <c r="A203" s="63"/>
      <c r="B203" s="63"/>
      <c r="D203" s="63"/>
      <c r="E203" s="63"/>
      <c r="G203" s="63"/>
      <c r="H203" s="63"/>
    </row>
    <row r="204" spans="1:12" x14ac:dyDescent="0.25">
      <c r="A204" s="63"/>
      <c r="B204" s="63"/>
      <c r="D204" s="63"/>
      <c r="E204" s="63"/>
      <c r="G204" s="63"/>
      <c r="H204" s="63"/>
    </row>
    <row r="205" spans="1:12" ht="15.75" thickBot="1" x14ac:dyDescent="0.3">
      <c r="A205" s="63"/>
      <c r="B205" s="63"/>
      <c r="D205" s="63"/>
      <c r="E205" s="63"/>
      <c r="G205" s="63"/>
      <c r="H205" s="63"/>
    </row>
    <row r="206" spans="1:12" ht="15.75" thickBot="1" x14ac:dyDescent="0.3">
      <c r="A206" s="63"/>
      <c r="B206" s="63"/>
      <c r="D206" s="63"/>
      <c r="E206" s="63"/>
      <c r="G206" s="63"/>
      <c r="H206" s="63"/>
      <c r="L206" s="1032"/>
    </row>
    <row r="207" spans="1:12" x14ac:dyDescent="0.25">
      <c r="D207" s="63"/>
      <c r="E207" s="63"/>
      <c r="G207" s="63"/>
      <c r="H207" s="63"/>
    </row>
    <row r="208" spans="1:12" x14ac:dyDescent="0.25">
      <c r="A208" s="63"/>
      <c r="B208" s="63"/>
      <c r="D208" s="63"/>
      <c r="E208" s="63"/>
      <c r="G208" s="63"/>
      <c r="H208" s="63"/>
    </row>
    <row r="209" spans="1:8" x14ac:dyDescent="0.25">
      <c r="A209" s="63"/>
      <c r="B209" s="63"/>
      <c r="D209" s="63"/>
      <c r="E209" s="63"/>
      <c r="G209" s="63"/>
      <c r="H209" s="63"/>
    </row>
    <row r="210" spans="1:8" x14ac:dyDescent="0.25">
      <c r="A210" s="63"/>
      <c r="B210" s="63"/>
      <c r="D210" s="63"/>
      <c r="E210" s="63"/>
      <c r="G210" s="63"/>
      <c r="H210" s="63"/>
    </row>
    <row r="211" spans="1:8" x14ac:dyDescent="0.25">
      <c r="A211" s="63"/>
      <c r="B211" s="63"/>
      <c r="D211" s="63"/>
      <c r="E211" s="63"/>
      <c r="G211" s="63"/>
      <c r="H211" s="63"/>
    </row>
    <row r="212" spans="1:8" x14ac:dyDescent="0.25">
      <c r="A212" s="63"/>
      <c r="B212" s="63"/>
      <c r="D212" s="63"/>
      <c r="E212" s="63"/>
      <c r="G212" s="63"/>
      <c r="H212" s="63"/>
    </row>
    <row r="213" spans="1:8" x14ac:dyDescent="0.25">
      <c r="A213" s="63"/>
      <c r="B213" s="63"/>
    </row>
    <row r="214" spans="1:8" x14ac:dyDescent="0.25">
      <c r="A214" s="63"/>
      <c r="B214" s="63"/>
      <c r="D214" s="63"/>
      <c r="E214" s="63"/>
      <c r="G214" s="63"/>
      <c r="H214" s="63"/>
    </row>
    <row r="215" spans="1:8" x14ac:dyDescent="0.25">
      <c r="A215" s="63"/>
      <c r="B215" s="63"/>
      <c r="D215" s="63"/>
      <c r="E215" s="63"/>
      <c r="G215" s="63"/>
      <c r="H215" s="63"/>
    </row>
    <row r="216" spans="1:8" x14ac:dyDescent="0.25">
      <c r="A216" s="63"/>
      <c r="B216" s="63"/>
      <c r="D216" s="63"/>
      <c r="E216" s="63"/>
      <c r="G216" s="63"/>
      <c r="H216" s="63"/>
    </row>
    <row r="217" spans="1:8" x14ac:dyDescent="0.25">
      <c r="A217" s="63"/>
      <c r="B217" s="63"/>
      <c r="D217" s="63"/>
      <c r="E217" s="63"/>
      <c r="G217" s="63"/>
      <c r="H217" s="63"/>
    </row>
    <row r="218" spans="1:8" x14ac:dyDescent="0.25">
      <c r="A218" s="63"/>
      <c r="B218" s="63"/>
      <c r="D218" s="63"/>
      <c r="E218" s="63"/>
      <c r="G218" s="63"/>
      <c r="H218" s="63"/>
    </row>
    <row r="219" spans="1:8" x14ac:dyDescent="0.25">
      <c r="A219" s="63"/>
      <c r="B219" s="63"/>
      <c r="D219" s="63"/>
      <c r="E219" s="63"/>
      <c r="G219" s="63"/>
      <c r="H219" s="63"/>
    </row>
    <row r="220" spans="1:8" x14ac:dyDescent="0.25">
      <c r="A220" s="63"/>
      <c r="B220" s="63"/>
      <c r="D220" s="63"/>
      <c r="E220" s="63"/>
      <c r="G220" s="63"/>
      <c r="H220" s="63"/>
    </row>
    <row r="221" spans="1:8" x14ac:dyDescent="0.25">
      <c r="A221" s="63"/>
      <c r="B221" s="63"/>
      <c r="D221" s="63"/>
      <c r="E221" s="63"/>
      <c r="G221" s="63"/>
      <c r="H221" s="63"/>
    </row>
    <row r="222" spans="1:8" x14ac:dyDescent="0.25">
      <c r="A222" s="63"/>
      <c r="B222" s="63"/>
      <c r="D222" s="63"/>
      <c r="E222" s="63"/>
      <c r="G222" s="63"/>
      <c r="H222" s="63"/>
    </row>
    <row r="223" spans="1:8" x14ac:dyDescent="0.25">
      <c r="A223" s="63"/>
      <c r="B223" s="63"/>
      <c r="D223" s="63"/>
      <c r="E223" s="63"/>
      <c r="G223" s="63"/>
      <c r="H223" s="63"/>
    </row>
    <row r="224" spans="1:8" x14ac:dyDescent="0.25">
      <c r="D224" s="63"/>
      <c r="E224" s="63"/>
      <c r="G224" s="63"/>
      <c r="H224" s="63"/>
    </row>
    <row r="225" spans="4:8" x14ac:dyDescent="0.25">
      <c r="D225" s="63"/>
      <c r="E225" s="63"/>
      <c r="G225" s="63"/>
      <c r="H225" s="63"/>
    </row>
    <row r="226" spans="4:8" x14ac:dyDescent="0.25">
      <c r="D226" s="63"/>
      <c r="E226" s="63"/>
      <c r="G226" s="63"/>
      <c r="H226" s="63"/>
    </row>
    <row r="227" spans="4:8" x14ac:dyDescent="0.25">
      <c r="D227" s="63"/>
      <c r="E227" s="63"/>
      <c r="G227" s="63"/>
      <c r="H227" s="63"/>
    </row>
    <row r="228" spans="4:8" x14ac:dyDescent="0.25">
      <c r="D228" s="63"/>
      <c r="E228" s="63"/>
      <c r="G228" s="63"/>
      <c r="H228" s="63"/>
    </row>
    <row r="229" spans="4:8" x14ac:dyDescent="0.25">
      <c r="D229" s="63"/>
      <c r="E229" s="63"/>
      <c r="G229" s="63"/>
      <c r="H229" s="63"/>
    </row>
  </sheetData>
  <mergeCells count="121">
    <mergeCell ref="AD8:AE8"/>
    <mergeCell ref="AD9:AE9"/>
    <mergeCell ref="AF8:AG8"/>
    <mergeCell ref="AF9:AG9"/>
    <mergeCell ref="G164:H164"/>
    <mergeCell ref="G170:H170"/>
    <mergeCell ref="A158:B158"/>
    <mergeCell ref="A82:B82"/>
    <mergeCell ref="D86:E86"/>
    <mergeCell ref="G65:H65"/>
    <mergeCell ref="G74:H74"/>
    <mergeCell ref="A59:B59"/>
    <mergeCell ref="D60:E60"/>
    <mergeCell ref="D158:E158"/>
    <mergeCell ref="G124:H124"/>
    <mergeCell ref="A140:B140"/>
    <mergeCell ref="G140:H140"/>
    <mergeCell ref="D150:E150"/>
    <mergeCell ref="G156:H156"/>
    <mergeCell ref="G100:H100"/>
    <mergeCell ref="A103:B103"/>
    <mergeCell ref="D103:E103"/>
    <mergeCell ref="G112:H112"/>
    <mergeCell ref="A121:B121"/>
    <mergeCell ref="D121:E121"/>
    <mergeCell ref="AD31:AE31"/>
    <mergeCell ref="V42:W42"/>
    <mergeCell ref="X42:Y42"/>
    <mergeCell ref="Z42:AA42"/>
    <mergeCell ref="V43:W43"/>
    <mergeCell ref="X43:Y43"/>
    <mergeCell ref="Z43:AA43"/>
    <mergeCell ref="A21:B21"/>
    <mergeCell ref="D21:E21"/>
    <mergeCell ref="A28:B28"/>
    <mergeCell ref="D34:E34"/>
    <mergeCell ref="G55:H55"/>
    <mergeCell ref="A36:B36"/>
    <mergeCell ref="G42:H42"/>
    <mergeCell ref="J42:K42"/>
    <mergeCell ref="L42:M42"/>
    <mergeCell ref="N42:O42"/>
    <mergeCell ref="P42:Q42"/>
    <mergeCell ref="Z31:AA31"/>
    <mergeCell ref="AB31:AC31"/>
    <mergeCell ref="R42:S42"/>
    <mergeCell ref="D47:E47"/>
    <mergeCell ref="AH30:AI30"/>
    <mergeCell ref="G31:H31"/>
    <mergeCell ref="J31:K31"/>
    <mergeCell ref="L31:M31"/>
    <mergeCell ref="N31:O31"/>
    <mergeCell ref="P31:Q31"/>
    <mergeCell ref="V30:W30"/>
    <mergeCell ref="X30:Y30"/>
    <mergeCell ref="Z30:AA30"/>
    <mergeCell ref="AB30:AC30"/>
    <mergeCell ref="AD30:AE30"/>
    <mergeCell ref="AF30:AG30"/>
    <mergeCell ref="J30:K30"/>
    <mergeCell ref="L30:M30"/>
    <mergeCell ref="N30:O30"/>
    <mergeCell ref="P30:Q30"/>
    <mergeCell ref="T30:U30"/>
    <mergeCell ref="AF31:AG31"/>
    <mergeCell ref="AH31:AI31"/>
    <mergeCell ref="T31:U31"/>
    <mergeCell ref="V31:W31"/>
    <mergeCell ref="X31:Y31"/>
    <mergeCell ref="AD19:AE19"/>
    <mergeCell ref="AF19:AG19"/>
    <mergeCell ref="X20:Y20"/>
    <mergeCell ref="Z20:AA20"/>
    <mergeCell ref="AB20:AC20"/>
    <mergeCell ref="AD20:AE20"/>
    <mergeCell ref="AF20:AG20"/>
    <mergeCell ref="J20:K20"/>
    <mergeCell ref="L20:M20"/>
    <mergeCell ref="N20:O20"/>
    <mergeCell ref="P20:Q20"/>
    <mergeCell ref="T20:U20"/>
    <mergeCell ref="V20:W20"/>
    <mergeCell ref="J19:K19"/>
    <mergeCell ref="L19:M19"/>
    <mergeCell ref="N19:O19"/>
    <mergeCell ref="P19:Q19"/>
    <mergeCell ref="T19:U19"/>
    <mergeCell ref="AB9:AC9"/>
    <mergeCell ref="J9:K9"/>
    <mergeCell ref="L9:M9"/>
    <mergeCell ref="N9:O9"/>
    <mergeCell ref="P9:Q9"/>
    <mergeCell ref="R9:S9"/>
    <mergeCell ref="T9:U9"/>
    <mergeCell ref="V9:W9"/>
    <mergeCell ref="X9:Y9"/>
    <mergeCell ref="Z9:AA9"/>
    <mergeCell ref="A174:B174"/>
    <mergeCell ref="AH8:AI8"/>
    <mergeCell ref="AH9:AI9"/>
    <mergeCell ref="D174:E174"/>
    <mergeCell ref="G2:U5"/>
    <mergeCell ref="A8:B8"/>
    <mergeCell ref="D8:E8"/>
    <mergeCell ref="J8:K8"/>
    <mergeCell ref="L8:M8"/>
    <mergeCell ref="N8:O8"/>
    <mergeCell ref="P8:Q8"/>
    <mergeCell ref="R8:S8"/>
    <mergeCell ref="T8:U8"/>
    <mergeCell ref="G8:H8"/>
    <mergeCell ref="G18:H18"/>
    <mergeCell ref="V19:W19"/>
    <mergeCell ref="X19:Y19"/>
    <mergeCell ref="Z19:AA19"/>
    <mergeCell ref="AB19:AC19"/>
    <mergeCell ref="V8:W8"/>
    <mergeCell ref="X8:Y8"/>
    <mergeCell ref="Z8:AA8"/>
    <mergeCell ref="AB8:AC8"/>
    <mergeCell ref="A13:B1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PEMBELIAN KREDIT</vt:lpstr>
      <vt:lpstr>TO-TI</vt:lpstr>
      <vt:lpstr>LPKK</vt:lpstr>
      <vt:lpstr>VENDOR</vt:lpstr>
      <vt:lpstr>WEEKLY</vt:lpstr>
      <vt:lpstr>LAP. CF</vt:lpstr>
      <vt:lpstr>IKHTISAR FOOD COST</vt:lpstr>
      <vt:lpstr>LAPORAN KAS PERIODE</vt:lpstr>
      <vt:lpstr>LAP. PENJUALAN REGULER</vt:lpstr>
      <vt:lpstr>LAP. PENJUALAN GRABFOOD</vt:lpstr>
      <vt:lpstr>LAP. PENJUALAN GOFOOD</vt:lpstr>
      <vt:lpstr>LAP. PENJUALAN SHOPEFOOD</vt:lpstr>
      <vt:lpstr>COST ANALYSIS</vt:lpstr>
      <vt:lpstr>FOOD COST PRODUCT</vt:lpstr>
      <vt:lpstr>LEFT OVER</vt:lpstr>
      <vt:lpstr>HPP 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Acer</cp:lastModifiedBy>
  <dcterms:created xsi:type="dcterms:W3CDTF">2023-04-30T11:54:56Z</dcterms:created>
  <dcterms:modified xsi:type="dcterms:W3CDTF">2026-07-08T16:09:09Z</dcterms:modified>
</cp:coreProperties>
</file>